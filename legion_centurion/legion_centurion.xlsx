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legion_centurion/"/>
    </mc:Choice>
  </mc:AlternateContent>
  <xr:revisionPtr revIDLastSave="0" documentId="13_ncr:1_{46EBBA23-4A4F-1B44-B6A9-5DAA79EFE298}" xr6:coauthVersionLast="47" xr6:coauthVersionMax="47" xr10:uidLastSave="{00000000-0000-0000-0000-000000000000}"/>
  <bookViews>
    <workbookView xWindow="0" yWindow="0" windowWidth="28800" windowHeight="18000" xr2:uid="{B49CA26D-17E4-1041-9F6C-DBD86CE9FF01}"/>
  </bookViews>
  <sheets>
    <sheet name="Hoja1" sheetId="1" r:id="rId1"/>
  </sheets>
  <externalReferences>
    <externalReference r:id="rId2"/>
  </externalReferences>
  <definedNames>
    <definedName name="BDLEG">[1]!BDLEGION[#All]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K17" i="1" l="1"/>
  <c r="J46" i="1"/>
  <c r="K25" i="1"/>
  <c r="J38" i="1"/>
  <c r="J5" i="1"/>
  <c r="K3" i="1"/>
  <c r="K33" i="1"/>
  <c r="J13" i="1"/>
  <c r="J30" i="1"/>
  <c r="J21" i="1"/>
  <c r="J29" i="1"/>
  <c r="K41" i="1"/>
  <c r="J14" i="1"/>
  <c r="J45" i="1"/>
  <c r="J6" i="1"/>
  <c r="J37" i="1"/>
  <c r="J22" i="1"/>
  <c r="K7" i="1"/>
  <c r="K6" i="1"/>
  <c r="K5" i="1"/>
  <c r="J36" i="1"/>
  <c r="J20" i="1"/>
  <c r="J12" i="1"/>
  <c r="K47" i="1"/>
  <c r="K31" i="1"/>
  <c r="K15" i="1"/>
  <c r="J43" i="1"/>
  <c r="J27" i="1"/>
  <c r="J11" i="1"/>
  <c r="K46" i="1"/>
  <c r="K38" i="1"/>
  <c r="K30" i="1"/>
  <c r="K22" i="1"/>
  <c r="K14" i="1"/>
  <c r="J42" i="1"/>
  <c r="J34" i="1"/>
  <c r="J26" i="1"/>
  <c r="J18" i="1"/>
  <c r="J10" i="1"/>
  <c r="K45" i="1"/>
  <c r="K37" i="1"/>
  <c r="K29" i="1"/>
  <c r="K21" i="1"/>
  <c r="K13" i="1"/>
  <c r="J41" i="1"/>
  <c r="J33" i="1"/>
  <c r="J25" i="1"/>
  <c r="J17" i="1"/>
  <c r="J9" i="1"/>
  <c r="K44" i="1"/>
  <c r="K36" i="1"/>
  <c r="K28" i="1"/>
  <c r="K20" i="1"/>
  <c r="K12" i="1"/>
  <c r="K4" i="1"/>
  <c r="K48" i="1"/>
  <c r="K40" i="1"/>
  <c r="K32" i="1"/>
  <c r="K24" i="1"/>
  <c r="K16" i="1"/>
  <c r="J44" i="1"/>
  <c r="J28" i="1"/>
  <c r="J4" i="1"/>
  <c r="K39" i="1"/>
  <c r="K23" i="1"/>
  <c r="J35" i="1"/>
  <c r="J19" i="1"/>
  <c r="J3" i="1"/>
  <c r="J48" i="1"/>
  <c r="J40" i="1"/>
  <c r="J32" i="1"/>
  <c r="J24" i="1"/>
  <c r="J16" i="1"/>
  <c r="J8" i="1"/>
  <c r="K43" i="1"/>
  <c r="K35" i="1"/>
  <c r="K27" i="1"/>
  <c r="K19" i="1"/>
  <c r="K11" i="1"/>
  <c r="J47" i="1"/>
  <c r="J39" i="1"/>
  <c r="J31" i="1"/>
  <c r="J23" i="1"/>
  <c r="J15" i="1"/>
  <c r="J7" i="1"/>
  <c r="K42" i="1"/>
  <c r="K34" i="1"/>
  <c r="K26" i="1"/>
  <c r="K18" i="1"/>
  <c r="K10" i="1"/>
  <c r="K9" i="1"/>
  <c r="K8" i="1"/>
</calcChain>
</file>

<file path=xl/sharedStrings.xml><?xml version="1.0" encoding="utf-8"?>
<sst xmlns="http://schemas.openxmlformats.org/spreadsheetml/2006/main" count="58" uniqueCount="58">
  <si>
    <t>MONICA ANDREA AMBRIZ GOMEZ</t>
  </si>
  <si>
    <t>LILIANA IVETTE CASTILLO SANCHEZ</t>
  </si>
  <si>
    <t>ANAIS LUA MORENO</t>
  </si>
  <si>
    <t>CLAUDIA VALERIA HERNANDEZ MACIAS</t>
  </si>
  <si>
    <t>RAFAEL ALBERTO SUAREZ BAQUEDANO</t>
  </si>
  <si>
    <t>JORGE ALBERTO PRECIADO GONZALEZ</t>
  </si>
  <si>
    <t>ROGELIO TORRES ORTIZ</t>
  </si>
  <si>
    <t>MARIA ELIZABETH LLAMAS LOPEZ</t>
  </si>
  <si>
    <t>LUIS GUILLERMO OLGUIN FERNANDEZ</t>
  </si>
  <si>
    <t>MIRIAM ROCIO LOMELI CHAVEZ</t>
  </si>
  <si>
    <t>MIREYA LIZETTE TORRES GARCIA</t>
  </si>
  <si>
    <t>ROCIO IVON RUIZ GARCIA</t>
  </si>
  <si>
    <t>MARICELA ARREOLA LOPEZ</t>
  </si>
  <si>
    <t>JULIANA RIASCOS VALENCIA</t>
  </si>
  <si>
    <t>ENRIQUE ADRIAN GUTIERREZ JIMENEZ</t>
  </si>
  <si>
    <t>ISAI ANTONIO ROJAS MARTINEZ</t>
  </si>
  <si>
    <t>JORGE ANTONIO LUNA LARA</t>
  </si>
  <si>
    <t>MARIA FERNANDA CARLOS VAZQUEZ</t>
  </si>
  <si>
    <t>ROCIO YANETH OCHOA IBARRA</t>
  </si>
  <si>
    <t>PAULINA RODRIGUEZ DE LA MORA</t>
  </si>
  <si>
    <t>MARIA TERESA ASENCIO LOZANO</t>
  </si>
  <si>
    <t>JOSE RENE DE ALBA MORALES</t>
  </si>
  <si>
    <t>MARIO ALFONSO SARMIENTO OROZCO</t>
  </si>
  <si>
    <t>JOSE EDUARDO EZQUERRO BARQUERA</t>
  </si>
  <si>
    <t>FERNANDO JAVIER DAVALOS FLORES</t>
  </si>
  <si>
    <t>ALEJANDRA IVETTE PEDROZA MACIAS</t>
  </si>
  <si>
    <t>TIARE DE LA CRUZ DZIB CABRERA</t>
  </si>
  <si>
    <t>JOCELYN URIBE VARGAS</t>
  </si>
  <si>
    <t>Asesor</t>
  </si>
  <si>
    <t>Fecha_Corte</t>
  </si>
  <si>
    <t>Mes_Actual</t>
  </si>
  <si>
    <t>Clave</t>
  </si>
  <si>
    <t>Total_Polizas</t>
  </si>
  <si>
    <t>Bronce</t>
  </si>
  <si>
    <t>Plata</t>
  </si>
  <si>
    <t>Oro</t>
  </si>
  <si>
    <t>Platino</t>
  </si>
  <si>
    <t>JOSE ALBERTO CORONADO ROSAS</t>
  </si>
  <si>
    <t>BRUNO BRAULIO MACIAS ALVAREZ</t>
  </si>
  <si>
    <t>ADRIANA ALEJANDRA JOYA MARTINEZ</t>
  </si>
  <si>
    <t>HANA SOFIA LOPEZ QUIÐONEZ</t>
  </si>
  <si>
    <t>MARIA JOSE GUZMAN ZAMORA</t>
  </si>
  <si>
    <t>VELIA PATRICIA BERNAL RAMOS</t>
  </si>
  <si>
    <t>ANA VERONICA GONZALEZ GAYTAN</t>
  </si>
  <si>
    <t>LUVIA PATRICIA FIGUEROA CASTRO</t>
  </si>
  <si>
    <t>Promedio_Mensual</t>
  </si>
  <si>
    <t>Va_En_Meta</t>
  </si>
  <si>
    <t>DESIREE DE LA PEÐA OROZCO</t>
  </si>
  <si>
    <t>ORLANDA JIMENA CERVANTES NUÐEZ</t>
  </si>
  <si>
    <t>DARINKA UREÐA CASILLAS</t>
  </si>
  <si>
    <t>PAULINA LIZBETH SOTO MUÐIZ</t>
  </si>
  <si>
    <t>GABRIELA CASTAÐEDA SALAZAR</t>
  </si>
  <si>
    <t>ANA LAURA CONTRERAS IÐIGUEZ</t>
  </si>
  <si>
    <t>EVELYN CAROLINA VENEGAS IÐIGUEZ</t>
  </si>
  <si>
    <t>SAMUEL NUÐO RIVERA</t>
  </si>
  <si>
    <t>LAURA DOLORES MONTAÐO MONTAÐO</t>
  </si>
  <si>
    <t>ANDREA CELESTE IBAÐEZ RINCON</t>
  </si>
  <si>
    <t>KAREN MUÐOZ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</si>
</sst>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Helvetica Neue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000000"/>
      <name val="-webkit-standard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Protection="0">
      <alignment vertical="top" wrapText="1"/>
    </xf>
  </cellStyleXfs>
  <cellXfs count="30">
    <xf numFmtId="0" fontId="0" fillId="0" borderId="0" xfId="0"/>
    <xf numFmtId="1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1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/>
    <xf numFmtId="0" fontId="4" fillId="0" borderId="3" xfId="0" applyFont="1" applyBorder="1"/>
    <xf numFmtId="0" fontId="0" fillId="2" borderId="5" xfId="0" applyFill="1" applyBorder="1"/>
    <xf numFmtId="0" fontId="0" fillId="2" borderId="1" xfId="0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5" fillId="3" borderId="1" xfId="3" applyFill="1" applyBorder="1" applyAlignment="1"/>
    <xf numFmtId="0" fontId="2" fillId="0" borderId="6" xfId="0" applyFont="1" applyBorder="1" applyProtection="1">
      <protection locked="0"/>
    </xf>
    <xf numFmtId="1" fontId="2" fillId="0" borderId="7" xfId="0" applyNumberFormat="1" applyFont="1" applyBorder="1" applyAlignment="1" applyProtection="1">
      <alignment horizontal="center"/>
      <protection locked="0"/>
    </xf>
    <xf numFmtId="14" fontId="2" fillId="0" borderId="7" xfId="0" applyNumberFormat="1" applyFont="1" applyBorder="1" applyAlignment="1" applyProtection="1">
      <alignment horizontal="center"/>
      <protection locked="0"/>
    </xf>
    <xf numFmtId="0" fontId="2" fillId="0" borderId="7" xfId="1" applyNumberFormat="1" applyFont="1" applyFill="1" applyBorder="1" applyAlignment="1" applyProtection="1">
      <alignment horizontal="center"/>
      <protection locked="0"/>
    </xf>
    <xf numFmtId="0" fontId="2" fillId="0" borderId="1" xfId="2" applyNumberFormat="1" applyFont="1" applyFill="1" applyBorder="1" applyAlignment="1" applyProtection="1">
      <alignment horizontal="center"/>
      <protection locked="0"/>
    </xf>
    <xf numFmtId="0" fontId="2" fillId="0" borderId="7" xfId="2" applyNumberFormat="1" applyFont="1" applyFill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10" fillId="0" borderId="9" xfId="0" applyFont="1" applyBorder="1"/>
    <xf numFmtId="0" fontId="2" fillId="0" borderId="5" xfId="0" applyFont="1" applyBorder="1" applyProtection="1">
      <protection locked="0"/>
    </xf>
    <xf numFmtId="0" fontId="10" fillId="0" borderId="8" xfId="0" applyFont="1" applyBorder="1"/>
    <xf numFmtId="164" fontId="11" fillId="0" borderId="1" xfId="0" applyNumberFormat="1" applyFont="1" applyBorder="1" applyAlignment="1">
      <alignment horizontal="center"/>
    </xf>
    <xf numFmtId="164" fontId="6" fillId="0" borderId="7" xfId="1" applyNumberFormat="1" applyFont="1" applyFill="1" applyBorder="1" applyAlignment="1" applyProtection="1">
      <alignment horizontal="center"/>
      <protection locked="0"/>
    </xf>
  </cellXfs>
  <cellStyles count="4">
    <cellStyle name="Millares" xfId="1" builtinId="3"/>
    <cellStyle name="Normal" xfId="0" builtinId="0"/>
    <cellStyle name="Normal 2" xfId="3" xr:uid="{2A00E9DC-B766-6342-BF1B-2D1407F691B6}"/>
    <cellStyle name="Porcentaje" xfId="2" builtinId="5"/>
  </cellStyles>
  <dxfs count="3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font>
        <color auto="1"/>
      </font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ae7a8bc52004978/Documentos/asesores%20y%20campa&#241;as%202025.xlsx" TargetMode="External"/><Relationship Id="rId1" Type="http://schemas.openxmlformats.org/officeDocument/2006/relationships/externalLinkPath" Target="https://d.docs.live.net/aae7a8bc52004978/Documentos/asesores%20y%20campa&#241;a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puestas de formulario 1"/>
      <sheetName val="Asesores"/>
      <sheetName val="ESTATUS AYER"/>
      <sheetName val="ESTATUS HOY"/>
      <sheetName val="BD PROACTIVOS"/>
      <sheetName val="PROACTIVOS"/>
      <sheetName val="Hoja2"/>
      <sheetName val="Ventas Mensuales"/>
      <sheetName val="EMIT &amp; PAG"/>
      <sheetName val="RANKING PROMOTORES"/>
      <sheetName val="QsQ VDA"/>
      <sheetName val="QsQ GMM"/>
      <sheetName val="COMPARATIVO VIDA"/>
      <sheetName val="MDRT"/>
      <sheetName val="BD LEGION"/>
      <sheetName val="LEGIÓN CENTURIÓN "/>
      <sheetName val="BD CONV"/>
      <sheetName val="CONVENCIONES"/>
      <sheetName val="BD CC"/>
      <sheetName val="CAMINO A LA CUMBRE"/>
      <sheetName val="Avance a graduación "/>
      <sheetName val="TRAINNING A"/>
      <sheetName val="BONOS M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FDF5-0096-7641-98E2-79A7C2A6467A}" name="Tabla1354" displayName="Tabla1354" ref="A1:K49" totalsRowShown="0" headerRowDxfId="30" dataDxfId="28" headerRowBorderDxfId="29" tableBorderDxfId="27" totalsRowBorderDxfId="26">
  <autoFilter ref="A1:K49" xr:uid="{E315FDF5-0096-7641-98E2-79A7C2A6467A}"/>
  <sortState xmlns:xlrd2="http://schemas.microsoft.com/office/spreadsheetml/2017/richdata2" ref="A2:I39">
    <sortCondition descending="1" ref="E1:E39"/>
  </sortState>
  <tableColumns count="11">
    <tableColumn id="1" xr3:uid="{2CA99AFE-1903-6D4B-93D9-DD22E72018C3}" name="Asesor" dataDxfId="25"/>
    <tableColumn id="8" xr3:uid="{8D0734FC-3769-4F41-9ECD-2C6FE21FFA0E}" name="Clave" dataDxfId="24"/>
    <tableColumn id="7" xr3:uid="{1247CE0F-8F5E-194F-AD79-C20593AA6B7C}" name="Fecha_Corte" dataDxfId="23"/>
    <tableColumn id="9" xr3:uid="{1B89683A-64AB-0646-9B15-2B5DA7E1CEEC}" name="Mes_Actual" dataDxfId="22"/>
    <tableColumn id="6" xr3:uid="{C4F1D3A5-1E56-8C40-9BD7-1C13F22F25C5}" name="Total_Polizas" dataDxfId="21" dataCellStyle="Millares"/>
    <tableColumn id="3" xr3:uid="{4C10EFC2-2323-664F-A579-A0B169BFB0BD}" name="Bronce" dataDxfId="20" dataCellStyle="Millares"/>
    <tableColumn id="2" xr3:uid="{C05A17F7-6BDD-0C40-A77A-7F7E195BCDDE}" name="Plata" dataDxfId="19" dataCellStyle="Porcentaje"/>
    <tableColumn id="4" xr3:uid="{9C5A32B0-F0C1-9341-8545-6E23D59A5A81}" name="Oro" dataDxfId="18" dataCellStyle="Porcentaje"/>
    <tableColumn id="5" xr3:uid="{312E2988-4C52-5E40-BB07-41C4565E8822}" name="Platino" dataDxfId="17"/>
    <tableColumn id="10" xr3:uid="{5E0081A6-70E5-1F47-8576-904196DF75C9}" name="Promedio_Mensual" dataDxfId="16">
      <calculatedColumnFormula>Tabla1354[[#This Row],[Total_Polizas]]/Tabla1354[[#This Row],[Mes_Actual]]</calculatedColumnFormula>
    </tableColumn>
    <tableColumn id="11" xr3:uid="{83B7E9DF-DD3C-F043-ADEE-4C5B72428CB8}" name="Va_En_Meta" dataDxfId="15">
      <calculatedColumnFormula>IF(Tabla1354[[#This Row],[Total_Polizas]] &gt;= (Tabla1354[[#This Row],[Mes_Actual]] * 4), "✅ EN META", "❌ POR DEBAJO")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6BB-1DE5-9749-A828-31E7777A186B}">
  <dimension ref="A1:K50"/>
  <sheetViews>
    <sheetView tabSelected="1" zoomScale="69" workbookViewId="0">
      <selection activeCell="N7" sqref="N7"/>
    </sheetView>
  </sheetViews>
  <sheetFormatPr baseColWidth="10" defaultRowHeight="16"/>
  <cols>
    <col min="1" max="1" width="38" customWidth="1"/>
    <col min="3" max="3" width="15" customWidth="1"/>
    <col min="4" max="4" width="15.83203125" customWidth="1"/>
    <col min="5" max="5" width="19.83203125" style="18" customWidth="1"/>
    <col min="6" max="6" width="19.83203125" customWidth="1"/>
    <col min="7" max="8" width="18.6640625" customWidth="1"/>
    <col min="9" max="9" width="19.83203125" customWidth="1"/>
    <col min="10" max="10" width="17.33203125" customWidth="1"/>
    <col min="11" max="11" width="14.83203125" customWidth="1"/>
  </cols>
  <sheetData>
    <row r="1" spans="1:11">
      <c r="A1" s="4" t="s">
        <v>28</v>
      </c>
      <c r="B1" s="5" t="s">
        <v>31</v>
      </c>
      <c r="C1" s="5" t="s">
        <v>29</v>
      </c>
      <c r="D1" s="5" t="s">
        <v>30</v>
      </c>
      <c r="E1" s="17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45</v>
      </c>
      <c r="K1" s="19" t="s">
        <v>46</v>
      </c>
    </row>
    <row r="2" spans="1:11" ht="18">
      <c r="A2" s="6" t="s">
        <v>2</v>
      </c>
      <c r="B2" s="7">
        <v>110453</v>
      </c>
      <c r="C2" s="2">
        <v>46071</v>
      </c>
      <c r="D2" s="1">
        <v>3</v>
      </c>
      <c r="E2" s="28">
        <v>4</v>
      </c>
      <c r="F2" s="3">
        <v>8</v>
      </c>
      <c r="G2" s="15">
        <v>14</v>
      </c>
      <c r="H2" s="15">
        <v>18.5</v>
      </c>
      <c r="I2" s="20">
        <v>26</v>
      </c>
      <c r="J2" s="23">
        <f>Tabla1354[[#This Row],[Total_Polizas]]/Tabla1354[[#This Row],[Mes_Actual]]</f>
        <v>1.3333333333333333</v>
      </c>
      <c r="K2" s="25" t="str">
        <f>IF(Tabla1354[[#This Row],[Total_Polizas]] &gt;= (Tabla1354[[#This Row],[Mes_Actual]] * 4), "✅ EN META", "❌ POR DEBAJO")</f>
        <v>❌ POR DEBAJO</v>
      </c>
    </row>
    <row r="3" spans="1:11" ht="18">
      <c r="A3" s="26" t="s">
        <v>4</v>
      </c>
      <c r="B3" s="7">
        <v>47116</v>
      </c>
      <c r="C3" s="2">
        <f>C2</f>
        <v>46071</v>
      </c>
      <c r="D3" s="1">
        <f>D2</f>
        <v>3</v>
      </c>
      <c r="E3" s="28">
        <v>2.5</v>
      </c>
      <c r="F3" s="3">
        <v>9.5</v>
      </c>
      <c r="G3" s="15">
        <v>15.5</v>
      </c>
      <c r="H3" s="15">
        <v>20</v>
      </c>
      <c r="I3" s="20">
        <v>27.5</v>
      </c>
      <c r="J3" s="23">
        <f>Tabla1354[[#This Row],[Total_Polizas]]/Tabla1354[[#This Row],[Mes_Actual]]</f>
        <v>0.83333333333333337</v>
      </c>
      <c r="K3" s="25" t="str">
        <f>IF(Tabla1354[[#This Row],[Total_Polizas]] &gt;= (Tabla1354[[#This Row],[Mes_Actual]] * 4), "✅ EN META", "❌ POR DEBAJO")</f>
        <v>❌ POR DEBAJO</v>
      </c>
    </row>
    <row r="4" spans="1:11" ht="18">
      <c r="A4" s="8" t="s">
        <v>6</v>
      </c>
      <c r="B4" s="7">
        <v>104718</v>
      </c>
      <c r="C4" s="2">
        <f t="shared" ref="C4:D42" si="0">C3</f>
        <v>46071</v>
      </c>
      <c r="D4" s="1">
        <f t="shared" si="0"/>
        <v>3</v>
      </c>
      <c r="E4" s="28">
        <v>1.5</v>
      </c>
      <c r="F4" s="3">
        <v>10.5</v>
      </c>
      <c r="G4" s="15">
        <v>16.5</v>
      </c>
      <c r="H4" s="15">
        <v>21</v>
      </c>
      <c r="I4" s="20">
        <v>28.5</v>
      </c>
      <c r="J4" s="23">
        <f>Tabla1354[[#This Row],[Total_Polizas]]/Tabla1354[[#This Row],[Mes_Actual]]</f>
        <v>0.5</v>
      </c>
      <c r="K4" s="25" t="str">
        <f>IF(Tabla1354[[#This Row],[Total_Polizas]] &gt;= (Tabla1354[[#This Row],[Mes_Actual]] * 4), "✅ EN META", "❌ POR DEBAJO")</f>
        <v>❌ POR DEBAJO</v>
      </c>
    </row>
    <row r="5" spans="1:11" ht="18">
      <c r="A5" s="26" t="s">
        <v>44</v>
      </c>
      <c r="B5" s="7">
        <v>116060</v>
      </c>
      <c r="C5" s="2">
        <f t="shared" si="0"/>
        <v>46071</v>
      </c>
      <c r="D5" s="1">
        <f t="shared" si="0"/>
        <v>3</v>
      </c>
      <c r="E5" s="28">
        <v>1.5</v>
      </c>
      <c r="F5" s="3">
        <v>10.5</v>
      </c>
      <c r="G5" s="15">
        <v>16.5</v>
      </c>
      <c r="H5" s="15">
        <v>21</v>
      </c>
      <c r="I5" s="20">
        <v>28.5</v>
      </c>
      <c r="J5" s="23">
        <f>Tabla1354[[#This Row],[Total_Polizas]]/Tabla1354[[#This Row],[Mes_Actual]]</f>
        <v>0.5</v>
      </c>
      <c r="K5" s="25" t="str">
        <f>IF(Tabla1354[[#This Row],[Total_Polizas]] &gt;= (Tabla1354[[#This Row],[Mes_Actual]] * 4), "✅ EN META", "❌ POR DEBAJO")</f>
        <v>❌ POR DEBAJO</v>
      </c>
    </row>
    <row r="6" spans="1:11" ht="18">
      <c r="A6" s="6" t="s">
        <v>52</v>
      </c>
      <c r="B6" s="7">
        <v>113450</v>
      </c>
      <c r="C6" s="2">
        <f t="shared" si="0"/>
        <v>46071</v>
      </c>
      <c r="D6" s="1">
        <f t="shared" si="0"/>
        <v>3</v>
      </c>
      <c r="E6" s="28">
        <v>1</v>
      </c>
      <c r="F6" s="3">
        <v>11</v>
      </c>
      <c r="G6" s="15">
        <v>17</v>
      </c>
      <c r="H6" s="15">
        <v>21.5</v>
      </c>
      <c r="I6" s="20">
        <v>29</v>
      </c>
      <c r="J6" s="23">
        <f>Tabla1354[[#This Row],[Total_Polizas]]/Tabla1354[[#This Row],[Mes_Actual]]</f>
        <v>0.33333333333333331</v>
      </c>
      <c r="K6" s="25" t="str">
        <f>IF(Tabla1354[[#This Row],[Total_Polizas]] &gt;= (Tabla1354[[#This Row],[Mes_Actual]] * 4), "✅ EN META", "❌ POR DEBAJO")</f>
        <v>❌ POR DEBAJO</v>
      </c>
    </row>
    <row r="7" spans="1:11" ht="18">
      <c r="A7" s="26" t="s">
        <v>16</v>
      </c>
      <c r="B7" s="7">
        <v>111056</v>
      </c>
      <c r="C7" s="2">
        <f t="shared" si="0"/>
        <v>46071</v>
      </c>
      <c r="D7" s="1">
        <f t="shared" si="0"/>
        <v>3</v>
      </c>
      <c r="E7" s="28">
        <v>1</v>
      </c>
      <c r="F7" s="3">
        <v>11</v>
      </c>
      <c r="G7" s="15">
        <v>17</v>
      </c>
      <c r="H7" s="15">
        <v>21.5</v>
      </c>
      <c r="I7" s="20">
        <v>29</v>
      </c>
      <c r="J7" s="23">
        <f>Tabla1354[[#This Row],[Total_Polizas]]/Tabla1354[[#This Row],[Mes_Actual]]</f>
        <v>0.33333333333333331</v>
      </c>
      <c r="K7" s="25" t="str">
        <f>IF(Tabla1354[[#This Row],[Total_Polizas]] &gt;= (Tabla1354[[#This Row],[Mes_Actual]] * 4), "✅ EN META", "❌ POR DEBAJO")</f>
        <v>❌ POR DEBAJO</v>
      </c>
    </row>
    <row r="8" spans="1:11" ht="18">
      <c r="A8" s="6" t="s">
        <v>14</v>
      </c>
      <c r="B8" s="7">
        <v>95148</v>
      </c>
      <c r="C8" s="2">
        <f t="shared" si="0"/>
        <v>46071</v>
      </c>
      <c r="D8" s="1">
        <f t="shared" si="0"/>
        <v>3</v>
      </c>
      <c r="E8" s="28">
        <v>1</v>
      </c>
      <c r="F8" s="3">
        <v>11</v>
      </c>
      <c r="G8" s="15">
        <v>17</v>
      </c>
      <c r="H8" s="15">
        <v>21.5</v>
      </c>
      <c r="I8" s="20">
        <v>29</v>
      </c>
      <c r="J8" s="23">
        <f>Tabla1354[[#This Row],[Total_Polizas]]/Tabla1354[[#This Row],[Mes_Actual]]</f>
        <v>0.33333333333333331</v>
      </c>
      <c r="K8" s="25" t="str">
        <f>IF(Tabla1354[[#This Row],[Total_Polizas]] &gt;= (Tabla1354[[#This Row],[Mes_Actual]] * 4), "✅ EN META", "❌ POR DEBAJO")</f>
        <v>❌ POR DEBAJO</v>
      </c>
    </row>
    <row r="9" spans="1:11" ht="18">
      <c r="A9" s="8" t="s">
        <v>47</v>
      </c>
      <c r="B9" s="7">
        <v>80122</v>
      </c>
      <c r="C9" s="2">
        <f t="shared" si="0"/>
        <v>46071</v>
      </c>
      <c r="D9" s="1">
        <f t="shared" si="0"/>
        <v>3</v>
      </c>
      <c r="E9" s="28">
        <v>1</v>
      </c>
      <c r="F9" s="3">
        <v>11</v>
      </c>
      <c r="G9" s="15">
        <v>17</v>
      </c>
      <c r="H9" s="15">
        <v>21.5</v>
      </c>
      <c r="I9" s="20">
        <v>29</v>
      </c>
      <c r="J9" s="23">
        <f>Tabla1354[[#This Row],[Total_Polizas]]/Tabla1354[[#This Row],[Mes_Actual]]</f>
        <v>0.33333333333333331</v>
      </c>
      <c r="K9" s="25" t="str">
        <f>IF(Tabla1354[[#This Row],[Total_Polizas]] &gt;= (Tabla1354[[#This Row],[Mes_Actual]] * 4), "✅ EN META", "❌ POR DEBAJO")</f>
        <v>❌ POR DEBAJO</v>
      </c>
    </row>
    <row r="10" spans="1:11" ht="18">
      <c r="A10" s="26" t="s">
        <v>7</v>
      </c>
      <c r="B10" s="7">
        <v>108405</v>
      </c>
      <c r="C10" s="2">
        <f t="shared" si="0"/>
        <v>46071</v>
      </c>
      <c r="D10" s="1">
        <f t="shared" si="0"/>
        <v>3</v>
      </c>
      <c r="E10" s="28">
        <v>1</v>
      </c>
      <c r="F10" s="3">
        <v>11</v>
      </c>
      <c r="G10" s="15">
        <v>17</v>
      </c>
      <c r="H10" s="15">
        <v>21.5</v>
      </c>
      <c r="I10" s="20">
        <v>29</v>
      </c>
      <c r="J10" s="23">
        <f>Tabla1354[[#This Row],[Total_Polizas]]/Tabla1354[[#This Row],[Mes_Actual]]</f>
        <v>0.33333333333333331</v>
      </c>
      <c r="K10" s="25" t="str">
        <f>IF(Tabla1354[[#This Row],[Total_Polizas]] &gt;= (Tabla1354[[#This Row],[Mes_Actual]] * 4), "✅ EN META", "❌ POR DEBAJO")</f>
        <v>❌ POR DEBAJO</v>
      </c>
    </row>
    <row r="11" spans="1:11" ht="18">
      <c r="A11" s="6" t="s">
        <v>51</v>
      </c>
      <c r="B11" s="7">
        <v>105696</v>
      </c>
      <c r="C11" s="2">
        <f t="shared" si="0"/>
        <v>46071</v>
      </c>
      <c r="D11" s="1">
        <f t="shared" si="0"/>
        <v>3</v>
      </c>
      <c r="E11" s="28">
        <v>1</v>
      </c>
      <c r="F11" s="3">
        <v>11</v>
      </c>
      <c r="G11" s="15">
        <v>17</v>
      </c>
      <c r="H11" s="15">
        <v>21.5</v>
      </c>
      <c r="I11" s="20">
        <v>29</v>
      </c>
      <c r="J11" s="23">
        <f>Tabla1354[[#This Row],[Total_Polizas]]/Tabla1354[[#This Row],[Mes_Actual]]</f>
        <v>0.33333333333333331</v>
      </c>
      <c r="K11" s="25" t="str">
        <f>IF(Tabla1354[[#This Row],[Total_Polizas]] &gt;= (Tabla1354[[#This Row],[Mes_Actual]] * 4), "✅ EN META", "❌ POR DEBAJO")</f>
        <v>❌ POR DEBAJO</v>
      </c>
    </row>
    <row r="12" spans="1:11" ht="18">
      <c r="A12" s="26" t="s">
        <v>49</v>
      </c>
      <c r="B12" s="7">
        <v>90355</v>
      </c>
      <c r="C12" s="2">
        <f t="shared" si="0"/>
        <v>46071</v>
      </c>
      <c r="D12" s="1">
        <f t="shared" si="0"/>
        <v>3</v>
      </c>
      <c r="E12" s="28">
        <v>1</v>
      </c>
      <c r="F12" s="3">
        <v>11</v>
      </c>
      <c r="G12" s="15">
        <v>17</v>
      </c>
      <c r="H12" s="15">
        <v>21.5</v>
      </c>
      <c r="I12" s="20">
        <v>29</v>
      </c>
      <c r="J12" s="23">
        <f>Tabla1354[[#This Row],[Total_Polizas]]/Tabla1354[[#This Row],[Mes_Actual]]</f>
        <v>0.33333333333333331</v>
      </c>
      <c r="K12" s="25" t="str">
        <f>IF(Tabla1354[[#This Row],[Total_Polizas]] &gt;= (Tabla1354[[#This Row],[Mes_Actual]] * 4), "✅ EN META", "❌ POR DEBAJO")</f>
        <v>❌ POR DEBAJO</v>
      </c>
    </row>
    <row r="13" spans="1:11" ht="18">
      <c r="A13" s="6" t="s">
        <v>0</v>
      </c>
      <c r="B13" s="7">
        <v>87538</v>
      </c>
      <c r="C13" s="2">
        <f t="shared" si="0"/>
        <v>46071</v>
      </c>
      <c r="D13" s="1">
        <f t="shared" si="0"/>
        <v>3</v>
      </c>
      <c r="E13" s="28">
        <v>1</v>
      </c>
      <c r="F13" s="3">
        <v>11</v>
      </c>
      <c r="G13" s="15">
        <v>17</v>
      </c>
      <c r="H13" s="15">
        <v>21.5</v>
      </c>
      <c r="I13" s="20">
        <v>29</v>
      </c>
      <c r="J13" s="23">
        <f>Tabla1354[[#This Row],[Total_Polizas]]/Tabla1354[[#This Row],[Mes_Actual]]</f>
        <v>0.33333333333333331</v>
      </c>
      <c r="K13" s="25" t="str">
        <f>IF(Tabla1354[[#This Row],[Total_Polizas]] &gt;= (Tabla1354[[#This Row],[Mes_Actual]] * 4), "✅ EN META", "❌ POR DEBAJO")</f>
        <v>❌ POR DEBAJO</v>
      </c>
    </row>
    <row r="14" spans="1:11" ht="18">
      <c r="A14" s="6" t="s">
        <v>20</v>
      </c>
      <c r="B14" s="7">
        <v>94156</v>
      </c>
      <c r="C14" s="2">
        <f t="shared" si="0"/>
        <v>46071</v>
      </c>
      <c r="D14" s="1">
        <f t="shared" si="0"/>
        <v>3</v>
      </c>
      <c r="E14" s="28">
        <v>1</v>
      </c>
      <c r="F14" s="3">
        <v>11</v>
      </c>
      <c r="G14" s="15">
        <v>17</v>
      </c>
      <c r="H14" s="15">
        <v>21.5</v>
      </c>
      <c r="I14" s="20">
        <v>29</v>
      </c>
      <c r="J14" s="23">
        <f>Tabla1354[[#This Row],[Total_Polizas]]/Tabla1354[[#This Row],[Mes_Actual]]</f>
        <v>0.33333333333333331</v>
      </c>
      <c r="K14" s="25" t="str">
        <f>IF(Tabla1354[[#This Row],[Total_Polizas]] &gt;= (Tabla1354[[#This Row],[Mes_Actual]] * 4), "✅ EN META", "❌ POR DEBAJO")</f>
        <v>❌ POR DEBAJO</v>
      </c>
    </row>
    <row r="15" spans="1:11" ht="18">
      <c r="A15" s="6" t="s">
        <v>13</v>
      </c>
      <c r="B15" s="7">
        <v>100677</v>
      </c>
      <c r="C15" s="2">
        <f t="shared" si="0"/>
        <v>46071</v>
      </c>
      <c r="D15" s="1">
        <f t="shared" si="0"/>
        <v>3</v>
      </c>
      <c r="E15" s="28">
        <v>0.5</v>
      </c>
      <c r="F15" s="3">
        <v>11.5</v>
      </c>
      <c r="G15" s="15">
        <v>17.5</v>
      </c>
      <c r="H15" s="15">
        <v>22</v>
      </c>
      <c r="I15" s="20">
        <v>29.5</v>
      </c>
      <c r="J15" s="23">
        <f>Tabla1354[[#This Row],[Total_Polizas]]/Tabla1354[[#This Row],[Mes_Actual]]</f>
        <v>0.16666666666666666</v>
      </c>
      <c r="K15" s="25" t="str">
        <f>IF(Tabla1354[[#This Row],[Total_Polizas]] &gt;= (Tabla1354[[#This Row],[Mes_Actual]] * 4), "✅ EN META", "❌ POR DEBAJO")</f>
        <v>❌ POR DEBAJO</v>
      </c>
    </row>
    <row r="16" spans="1:11" ht="18">
      <c r="A16" s="6" t="s">
        <v>1</v>
      </c>
      <c r="B16" s="7">
        <v>108404</v>
      </c>
      <c r="C16" s="2">
        <f t="shared" si="0"/>
        <v>46071</v>
      </c>
      <c r="D16" s="1">
        <f t="shared" si="0"/>
        <v>3</v>
      </c>
      <c r="E16" s="28">
        <v>0.5</v>
      </c>
      <c r="F16" s="3">
        <v>11.5</v>
      </c>
      <c r="G16" s="15">
        <v>17.5</v>
      </c>
      <c r="H16" s="15">
        <v>22</v>
      </c>
      <c r="I16" s="20">
        <v>29.5</v>
      </c>
      <c r="J16" s="23">
        <f>Tabla1354[[#This Row],[Total_Polizas]]/Tabla1354[[#This Row],[Mes_Actual]]</f>
        <v>0.16666666666666666</v>
      </c>
      <c r="K16" s="25" t="str">
        <f>IF(Tabla1354[[#This Row],[Total_Polizas]] &gt;= (Tabla1354[[#This Row],[Mes_Actual]] * 4), "✅ EN META", "❌ POR DEBAJO")</f>
        <v>❌ POR DEBAJO</v>
      </c>
    </row>
    <row r="17" spans="1:11" ht="18">
      <c r="A17" s="6" t="s">
        <v>56</v>
      </c>
      <c r="B17" s="7">
        <v>88234</v>
      </c>
      <c r="C17" s="2">
        <f t="shared" si="0"/>
        <v>46071</v>
      </c>
      <c r="D17" s="1">
        <f t="shared" si="0"/>
        <v>3</v>
      </c>
      <c r="E17" s="28">
        <v>0.5</v>
      </c>
      <c r="F17" s="3">
        <v>11.5</v>
      </c>
      <c r="G17" s="15">
        <v>17.5</v>
      </c>
      <c r="H17" s="15">
        <v>22</v>
      </c>
      <c r="I17" s="20">
        <v>29.5</v>
      </c>
      <c r="J17" s="23">
        <f>Tabla1354[[#This Row],[Total_Polizas]]/Tabla1354[[#This Row],[Mes_Actual]]</f>
        <v>0.16666666666666666</v>
      </c>
      <c r="K17" s="25" t="str">
        <f>IF(Tabla1354[[#This Row],[Total_Polizas]] &gt;= (Tabla1354[[#This Row],[Mes_Actual]] * 4), "✅ EN META", "❌ POR DEBAJO")</f>
        <v>❌ POR DEBAJO</v>
      </c>
    </row>
    <row r="18" spans="1:11" ht="18">
      <c r="A18" s="6" t="s">
        <v>18</v>
      </c>
      <c r="B18" s="7">
        <v>110105</v>
      </c>
      <c r="C18" s="2">
        <f t="shared" si="0"/>
        <v>46071</v>
      </c>
      <c r="D18" s="1">
        <f t="shared" si="0"/>
        <v>3</v>
      </c>
      <c r="E18" s="28">
        <v>0.5</v>
      </c>
      <c r="F18" s="3">
        <v>11.5</v>
      </c>
      <c r="G18" s="15">
        <v>17.5</v>
      </c>
      <c r="H18" s="15">
        <v>22</v>
      </c>
      <c r="I18" s="20">
        <v>29.5</v>
      </c>
      <c r="J18" s="23">
        <f>Tabla1354[[#This Row],[Total_Polizas]]/Tabla1354[[#This Row],[Mes_Actual]]</f>
        <v>0.16666666666666666</v>
      </c>
      <c r="K18" s="25" t="str">
        <f>IF(Tabla1354[[#This Row],[Total_Polizas]] &gt;= (Tabla1354[[#This Row],[Mes_Actual]] * 4), "✅ EN META", "❌ POR DEBAJO")</f>
        <v>❌ POR DEBAJO</v>
      </c>
    </row>
    <row r="19" spans="1:11" ht="18">
      <c r="A19" s="6" t="s">
        <v>42</v>
      </c>
      <c r="B19" s="7">
        <v>115047</v>
      </c>
      <c r="C19" s="2">
        <f t="shared" si="0"/>
        <v>46071</v>
      </c>
      <c r="D19" s="1">
        <f t="shared" si="0"/>
        <v>3</v>
      </c>
      <c r="E19" s="28">
        <v>0.5</v>
      </c>
      <c r="F19" s="3">
        <v>11.5</v>
      </c>
      <c r="G19" s="15">
        <v>17.5</v>
      </c>
      <c r="H19" s="15">
        <v>22</v>
      </c>
      <c r="I19" s="20">
        <v>29.5</v>
      </c>
      <c r="J19" s="23">
        <f>Tabla1354[[#This Row],[Total_Polizas]]/Tabla1354[[#This Row],[Mes_Actual]]</f>
        <v>0.16666666666666666</v>
      </c>
      <c r="K19" s="25" t="str">
        <f>IF(Tabla1354[[#This Row],[Total_Polizas]] &gt;= (Tabla1354[[#This Row],[Mes_Actual]] * 4), "✅ EN META", "❌ POR DEBAJO")</f>
        <v>❌ POR DEBAJO</v>
      </c>
    </row>
    <row r="20" spans="1:11" ht="18">
      <c r="A20" s="26" t="s">
        <v>12</v>
      </c>
      <c r="B20" s="7">
        <v>80925</v>
      </c>
      <c r="C20" s="2">
        <f t="shared" si="0"/>
        <v>46071</v>
      </c>
      <c r="D20" s="1">
        <f t="shared" si="0"/>
        <v>3</v>
      </c>
      <c r="E20" s="28">
        <v>0.5</v>
      </c>
      <c r="F20" s="3">
        <v>11.5</v>
      </c>
      <c r="G20" s="15">
        <v>17.5</v>
      </c>
      <c r="H20" s="15">
        <v>22</v>
      </c>
      <c r="I20" s="20">
        <v>29.5</v>
      </c>
      <c r="J20" s="23">
        <f>Tabla1354[[#This Row],[Total_Polizas]]/Tabla1354[[#This Row],[Mes_Actual]]</f>
        <v>0.16666666666666666</v>
      </c>
      <c r="K20" s="25" t="str">
        <f>IF(Tabla1354[[#This Row],[Total_Polizas]] &gt;= (Tabla1354[[#This Row],[Mes_Actual]] * 4), "✅ EN META", "❌ POR DEBAJO")</f>
        <v>❌ POR DEBAJO</v>
      </c>
    </row>
    <row r="21" spans="1:11" ht="18">
      <c r="A21" s="8" t="s">
        <v>9</v>
      </c>
      <c r="B21" s="7">
        <v>109819</v>
      </c>
      <c r="C21" s="2">
        <f t="shared" si="0"/>
        <v>46071</v>
      </c>
      <c r="D21" s="1">
        <f t="shared" si="0"/>
        <v>3</v>
      </c>
      <c r="E21" s="28">
        <v>0</v>
      </c>
      <c r="F21" s="3">
        <v>12</v>
      </c>
      <c r="G21" s="15">
        <v>18</v>
      </c>
      <c r="H21" s="15">
        <v>22.5</v>
      </c>
      <c r="I21" s="20">
        <v>30</v>
      </c>
      <c r="J21" s="23">
        <f>Tabla1354[[#This Row],[Total_Polizas]]/Tabla1354[[#This Row],[Mes_Actual]]</f>
        <v>0</v>
      </c>
      <c r="K21" s="25" t="str">
        <f>IF(Tabla1354[[#This Row],[Total_Polizas]] &gt;= (Tabla1354[[#This Row],[Mes_Actual]] * 4), "✅ EN META", "❌ POR DEBAJO")</f>
        <v>❌ POR DEBAJO</v>
      </c>
    </row>
    <row r="22" spans="1:11" ht="18">
      <c r="A22" s="6" t="s">
        <v>17</v>
      </c>
      <c r="B22" s="7">
        <v>63441</v>
      </c>
      <c r="C22" s="2">
        <f t="shared" si="0"/>
        <v>46071</v>
      </c>
      <c r="D22" s="1">
        <f t="shared" si="0"/>
        <v>3</v>
      </c>
      <c r="E22" s="28">
        <v>0</v>
      </c>
      <c r="F22" s="3">
        <v>12</v>
      </c>
      <c r="G22" s="15">
        <v>18</v>
      </c>
      <c r="H22" s="15">
        <v>22.5</v>
      </c>
      <c r="I22" s="20">
        <v>30</v>
      </c>
      <c r="J22" s="23">
        <f>Tabla1354[[#This Row],[Total_Polizas]]/Tabla1354[[#This Row],[Mes_Actual]]</f>
        <v>0</v>
      </c>
      <c r="K22" s="25" t="str">
        <f>IF(Tabla1354[[#This Row],[Total_Polizas]] &gt;= (Tabla1354[[#This Row],[Mes_Actual]] * 4), "✅ EN META", "❌ POR DEBAJO")</f>
        <v>❌ POR DEBAJO</v>
      </c>
    </row>
    <row r="23" spans="1:11" ht="18">
      <c r="A23" s="6" t="s">
        <v>43</v>
      </c>
      <c r="B23" s="7">
        <v>115404</v>
      </c>
      <c r="C23" s="2">
        <f t="shared" si="0"/>
        <v>46071</v>
      </c>
      <c r="D23" s="1">
        <f t="shared" si="0"/>
        <v>3</v>
      </c>
      <c r="E23" s="28">
        <v>0</v>
      </c>
      <c r="F23" s="3">
        <v>12</v>
      </c>
      <c r="G23" s="15">
        <v>18</v>
      </c>
      <c r="H23" s="15">
        <v>22.5</v>
      </c>
      <c r="I23" s="20">
        <v>30</v>
      </c>
      <c r="J23" s="23">
        <f>Tabla1354[[#This Row],[Total_Polizas]]/Tabla1354[[#This Row],[Mes_Actual]]</f>
        <v>0</v>
      </c>
      <c r="K23" s="25" t="str">
        <f>IF(Tabla1354[[#This Row],[Total_Polizas]] &gt;= (Tabla1354[[#This Row],[Mes_Actual]] * 4), "✅ EN META", "❌ POR DEBAJO")</f>
        <v>❌ POR DEBAJO</v>
      </c>
    </row>
    <row r="24" spans="1:11" ht="18">
      <c r="A24" s="6" t="s">
        <v>10</v>
      </c>
      <c r="B24" s="7">
        <v>106018</v>
      </c>
      <c r="C24" s="2">
        <f t="shared" si="0"/>
        <v>46071</v>
      </c>
      <c r="D24" s="1">
        <f t="shared" si="0"/>
        <v>3</v>
      </c>
      <c r="E24" s="28">
        <v>0</v>
      </c>
      <c r="F24" s="3">
        <v>12</v>
      </c>
      <c r="G24" s="15">
        <v>18</v>
      </c>
      <c r="H24" s="15">
        <v>22.5</v>
      </c>
      <c r="I24" s="20">
        <v>30</v>
      </c>
      <c r="J24" s="23">
        <f>Tabla1354[[#This Row],[Total_Polizas]]/Tabla1354[[#This Row],[Mes_Actual]]</f>
        <v>0</v>
      </c>
      <c r="K24" s="25" t="str">
        <f>IF(Tabla1354[[#This Row],[Total_Polizas]] &gt;= (Tabla1354[[#This Row],[Mes_Actual]] * 4), "✅ EN META", "❌ POR DEBAJO")</f>
        <v>❌ POR DEBAJO</v>
      </c>
    </row>
    <row r="25" spans="1:11" ht="18">
      <c r="A25" s="6" t="s">
        <v>38</v>
      </c>
      <c r="B25" s="7">
        <v>113076</v>
      </c>
      <c r="C25" s="2">
        <f t="shared" si="0"/>
        <v>46071</v>
      </c>
      <c r="D25" s="1">
        <f t="shared" si="0"/>
        <v>3</v>
      </c>
      <c r="E25" s="28">
        <v>0</v>
      </c>
      <c r="F25" s="3">
        <v>12</v>
      </c>
      <c r="G25" s="15">
        <v>18</v>
      </c>
      <c r="H25" s="15">
        <v>22.5</v>
      </c>
      <c r="I25" s="20">
        <v>30</v>
      </c>
      <c r="J25" s="23">
        <f>Tabla1354[[#This Row],[Total_Polizas]]/Tabla1354[[#This Row],[Mes_Actual]]</f>
        <v>0</v>
      </c>
      <c r="K25" s="25" t="str">
        <f>IF(Tabla1354[[#This Row],[Total_Polizas]] &gt;= (Tabla1354[[#This Row],[Mes_Actual]] * 4), "✅ EN META", "❌ POR DEBAJO")</f>
        <v>❌ POR DEBAJO</v>
      </c>
    </row>
    <row r="26" spans="1:11" ht="18">
      <c r="A26" s="6" t="s">
        <v>27</v>
      </c>
      <c r="B26" s="7">
        <v>90177</v>
      </c>
      <c r="C26" s="2">
        <f t="shared" si="0"/>
        <v>46071</v>
      </c>
      <c r="D26" s="1">
        <f t="shared" si="0"/>
        <v>3</v>
      </c>
      <c r="E26" s="28">
        <v>0</v>
      </c>
      <c r="F26" s="3">
        <v>12</v>
      </c>
      <c r="G26" s="15">
        <v>18</v>
      </c>
      <c r="H26" s="15">
        <v>22.5</v>
      </c>
      <c r="I26" s="20">
        <v>30</v>
      </c>
      <c r="J26" s="23">
        <f>Tabla1354[[#This Row],[Total_Polizas]]/Tabla1354[[#This Row],[Mes_Actual]]</f>
        <v>0</v>
      </c>
      <c r="K26" s="25" t="str">
        <f>IF(Tabla1354[[#This Row],[Total_Polizas]] &gt;= (Tabla1354[[#This Row],[Mes_Actual]] * 4), "✅ EN META", "❌ POR DEBAJO")</f>
        <v>❌ POR DEBAJO</v>
      </c>
    </row>
    <row r="27" spans="1:11" ht="18">
      <c r="A27" s="26" t="s">
        <v>11</v>
      </c>
      <c r="B27" s="7">
        <v>108658</v>
      </c>
      <c r="C27" s="2">
        <f t="shared" si="0"/>
        <v>46071</v>
      </c>
      <c r="D27" s="1">
        <f t="shared" si="0"/>
        <v>3</v>
      </c>
      <c r="E27" s="28">
        <v>0</v>
      </c>
      <c r="F27" s="3">
        <v>12</v>
      </c>
      <c r="G27" s="15">
        <v>18</v>
      </c>
      <c r="H27" s="15">
        <v>22.5</v>
      </c>
      <c r="I27" s="20">
        <v>30</v>
      </c>
      <c r="J27" s="23">
        <f>Tabla1354[[#This Row],[Total_Polizas]]/Tabla1354[[#This Row],[Mes_Actual]]</f>
        <v>0</v>
      </c>
      <c r="K27" s="25" t="str">
        <f>IF(Tabla1354[[#This Row],[Total_Polizas]] &gt;= (Tabla1354[[#This Row],[Mes_Actual]] * 4), "✅ EN META", "❌ POR DEBAJO")</f>
        <v>❌ POR DEBAJO</v>
      </c>
    </row>
    <row r="28" spans="1:11" ht="18">
      <c r="A28" s="6" t="s">
        <v>23</v>
      </c>
      <c r="B28" s="7">
        <v>102825</v>
      </c>
      <c r="C28" s="2">
        <f t="shared" si="0"/>
        <v>46071</v>
      </c>
      <c r="D28" s="1">
        <f t="shared" si="0"/>
        <v>3</v>
      </c>
      <c r="E28" s="28">
        <v>0</v>
      </c>
      <c r="F28" s="3">
        <v>12</v>
      </c>
      <c r="G28" s="15">
        <v>18</v>
      </c>
      <c r="H28" s="15">
        <v>22.5</v>
      </c>
      <c r="I28" s="20">
        <v>30</v>
      </c>
      <c r="J28" s="23">
        <f>Tabla1354[[#This Row],[Total_Polizas]]/Tabla1354[[#This Row],[Mes_Actual]]</f>
        <v>0</v>
      </c>
      <c r="K28" s="25" t="str">
        <f>IF(Tabla1354[[#This Row],[Total_Polizas]] &gt;= (Tabla1354[[#This Row],[Mes_Actual]] * 4), "✅ EN META", "❌ POR DEBAJO")</f>
        <v>❌ POR DEBAJO</v>
      </c>
    </row>
    <row r="29" spans="1:11" ht="18">
      <c r="A29" s="6" t="s">
        <v>55</v>
      </c>
      <c r="B29" s="7">
        <v>112522</v>
      </c>
      <c r="C29" s="2">
        <f t="shared" si="0"/>
        <v>46071</v>
      </c>
      <c r="D29" s="1">
        <f t="shared" si="0"/>
        <v>3</v>
      </c>
      <c r="E29" s="28">
        <v>0</v>
      </c>
      <c r="F29" s="3">
        <v>12</v>
      </c>
      <c r="G29" s="15">
        <v>18</v>
      </c>
      <c r="H29" s="15">
        <v>22.5</v>
      </c>
      <c r="I29" s="20">
        <v>30</v>
      </c>
      <c r="J29" s="23">
        <f>Tabla1354[[#This Row],[Total_Polizas]]/Tabla1354[[#This Row],[Mes_Actual]]</f>
        <v>0</v>
      </c>
      <c r="K29" s="25" t="str">
        <f>IF(Tabla1354[[#This Row],[Total_Polizas]] &gt;= (Tabla1354[[#This Row],[Mes_Actual]] * 4), "✅ EN META", "❌ POR DEBAJO")</f>
        <v>❌ POR DEBAJO</v>
      </c>
    </row>
    <row r="30" spans="1:11" ht="18">
      <c r="A30" s="6" t="s">
        <v>5</v>
      </c>
      <c r="B30" s="7">
        <v>104343</v>
      </c>
      <c r="C30" s="2">
        <f t="shared" si="0"/>
        <v>46071</v>
      </c>
      <c r="D30" s="1">
        <f t="shared" si="0"/>
        <v>3</v>
      </c>
      <c r="E30" s="28">
        <v>0</v>
      </c>
      <c r="F30" s="3">
        <v>12</v>
      </c>
      <c r="G30" s="15">
        <v>18</v>
      </c>
      <c r="H30" s="15">
        <v>22.5</v>
      </c>
      <c r="I30" s="20">
        <v>30</v>
      </c>
      <c r="J30" s="23">
        <f>Tabla1354[[#This Row],[Total_Polizas]]/Tabla1354[[#This Row],[Mes_Actual]]</f>
        <v>0</v>
      </c>
      <c r="K30" s="25" t="str">
        <f>IF(Tabla1354[[#This Row],[Total_Polizas]] &gt;= (Tabla1354[[#This Row],[Mes_Actual]] * 4), "✅ EN META", "❌ POR DEBAJO")</f>
        <v>❌ POR DEBAJO</v>
      </c>
    </row>
    <row r="31" spans="1:11" ht="18">
      <c r="A31" s="6" t="s">
        <v>25</v>
      </c>
      <c r="B31" s="7">
        <v>81618</v>
      </c>
      <c r="C31" s="2">
        <f t="shared" si="0"/>
        <v>46071</v>
      </c>
      <c r="D31" s="1">
        <f t="shared" si="0"/>
        <v>3</v>
      </c>
      <c r="E31" s="28">
        <v>0</v>
      </c>
      <c r="F31" s="3">
        <v>12</v>
      </c>
      <c r="G31" s="15">
        <v>18</v>
      </c>
      <c r="H31" s="15">
        <v>22.5</v>
      </c>
      <c r="I31" s="20">
        <v>30</v>
      </c>
      <c r="J31" s="23">
        <f>Tabla1354[[#This Row],[Total_Polizas]]/Tabla1354[[#This Row],[Mes_Actual]]</f>
        <v>0</v>
      </c>
      <c r="K31" s="25" t="str">
        <f>IF(Tabla1354[[#This Row],[Total_Polizas]] &gt;= (Tabla1354[[#This Row],[Mes_Actual]] * 4), "✅ EN META", "❌ POR DEBAJO")</f>
        <v>❌ POR DEBAJO</v>
      </c>
    </row>
    <row r="32" spans="1:11" ht="18">
      <c r="A32" s="6" t="s">
        <v>41</v>
      </c>
      <c r="B32" s="7">
        <v>114431</v>
      </c>
      <c r="C32" s="2">
        <f t="shared" si="0"/>
        <v>46071</v>
      </c>
      <c r="D32" s="1">
        <f t="shared" si="0"/>
        <v>3</v>
      </c>
      <c r="E32" s="28">
        <v>0</v>
      </c>
      <c r="F32" s="3">
        <v>12</v>
      </c>
      <c r="G32" s="15">
        <v>18</v>
      </c>
      <c r="H32" s="15">
        <v>22.5</v>
      </c>
      <c r="I32" s="20">
        <v>30</v>
      </c>
      <c r="J32" s="23">
        <f>Tabla1354[[#This Row],[Total_Polizas]]/Tabla1354[[#This Row],[Mes_Actual]]</f>
        <v>0</v>
      </c>
      <c r="K32" s="25" t="str">
        <f>IF(Tabla1354[[#This Row],[Total_Polizas]] &gt;= (Tabla1354[[#This Row],[Mes_Actual]] * 4), "✅ EN META", "❌ POR DEBAJO")</f>
        <v>❌ POR DEBAJO</v>
      </c>
    </row>
    <row r="33" spans="1:11" ht="18">
      <c r="A33" s="6" t="s">
        <v>21</v>
      </c>
      <c r="B33" s="7">
        <v>110575</v>
      </c>
      <c r="C33" s="2">
        <f t="shared" si="0"/>
        <v>46071</v>
      </c>
      <c r="D33" s="1">
        <f t="shared" si="0"/>
        <v>3</v>
      </c>
      <c r="E33" s="28">
        <v>0</v>
      </c>
      <c r="F33" s="3">
        <v>12</v>
      </c>
      <c r="G33" s="15">
        <v>18</v>
      </c>
      <c r="H33" s="15">
        <v>22.5</v>
      </c>
      <c r="I33" s="20">
        <v>30</v>
      </c>
      <c r="J33" s="23">
        <f>Tabla1354[[#This Row],[Total_Polizas]]/Tabla1354[[#This Row],[Mes_Actual]]</f>
        <v>0</v>
      </c>
      <c r="K33" s="25" t="str">
        <f>IF(Tabla1354[[#This Row],[Total_Polizas]] &gt;= (Tabla1354[[#This Row],[Mes_Actual]] * 4), "✅ EN META", "❌ POR DEBAJO")</f>
        <v>❌ POR DEBAJO</v>
      </c>
    </row>
    <row r="34" spans="1:11" ht="18">
      <c r="A34" s="6" t="s">
        <v>57</v>
      </c>
      <c r="B34" s="7">
        <v>81044</v>
      </c>
      <c r="C34" s="2">
        <f t="shared" si="0"/>
        <v>46071</v>
      </c>
      <c r="D34" s="1">
        <f t="shared" si="0"/>
        <v>3</v>
      </c>
      <c r="E34" s="28">
        <v>0</v>
      </c>
      <c r="F34" s="3">
        <v>12</v>
      </c>
      <c r="G34" s="15">
        <v>18</v>
      </c>
      <c r="H34" s="15">
        <v>22.5</v>
      </c>
      <c r="I34" s="20">
        <v>30</v>
      </c>
      <c r="J34" s="23">
        <f>Tabla1354[[#This Row],[Total_Polizas]]/Tabla1354[[#This Row],[Mes_Actual]]</f>
        <v>0</v>
      </c>
      <c r="K34" s="25" t="str">
        <f>IF(Tabla1354[[#This Row],[Total_Polizas]] &gt;= (Tabla1354[[#This Row],[Mes_Actual]] * 4), "✅ EN META", "❌ POR DEBAJO")</f>
        <v>❌ POR DEBAJO</v>
      </c>
    </row>
    <row r="35" spans="1:11" ht="18">
      <c r="A35" s="26" t="s">
        <v>48</v>
      </c>
      <c r="B35" s="7">
        <v>107488</v>
      </c>
      <c r="C35" s="2">
        <f t="shared" si="0"/>
        <v>46071</v>
      </c>
      <c r="D35" s="1">
        <f t="shared" si="0"/>
        <v>3</v>
      </c>
      <c r="E35" s="28">
        <v>0</v>
      </c>
      <c r="F35" s="3">
        <v>12</v>
      </c>
      <c r="G35" s="15">
        <v>18</v>
      </c>
      <c r="H35" s="15">
        <v>22.5</v>
      </c>
      <c r="I35" s="20">
        <v>30</v>
      </c>
      <c r="J35" s="23">
        <f>Tabla1354[[#This Row],[Total_Polizas]]/Tabla1354[[#This Row],[Mes_Actual]]</f>
        <v>0</v>
      </c>
      <c r="K35" s="25" t="str">
        <f>IF(Tabla1354[[#This Row],[Total_Polizas]] &gt;= (Tabla1354[[#This Row],[Mes_Actual]] * 4), "✅ EN META", "❌ POR DEBAJO")</f>
        <v>❌ POR DEBAJO</v>
      </c>
    </row>
    <row r="36" spans="1:11" ht="18">
      <c r="A36" s="6" t="s">
        <v>50</v>
      </c>
      <c r="B36" s="7">
        <v>104750</v>
      </c>
      <c r="C36" s="2">
        <f t="shared" si="0"/>
        <v>46071</v>
      </c>
      <c r="D36" s="1">
        <f t="shared" si="0"/>
        <v>3</v>
      </c>
      <c r="E36" s="28">
        <v>0</v>
      </c>
      <c r="F36" s="3">
        <v>12</v>
      </c>
      <c r="G36" s="15">
        <v>18</v>
      </c>
      <c r="H36" s="15">
        <v>22.5</v>
      </c>
      <c r="I36" s="20">
        <v>30</v>
      </c>
      <c r="J36" s="23">
        <f>Tabla1354[[#This Row],[Total_Polizas]]/Tabla1354[[#This Row],[Mes_Actual]]</f>
        <v>0</v>
      </c>
      <c r="K36" s="25" t="str">
        <f>IF(Tabla1354[[#This Row],[Total_Polizas]] &gt;= (Tabla1354[[#This Row],[Mes_Actual]] * 4), "✅ EN META", "❌ POR DEBAJO")</f>
        <v>❌ POR DEBAJO</v>
      </c>
    </row>
    <row r="37" spans="1:11" ht="18">
      <c r="A37" s="6" t="s">
        <v>40</v>
      </c>
      <c r="B37" s="7">
        <v>114157</v>
      </c>
      <c r="C37" s="2">
        <f t="shared" si="0"/>
        <v>46071</v>
      </c>
      <c r="D37" s="1">
        <f t="shared" si="0"/>
        <v>3</v>
      </c>
      <c r="E37" s="28">
        <v>0</v>
      </c>
      <c r="F37" s="3">
        <v>12</v>
      </c>
      <c r="G37" s="15">
        <v>18</v>
      </c>
      <c r="H37" s="15">
        <v>22.5</v>
      </c>
      <c r="I37" s="20">
        <v>30</v>
      </c>
      <c r="J37" s="23">
        <f>Tabla1354[[#This Row],[Total_Polizas]]/Tabla1354[[#This Row],[Mes_Actual]]</f>
        <v>0</v>
      </c>
      <c r="K37" s="25" t="str">
        <f>IF(Tabla1354[[#This Row],[Total_Polizas]] &gt;= (Tabla1354[[#This Row],[Mes_Actual]] * 4), "✅ EN META", "❌ POR DEBAJO")</f>
        <v>❌ POR DEBAJO</v>
      </c>
    </row>
    <row r="38" spans="1:11" ht="18">
      <c r="A38" s="6" t="s">
        <v>26</v>
      </c>
      <c r="B38" s="7">
        <v>59120</v>
      </c>
      <c r="C38" s="2">
        <f t="shared" si="0"/>
        <v>46071</v>
      </c>
      <c r="D38" s="1">
        <f t="shared" si="0"/>
        <v>3</v>
      </c>
      <c r="E38" s="28">
        <v>0</v>
      </c>
      <c r="F38" s="3">
        <v>12</v>
      </c>
      <c r="G38" s="15">
        <v>18</v>
      </c>
      <c r="H38" s="15">
        <v>22.5</v>
      </c>
      <c r="I38" s="20">
        <v>30</v>
      </c>
      <c r="J38" s="23">
        <f>Tabla1354[[#This Row],[Total_Polizas]]/Tabla1354[[#This Row],[Mes_Actual]]</f>
        <v>0</v>
      </c>
      <c r="K38" s="25" t="str">
        <f>IF(Tabla1354[[#This Row],[Total_Polizas]] &gt;= (Tabla1354[[#This Row],[Mes_Actual]] * 4), "✅ EN META", "❌ POR DEBAJO")</f>
        <v>❌ POR DEBAJO</v>
      </c>
    </row>
    <row r="39" spans="1:11" ht="18">
      <c r="A39" s="6" t="s">
        <v>39</v>
      </c>
      <c r="B39" s="7">
        <v>114100</v>
      </c>
      <c r="C39" s="2">
        <f t="shared" si="0"/>
        <v>46071</v>
      </c>
      <c r="D39" s="1">
        <f t="shared" si="0"/>
        <v>3</v>
      </c>
      <c r="E39" s="28">
        <v>0</v>
      </c>
      <c r="F39" s="3">
        <v>12</v>
      </c>
      <c r="G39" s="15">
        <v>18</v>
      </c>
      <c r="H39" s="15">
        <v>22.5</v>
      </c>
      <c r="I39" s="20">
        <v>30</v>
      </c>
      <c r="J39" s="23">
        <f>Tabla1354[[#This Row],[Total_Polizas]]/Tabla1354[[#This Row],[Mes_Actual]]</f>
        <v>0</v>
      </c>
      <c r="K39" s="25" t="str">
        <f>IF(Tabla1354[[#This Row],[Total_Polizas]] &gt;= (Tabla1354[[#This Row],[Mes_Actual]] * 4), "✅ EN META", "❌ POR DEBAJO")</f>
        <v>❌ POR DEBAJO</v>
      </c>
    </row>
    <row r="40" spans="1:11" ht="18">
      <c r="A40" s="6" t="s">
        <v>24</v>
      </c>
      <c r="B40" s="7">
        <v>98797</v>
      </c>
      <c r="C40" s="2">
        <f t="shared" si="0"/>
        <v>46071</v>
      </c>
      <c r="D40" s="1">
        <f t="shared" si="0"/>
        <v>3</v>
      </c>
      <c r="E40" s="28">
        <v>0</v>
      </c>
      <c r="F40" s="3">
        <v>12</v>
      </c>
      <c r="G40" s="15">
        <v>18</v>
      </c>
      <c r="H40" s="15">
        <v>22.5</v>
      </c>
      <c r="I40" s="20">
        <v>30</v>
      </c>
      <c r="J40" s="23">
        <f>Tabla1354[[#This Row],[Total_Polizas]]/Tabla1354[[#This Row],[Mes_Actual]]</f>
        <v>0</v>
      </c>
      <c r="K40" s="25" t="str">
        <f>IF(Tabla1354[[#This Row],[Total_Polizas]] &gt;= (Tabla1354[[#This Row],[Mes_Actual]] * 4), "✅ EN META", "❌ POR DEBAJO")</f>
        <v>❌ POR DEBAJO</v>
      </c>
    </row>
    <row r="41" spans="1:11" ht="18">
      <c r="A41" s="26" t="s">
        <v>53</v>
      </c>
      <c r="B41" s="7">
        <v>109998</v>
      </c>
      <c r="C41" s="2">
        <f t="shared" si="0"/>
        <v>46071</v>
      </c>
      <c r="D41" s="1">
        <f t="shared" si="0"/>
        <v>3</v>
      </c>
      <c r="E41" s="28">
        <v>0</v>
      </c>
      <c r="F41" s="3">
        <v>12</v>
      </c>
      <c r="G41" s="15">
        <v>18</v>
      </c>
      <c r="H41" s="15">
        <v>22.5</v>
      </c>
      <c r="I41" s="20">
        <v>30</v>
      </c>
      <c r="J41" s="23">
        <f>Tabla1354[[#This Row],[Total_Polizas]]/Tabla1354[[#This Row],[Mes_Actual]]</f>
        <v>0</v>
      </c>
      <c r="K41" s="25" t="str">
        <f>IF(Tabla1354[[#This Row],[Total_Polizas]] &gt;= (Tabla1354[[#This Row],[Mes_Actual]] * 4), "✅ EN META", "❌ POR DEBAJO")</f>
        <v>❌ POR DEBAJO</v>
      </c>
    </row>
    <row r="42" spans="1:11" ht="18">
      <c r="A42" s="6" t="s">
        <v>3</v>
      </c>
      <c r="B42" s="7">
        <v>111960</v>
      </c>
      <c r="C42" s="2">
        <f t="shared" si="0"/>
        <v>46071</v>
      </c>
      <c r="D42" s="1">
        <f t="shared" si="0"/>
        <v>3</v>
      </c>
      <c r="E42" s="28">
        <v>0</v>
      </c>
      <c r="F42" s="3">
        <v>12</v>
      </c>
      <c r="G42" s="15">
        <v>18</v>
      </c>
      <c r="H42" s="15">
        <v>22.5</v>
      </c>
      <c r="I42" s="20">
        <v>30</v>
      </c>
      <c r="J42" s="23">
        <f>Tabla1354[[#This Row],[Total_Polizas]]/Tabla1354[[#This Row],[Mes_Actual]]</f>
        <v>0</v>
      </c>
      <c r="K42" s="25" t="str">
        <f>IF(Tabla1354[[#This Row],[Total_Polizas]] &gt;= (Tabla1354[[#This Row],[Mes_Actual]] * 4), "✅ EN META", "❌ POR DEBAJO")</f>
        <v>❌ POR DEBAJO</v>
      </c>
    </row>
    <row r="43" spans="1:11" ht="18">
      <c r="A43" s="6" t="s">
        <v>19</v>
      </c>
      <c r="B43" s="7">
        <v>65046</v>
      </c>
      <c r="C43" s="2">
        <f t="shared" ref="C43:D43" si="1">C42</f>
        <v>46071</v>
      </c>
      <c r="D43" s="1">
        <f t="shared" si="1"/>
        <v>3</v>
      </c>
      <c r="E43" s="28">
        <v>0</v>
      </c>
      <c r="F43" s="3">
        <v>12</v>
      </c>
      <c r="G43" s="15">
        <v>18</v>
      </c>
      <c r="H43" s="15">
        <v>22.5</v>
      </c>
      <c r="I43" s="21">
        <v>30</v>
      </c>
      <c r="J43" s="23">
        <f>Tabla1354[[#This Row],[Total_Polizas]]/Tabla1354[[#This Row],[Mes_Actual]]</f>
        <v>0</v>
      </c>
      <c r="K43" s="25" t="str">
        <f>IF(Tabla1354[[#This Row],[Total_Polizas]] &gt;= (Tabla1354[[#This Row],[Mes_Actual]] * 4), "✅ EN META", "❌ POR DEBAJO")</f>
        <v>❌ POR DEBAJO</v>
      </c>
    </row>
    <row r="44" spans="1:11" ht="18">
      <c r="A44" s="6" t="s">
        <v>8</v>
      </c>
      <c r="B44" s="7">
        <v>112083</v>
      </c>
      <c r="C44" s="2">
        <f t="shared" ref="C44:D44" si="2">C43</f>
        <v>46071</v>
      </c>
      <c r="D44" s="1">
        <f t="shared" si="2"/>
        <v>3</v>
      </c>
      <c r="E44" s="28">
        <v>0</v>
      </c>
      <c r="F44" s="3">
        <v>12</v>
      </c>
      <c r="G44" s="15">
        <v>18</v>
      </c>
      <c r="H44" s="15">
        <v>22.5</v>
      </c>
      <c r="I44" s="21">
        <v>30</v>
      </c>
      <c r="J44" s="23">
        <f>Tabla1354[[#This Row],[Total_Polizas]]/Tabla1354[[#This Row],[Mes_Actual]]</f>
        <v>0</v>
      </c>
      <c r="K44" s="25" t="str">
        <f>IF(Tabla1354[[#This Row],[Total_Polizas]] &gt;= (Tabla1354[[#This Row],[Mes_Actual]] * 4), "✅ EN META", "❌ POR DEBAJO")</f>
        <v>❌ POR DEBAJO</v>
      </c>
    </row>
    <row r="45" spans="1:11" ht="18">
      <c r="A45" s="26" t="s">
        <v>37</v>
      </c>
      <c r="B45" s="7">
        <v>94205</v>
      </c>
      <c r="C45" s="2">
        <f t="shared" ref="C45:D45" si="3">C44</f>
        <v>46071</v>
      </c>
      <c r="D45" s="1">
        <f t="shared" si="3"/>
        <v>3</v>
      </c>
      <c r="E45" s="28">
        <v>0</v>
      </c>
      <c r="F45" s="3">
        <v>12</v>
      </c>
      <c r="G45" s="15">
        <v>18</v>
      </c>
      <c r="H45" s="15">
        <v>22.5</v>
      </c>
      <c r="I45" s="21">
        <v>30</v>
      </c>
      <c r="J45" s="23">
        <f>Tabla1354[[#This Row],[Total_Polizas]]/Tabla1354[[#This Row],[Mes_Actual]]</f>
        <v>0</v>
      </c>
      <c r="K45" s="25" t="str">
        <f>IF(Tabla1354[[#This Row],[Total_Polizas]] &gt;= (Tabla1354[[#This Row],[Mes_Actual]] * 4), "✅ EN META", "❌ POR DEBAJO")</f>
        <v>❌ POR DEBAJO</v>
      </c>
    </row>
    <row r="46" spans="1:11" ht="18">
      <c r="A46" s="6" t="s">
        <v>54</v>
      </c>
      <c r="B46" s="7">
        <v>101640</v>
      </c>
      <c r="C46" s="2">
        <f t="shared" ref="C46:D46" si="4">C45</f>
        <v>46071</v>
      </c>
      <c r="D46" s="1">
        <f t="shared" si="4"/>
        <v>3</v>
      </c>
      <c r="E46" s="28">
        <v>0</v>
      </c>
      <c r="F46" s="3">
        <v>12</v>
      </c>
      <c r="G46" s="15">
        <v>18</v>
      </c>
      <c r="H46" s="15">
        <v>22.5</v>
      </c>
      <c r="I46" s="21">
        <v>30</v>
      </c>
      <c r="J46" s="23">
        <f>Tabla1354[[#This Row],[Total_Polizas]]/Tabla1354[[#This Row],[Mes_Actual]]</f>
        <v>0</v>
      </c>
      <c r="K46" s="25" t="str">
        <f>IF(Tabla1354[[#This Row],[Total_Polizas]] &gt;= (Tabla1354[[#This Row],[Mes_Actual]] * 4), "✅ EN META", "❌ POR DEBAJO")</f>
        <v>❌ POR DEBAJO</v>
      </c>
    </row>
    <row r="47" spans="1:11" ht="18">
      <c r="A47" s="6" t="s">
        <v>22</v>
      </c>
      <c r="B47" s="7">
        <v>69684</v>
      </c>
      <c r="C47" s="2">
        <f t="shared" ref="C47:D47" si="5">C46</f>
        <v>46071</v>
      </c>
      <c r="D47" s="1">
        <f t="shared" si="5"/>
        <v>3</v>
      </c>
      <c r="E47" s="28">
        <v>0</v>
      </c>
      <c r="F47" s="3">
        <v>12</v>
      </c>
      <c r="G47" s="15">
        <v>18</v>
      </c>
      <c r="H47" s="15">
        <v>22.5</v>
      </c>
      <c r="I47" s="21">
        <v>30</v>
      </c>
      <c r="J47" s="23">
        <f>Tabla1354[[#This Row],[Total_Polizas]]/Tabla1354[[#This Row],[Mes_Actual]]</f>
        <v>0</v>
      </c>
      <c r="K47" s="25" t="str">
        <f>IF(Tabla1354[[#This Row],[Total_Polizas]] &gt;= (Tabla1354[[#This Row],[Mes_Actual]] * 4), "✅ EN META", "❌ POR DEBAJO")</f>
        <v>❌ POR DEBAJO</v>
      </c>
    </row>
    <row r="48" spans="1:11" ht="18">
      <c r="A48" s="8" t="s">
        <v>15</v>
      </c>
      <c r="B48" s="7">
        <v>109007</v>
      </c>
      <c r="C48" s="2">
        <f t="shared" ref="C48:D48" si="6">C47</f>
        <v>46071</v>
      </c>
      <c r="D48" s="1">
        <f t="shared" si="6"/>
        <v>3</v>
      </c>
      <c r="E48" s="28">
        <v>0</v>
      </c>
      <c r="F48" s="3">
        <v>12</v>
      </c>
      <c r="G48" s="15">
        <v>18</v>
      </c>
      <c r="H48" s="15">
        <v>22.5</v>
      </c>
      <c r="I48" s="21">
        <v>30</v>
      </c>
      <c r="J48" s="23">
        <f>Tabla1354[[#This Row],[Total_Polizas]]/Tabla1354[[#This Row],[Mes_Actual]]</f>
        <v>0</v>
      </c>
      <c r="K48" s="25" t="str">
        <f>IF(Tabla1354[[#This Row],[Total_Polizas]] &gt;= (Tabla1354[[#This Row],[Mes_Actual]] * 4), "✅ EN META", "❌ POR DEBAJO")</f>
        <v>❌ POR DEBAJO</v>
      </c>
    </row>
    <row r="49" spans="1:11" ht="18">
      <c r="A49" s="9"/>
      <c r="B49" s="10"/>
      <c r="C49" s="2"/>
      <c r="D49" s="1"/>
      <c r="E49" s="28"/>
      <c r="F49" s="3"/>
      <c r="G49" s="15"/>
      <c r="H49" s="15"/>
      <c r="I49" s="21"/>
      <c r="J49" s="23"/>
      <c r="K49" s="25"/>
    </row>
    <row r="50" spans="1:11" ht="18">
      <c r="A50" s="11"/>
      <c r="B50" s="12"/>
      <c r="C50" s="13"/>
      <c r="D50" s="12"/>
      <c r="E50" s="29"/>
      <c r="F50" s="14"/>
      <c r="G50" s="16"/>
      <c r="H50" s="16"/>
      <c r="I50" s="22"/>
      <c r="J50" s="24"/>
      <c r="K50" s="27"/>
    </row>
  </sheetData>
  <phoneticPr fontId="8" type="noConversion"/>
  <conditionalFormatting sqref="A5">
    <cfRule type="expression" dxfId="14" priority="4" stopIfTrue="1">
      <formula>#REF!&lt;&gt;""</formula>
    </cfRule>
  </conditionalFormatting>
  <conditionalFormatting sqref="A7">
    <cfRule type="expression" dxfId="13" priority="9" stopIfTrue="1">
      <formula>#REF!&lt;&gt;""</formula>
    </cfRule>
  </conditionalFormatting>
  <conditionalFormatting sqref="A10">
    <cfRule type="expression" dxfId="12" priority="3" stopIfTrue="1">
      <formula>#REF!&lt;&gt;""</formula>
    </cfRule>
  </conditionalFormatting>
  <conditionalFormatting sqref="A12">
    <cfRule type="expression" dxfId="11" priority="7" stopIfTrue="1">
      <formula>#REF!&lt;&gt;""</formula>
    </cfRule>
  </conditionalFormatting>
  <conditionalFormatting sqref="A20">
    <cfRule type="expression" dxfId="10" priority="8" stopIfTrue="1">
      <formula>#REF!&lt;&gt;""</formula>
    </cfRule>
  </conditionalFormatting>
  <conditionalFormatting sqref="A27">
    <cfRule type="expression" dxfId="9" priority="2" stopIfTrue="1">
      <formula>#REF!&lt;&gt;""</formula>
    </cfRule>
  </conditionalFormatting>
  <conditionalFormatting sqref="A35">
    <cfRule type="expression" dxfId="8" priority="5" stopIfTrue="1">
      <formula>#REF!&lt;&gt;""</formula>
    </cfRule>
  </conditionalFormatting>
  <conditionalFormatting sqref="A41">
    <cfRule type="expression" dxfId="7" priority="10" stopIfTrue="1">
      <formula>#REF!&lt;&gt;""</formula>
    </cfRule>
  </conditionalFormatting>
  <conditionalFormatting sqref="A45">
    <cfRule type="expression" dxfId="6" priority="6" stopIfTrue="1">
      <formula>#REF!&lt;&gt;""</formula>
    </cfRule>
  </conditionalFormatting>
  <conditionalFormatting sqref="A50:B50">
    <cfRule type="expression" dxfId="5" priority="12" stopIfTrue="1">
      <formula>$B50&lt;&gt;""</formula>
    </cfRule>
  </conditionalFormatting>
  <conditionalFormatting sqref="B49">
    <cfRule type="expression" dxfId="4" priority="14" stopIfTrue="1">
      <formula>$B49&lt;&gt;""</formula>
    </cfRule>
  </conditionalFormatting>
  <conditionalFormatting sqref="C2:D49 G2:H49 A3">
    <cfRule type="expression" dxfId="3" priority="11" stopIfTrue="1">
      <formula>#REF!&lt;&gt;""</formula>
    </cfRule>
  </conditionalFormatting>
  <conditionalFormatting sqref="E2:E49">
    <cfRule type="expression" dxfId="2" priority="1">
      <formula>$B2&lt;&gt;""</formula>
    </cfRule>
  </conditionalFormatting>
  <conditionalFormatting sqref="F2:F49 E50:F50">
    <cfRule type="expression" dxfId="1" priority="16" stopIfTrue="1">
      <formula>#REF!&lt;&gt;""</formula>
    </cfRule>
    <cfRule type="expression" dxfId="0" priority="17" stopIfTrue="1">
      <formula>#REF!&lt;&gt;""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2025-12-30T21:00:59Z</dcterms:created>
  <dcterms:modified xsi:type="dcterms:W3CDTF">2026-03-03T19:58:04Z</dcterms:modified>
</cp:coreProperties>
</file>