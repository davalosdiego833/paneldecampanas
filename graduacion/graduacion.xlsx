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7FDF9247-5EA7-704B-9383-C51E46CF306E}" xr6:coauthVersionLast="47" xr6:coauthVersionMax="47" xr10:uidLastSave="{00000000-0000-0000-0000-000000000000}"/>
  <bookViews>
    <workbookView xWindow="3620" yWindow="4700" windowWidth="24460" windowHeight="163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<sst xmlns="http://schemas.openxmlformats.org/spreadsheetml/2006/main" count="104" uniqueCount="45">
  <si>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</si>
  <si>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</si>
  <si>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</si>
  <si>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</si>
  <si>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</si>
  <si>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</si>
  <si>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</si>
  <si>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</si>
  <si>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</si>
  <si>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</si>
  <si>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</si>
  <si>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</si>
  <si>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</si>
  <si>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</si>
  <si>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</si>
  <si>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</si>
  <si>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</si>
  <si>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</si>
  <si>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</si>
  <si>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</si>
  <si>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</si>
  <si>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</si>
  <si>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</si>
  <si>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</si>
  <si>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</si>
  <si>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</si>
  <si>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</si>
  <si>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</si>
  <si>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</si>
  <si>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</si>
  <si>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</si>
  <si>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</si>
  <si>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</si>
  <si>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</si>
  <si>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</si>
  <si>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</si>
  <si>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</si>
  <si>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</si>
  <si>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</si>
  <si>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</si>
  <si>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</si>
  <si>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</si>
  <si>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PAULA ANGELICA LOMELI CAZARES</t>
  </si>
  <si>
    <t>VM</t>
  </si>
  <si>
    <t>Avance al 31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</si>
</sst>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65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64">
  <autoFilter ref="A3:W15" xr:uid="{C8C84689-1448-8442-B1F2-C8CC1CDB3E89}"/>
  <tableColumns count="23">
    <tableColumn id="1" xr3:uid="{3B622300-6924-DB4F-A62F-2EEC39FAB0A2}" name="DIR / ZONA" dataDxfId="63"/>
    <tableColumn id="2" xr3:uid="{56109AD6-9361-EA49-82CB-5F16E0E8FEF7}" name="OFICINA" dataDxfId="62"/>
    <tableColumn id="3" xr3:uid="{AB1E1DBC-B048-A740-9A78-5965EB9EC44F}" name="GERENCIA / SP" dataDxfId="61"/>
    <tableColumn id="4" xr3:uid="{61CAAE43-B726-6C46-97AC-90058F4DA6D1}" name="MAT" dataDxfId="60"/>
    <tableColumn id="5" xr3:uid="{E8AA5DF5-9B6D-2543-9325-7C035D241238}" name="SUC" dataDxfId="59"/>
    <tableColumn id="6" xr3:uid="{295631B1-0185-9B4D-8500-6B9AA08F63F2}" name="PROMOTOR / PARTNER" dataDxfId="58"/>
    <tableColumn id="7" xr3:uid="{4B47B735-008D-2449-B456-D2DD3B472696}" name="ASESOR" dataDxfId="57"/>
    <tableColumn id="8" xr3:uid="{975EC707-F2EE-5144-BEFE-BA96A47202F3}" name="NOMBRE" dataDxfId="56"/>
    <tableColumn id="9" xr3:uid="{027BA34A-24D8-E94B-83B2-B0C1B6025207}" name="MES" dataDxfId="55" dataCellStyle="Millares"/>
    <tableColumn id="10" xr3:uid="{646ECA88-7396-D040-B5DF-0AAEB243F28F}" name="F. CONEXIÓN" dataDxfId="54" dataCellStyle="Millares"/>
    <tableColumn id="11" xr3:uid="{26CD5808-6FE4-1F4D-BE8F-7814A14EB008}" name="F. CONCURSO" dataDxfId="53" dataCellStyle="Millares"/>
    <tableColumn id="12" xr3:uid="{4B28D83F-5D6D-624E-BB91-9704EE1A3E14}" name="LÍMITE P/  LOGRO DE META" dataDxfId="52" dataCellStyle="Millares"/>
    <tableColumn id="13" xr3:uid="{E489BE13-FD5F-904D-8881-224954582674}" name="CUADERNO DE CONCURSO" dataDxfId="51" dataCellStyle="Millares"/>
    <tableColumn id="14" xr3:uid="{26915D16-D4BC-B145-BE2F-527AE56B2BAB}" name="GRUPO" dataDxfId="50"/>
    <tableColumn id="15" xr3:uid="{A89792EE-9143-B14C-9C0C-81844C60721D}" name="TOTAL" dataDxfId="49"/>
    <tableColumn id="16" xr3:uid="{14F06EE7-B141-B346-AB39-618B1114E96F}" name="CANCEL." dataDxfId="48"/>
    <tableColumn id="17" xr3:uid="{9B9D77BF-8869-CA44-BCEA-33C8D4FA1307}" name="EN VIGOR" dataDxfId="47"/>
    <tableColumn id="18" xr3:uid="{2060FD50-AB1E-C245-B146-DB9618552765}" name="PROMEDIO" dataDxfId="46"/>
    <tableColumn id="19" xr3:uid="{F956BCDA-7715-ED46-9C68-AA2CA74FB455}" name="VIDA" dataDxfId="45"/>
    <tableColumn id="20" xr3:uid="{F8F35AF9-120D-5944-B380-9F31E59F8709}" name="GMM" dataDxfId="44"/>
    <tableColumn id="21" xr3:uid="{E6C3EA59-5FA1-3446-9DEF-1B9EE5CF332D}" name="TOTAL2" dataDxfId="43"/>
    <tableColumn id="22" xr3:uid="{75E46555-9E6E-E349-A48E-06957BB9C039}" name="ESTATUS" dataDxfId="42"/>
    <tableColumn id="23" xr3:uid="{24832D48-18B2-2F4B-A6BA-E52011154826}" name="OBSERVACIÓN" dataDxfId="4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zoomScale="87" workbookViewId="0">
      <selection activeCell="A5" sqref="A5:W15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44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46326.04</v>
      </c>
      <c r="T6" s="37">
        <v>0</v>
      </c>
      <c r="U6" s="38">
        <v>46326.04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64634.61</v>
      </c>
      <c r="T7" s="37">
        <v>35462.339999999997</v>
      </c>
      <c r="U7" s="38">
        <v>100096.95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77872.639999999999</v>
      </c>
      <c r="T8" s="37">
        <v>492.87</v>
      </c>
      <c r="U8" s="38">
        <v>78365.509999999995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77980.33</v>
      </c>
      <c r="T9" s="37">
        <v>17462.349999999999</v>
      </c>
      <c r="U9" s="38">
        <v>95442.68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1</v>
      </c>
      <c r="Q10" s="36">
        <v>5.5</v>
      </c>
      <c r="R10" s="36">
        <v>0</v>
      </c>
      <c r="S10" s="37">
        <v>24339.67</v>
      </c>
      <c r="T10" s="37">
        <v>2343.7399999999998</v>
      </c>
      <c r="U10" s="38">
        <v>26683.41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9</v>
      </c>
      <c r="P11" s="35">
        <v>1</v>
      </c>
      <c r="Q11" s="36">
        <v>8</v>
      </c>
      <c r="R11" s="36">
        <v>0</v>
      </c>
      <c r="S11" s="37">
        <v>30025.279999999999</v>
      </c>
      <c r="T11" s="37">
        <v>10725.48</v>
      </c>
      <c r="U11" s="38">
        <v>40750.76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14.5</v>
      </c>
      <c r="P12" s="35">
        <v>0</v>
      </c>
      <c r="Q12" s="36">
        <v>14.5</v>
      </c>
      <c r="R12" s="36">
        <v>0</v>
      </c>
      <c r="S12" s="37">
        <v>93852.6</v>
      </c>
      <c r="T12" s="37">
        <v>9781.07</v>
      </c>
      <c r="U12" s="38">
        <v>103633.67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12</v>
      </c>
      <c r="P13" s="35">
        <v>0</v>
      </c>
      <c r="Q13" s="36">
        <v>12</v>
      </c>
      <c r="R13" s="36">
        <v>0</v>
      </c>
      <c r="S13" s="37">
        <v>62143.38</v>
      </c>
      <c r="T13" s="37">
        <v>11097.86</v>
      </c>
      <c r="U13" s="38">
        <v>73241.240000000005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38640.239999999998</v>
      </c>
      <c r="T14" s="37">
        <v>3198.71</v>
      </c>
      <c r="U14" s="38">
        <v>41838.949999999997</v>
      </c>
      <c r="V14" s="20"/>
      <c r="W14" s="39"/>
    </row>
    <row r="15" spans="1:23" x14ac:dyDescent="0.2">
      <c r="A15" s="10" t="s">
        <v>24</v>
      </c>
      <c r="B15" s="30" t="s">
        <v>25</v>
      </c>
      <c r="C15" s="30" t="s">
        <v>26</v>
      </c>
      <c r="D15" s="10">
        <v>2043</v>
      </c>
      <c r="E15" s="10">
        <v>2856</v>
      </c>
      <c r="F15" s="30" t="s">
        <v>27</v>
      </c>
      <c r="G15" s="10">
        <v>116876</v>
      </c>
      <c r="H15" s="2" t="s">
        <v>42</v>
      </c>
      <c r="I15" s="31">
        <v>1</v>
      </c>
      <c r="J15" s="32">
        <v>46111</v>
      </c>
      <c r="K15" s="32">
        <v>46111</v>
      </c>
      <c r="L15" s="6">
        <v>46419</v>
      </c>
      <c r="M15" s="33" t="s">
        <v>32</v>
      </c>
      <c r="N15" s="10" t="s">
        <v>30</v>
      </c>
      <c r="O15" s="34">
        <v>4.5</v>
      </c>
      <c r="P15" s="35">
        <v>0</v>
      </c>
      <c r="Q15" s="36">
        <v>4.5</v>
      </c>
      <c r="R15" s="36">
        <v>0</v>
      </c>
      <c r="S15" s="37">
        <v>21055.42</v>
      </c>
      <c r="T15" s="37">
        <v>188.11</v>
      </c>
      <c r="U15" s="38">
        <v>21243.53</v>
      </c>
      <c r="V15" s="20" t="s">
        <v>43</v>
      </c>
      <c r="W15" s="39"/>
    </row>
  </sheetData>
  <conditionalFormatting sqref="V5:V15">
    <cfRule type="cellIs" dxfId="22" priority="22" operator="equal">
      <formula>"Cumplio Meta"</formula>
    </cfRule>
    <cfRule type="cellIs" dxfId="21" priority="22" operator="equal">
      <formula>"VM"</formula>
    </cfRule>
  </conditionalFormatting>
  <conditionalFormatting sqref="P5:R15 N5:N15">
    <cfRule type="expression" dxfId="20" priority="23">
      <formula>AND($B5&lt;&gt;"",$O5&lt;&gt;"2",,$O5&lt;&gt;"3")</formula>
    </cfRule>
  </conditionalFormatting>
  <conditionalFormatting sqref="Q5:Q9">
    <cfRule type="expression" dxfId="19" priority="20">
      <formula>"y($B18&lt;&gt;"",r18&lt;36)"</formula>
    </cfRule>
  </conditionalFormatting>
  <conditionalFormatting sqref="Q5:Q9">
    <cfRule type="expression" dxfId="18" priority="19">
      <formula>AND($B5&lt;&gt;"",Q5&lt;36)</formula>
    </cfRule>
  </conditionalFormatting>
  <conditionalFormatting sqref="U5:U9">
    <cfRule type="expression" dxfId="17" priority="18">
      <formula>AND($B5&lt;&gt;"",U5&lt;95000)</formula>
    </cfRule>
  </conditionalFormatting>
  <conditionalFormatting sqref="A5:W15">
    <cfRule type="expression" dxfId="16" priority="22">
      <formula>$B5&lt;&gt;""</formula>
    </cfRule>
  </conditionalFormatting>
  <conditionalFormatting sqref="A5:W15">
    <cfRule type="expression" dxfId="15" priority="16">
      <formula>$B5&lt;&gt;""</formula>
    </cfRule>
  </conditionalFormatting>
  <conditionalFormatting sqref="Q5:Q15">
    <cfRule type="expression" dxfId="14" priority="15">
      <formula>AND($B5&lt;&gt;"",Q5&lt;36)</formula>
    </cfRule>
  </conditionalFormatting>
  <conditionalFormatting sqref="R5:R15">
    <cfRule type="expression" dxfId="13" priority="15">
      <formula>AND($J5&gt;=13,$S5&lt;1,$B5&lt;&gt;"")</formula>
    </cfRule>
  </conditionalFormatting>
  <conditionalFormatting sqref="U5:U15">
    <cfRule type="expression" dxfId="12" priority="16">
      <formula>AND($B5&lt;&gt;"",U5&lt;95000)</formula>
    </cfRule>
  </conditionalFormatting>
  <conditionalFormatting sqref="V5:V15">
    <cfRule type="cellIs" dxfId="11" priority="13" operator="equal">
      <formula>"Cumplio Meta"</formula>
    </cfRule>
    <cfRule type="cellIs" dxfId="10" priority="14" operator="equal">
      <formula>"VM"</formula>
    </cfRule>
  </conditionalFormatting>
  <conditionalFormatting sqref="W5:W15">
    <cfRule type="containsText" dxfId="9" priority="10" operator="containsText" text="No cumple">
      <formula>NOT(ISERROR(SEARCH("No cumple",W5)))</formula>
    </cfRule>
  </conditionalFormatting>
  <conditionalFormatting sqref="A5:W15">
    <cfRule type="expression" dxfId="8" priority="9">
      <formula>$B5&lt;&gt;""</formula>
    </cfRule>
  </conditionalFormatting>
  <conditionalFormatting sqref="Q5:Q15">
    <cfRule type="expression" dxfId="7" priority="8">
      <formula>AND($B5&lt;&gt;"",Q5&lt;36)</formula>
    </cfRule>
  </conditionalFormatting>
  <conditionalFormatting sqref="R5:R15">
    <cfRule type="expression" dxfId="6" priority="8">
      <formula>AND($J5&gt;=13,$S5&lt;1,$B5&lt;&gt;"")</formula>
    </cfRule>
  </conditionalFormatting>
  <conditionalFormatting sqref="U5:U15">
    <cfRule type="expression" dxfId="5" priority="9">
      <formula>AND($B5&lt;&gt;"",U5&lt;95000)</formula>
    </cfRule>
  </conditionalFormatting>
  <conditionalFormatting sqref="V5:V15">
    <cfRule type="cellIs" dxfId="4" priority="6" operator="equal">
      <formula>"Cumplio Meta"</formula>
    </cfRule>
    <cfRule type="cellIs" dxfId="3" priority="7" operator="equal">
      <formula>"VM"</formula>
    </cfRule>
  </conditionalFormatting>
  <conditionalFormatting sqref="W5:W15">
    <cfRule type="containsText" dxfId="2" priority="3" operator="containsText" text="No cumple">
      <formula>NOT(ISERROR(SEARCH("No cumple",W5)))</formula>
    </cfRule>
  </conditionalFormatting>
  <conditionalFormatting sqref="Q10:Q15">
    <cfRule type="expression" dxfId="1" priority="2">
      <formula>AND($B10&lt;&gt;"",Q10&lt;36)</formula>
    </cfRule>
  </conditionalFormatting>
  <conditionalFormatting sqref="U10:U15">
    <cfRule type="expression" dxfId="0" priority="1">
      <formula>AND($B10&lt;&gt;"",U10&lt;95000)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2026-04-20T17:55:42Z</dcterms:modified>
</cp:coreProperties>
</file>