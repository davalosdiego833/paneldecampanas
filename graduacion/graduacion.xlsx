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5016FF17-750B-664F-8E2D-74B10189D4A5}" xr6:coauthVersionLast="47" xr6:coauthVersionMax="47" xr10:uidLastSave="{00000000-0000-0000-0000-000000000000}"/>
  <bookViews>
    <workbookView xWindow="2400" yWindow="1440" windowWidth="24460" windowHeight="1632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<sst xmlns="http://schemas.openxmlformats.org/spreadsheetml/2006/main" count="98" uniqueCount="44">
  <si>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</si>
  <si>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</si>
  <si>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</si>
  <si>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</si>
  <si>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</si>
  <si>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</si>
  <si>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</si>
  <si>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</si>
  <si>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</si>
  <si>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</si>
  <si>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</si>
  <si>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</si>
  <si>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</si>
  <si>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</si>
  <si>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</si>
  <si>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</si>
  <si>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</si>
  <si>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</si>
  <si>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</si>
  <si>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</si>
  <si>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</si>
  <si>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</si>
  <si>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</si>
  <si>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</si>
  <si>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</si>
  <si>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</si>
  <si>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</si>
  <si>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</si>
  <si>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PROFESIONAL</t>
  </si>
  <si>
    <t>2</t>
  </si>
  <si>
    <t>LAURA DOLORES MONTAÐO MONTAÐO</t>
  </si>
  <si>
    <t>TRAINING ALLOWANCE</t>
  </si>
  <si>
    <t>ADRIANA ALEJANDRA JOYA MARTINEZ</t>
  </si>
  <si>
    <t>ANA LAURA CONTRERAS IÐIGUEZ</t>
  </si>
  <si>
    <t>HANA SOFIA LOPEZ QUIÐONEZ</t>
  </si>
  <si>
    <t>VELIA PATRICIA BERNAL RAMOS</t>
  </si>
  <si>
    <t>ANA VERONICA GONZALEZ GAYTAN</t>
  </si>
  <si>
    <t>LUVIA PATRICIA FIGUEROA CASTRO</t>
  </si>
  <si>
    <t>TOTAL2</t>
  </si>
  <si>
    <t>PAULA ANGELICA LOMELI CAZARES</t>
  </si>
  <si>
    <t>SOFIA CAMPILLO VASCONCELOS</t>
  </si>
  <si>
    <t>VM</t>
  </si>
  <si>
    <t>MONSERRAT VELASCO SANTOS</t>
  </si>
  <si>
    <t>Avance al 20 de MAYO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</si>
</sst>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48"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4" totalsRowShown="0" headerRowDxfId="47">
  <autoFilter ref="A3:W14" xr:uid="{C8C84689-1448-8442-B1F2-C8CC1CDB3E89}"/>
  <tableColumns count="23">
    <tableColumn id="1" xr3:uid="{3B622300-6924-DB4F-A62F-2EEC39FAB0A2}" name="DIR / ZONA" dataDxfId="46"/>
    <tableColumn id="2" xr3:uid="{56109AD6-9361-EA49-82CB-5F16E0E8FEF7}" name="OFICINA" dataDxfId="45"/>
    <tableColumn id="3" xr3:uid="{AB1E1DBC-B048-A740-9A78-5965EB9EC44F}" name="GERENCIA / SP" dataDxfId="44"/>
    <tableColumn id="4" xr3:uid="{61CAAE43-B726-6C46-97AC-90058F4DA6D1}" name="MAT" dataDxfId="43"/>
    <tableColumn id="5" xr3:uid="{E8AA5DF5-9B6D-2543-9325-7C035D241238}" name="SUC" dataDxfId="42"/>
    <tableColumn id="6" xr3:uid="{295631B1-0185-9B4D-8500-6B9AA08F63F2}" name="PROMOTOR / PARTNER" dataDxfId="41"/>
    <tableColumn id="7" xr3:uid="{4B47B735-008D-2449-B456-D2DD3B472696}" name="ASESOR" dataDxfId="40"/>
    <tableColumn id="8" xr3:uid="{975EC707-F2EE-5144-BEFE-BA96A47202F3}" name="NOMBRE" dataDxfId="39"/>
    <tableColumn id="9" xr3:uid="{027BA34A-24D8-E94B-83B2-B0C1B6025207}" name="MES" dataDxfId="38" dataCellStyle="Millares"/>
    <tableColumn id="10" xr3:uid="{646ECA88-7396-D040-B5DF-0AAEB243F28F}" name="F. CONEXIÓN" dataDxfId="37" dataCellStyle="Millares"/>
    <tableColumn id="11" xr3:uid="{26CD5808-6FE4-1F4D-BE8F-7814A14EB008}" name="F. CONCURSO" dataDxfId="36" dataCellStyle="Millares"/>
    <tableColumn id="12" xr3:uid="{4B28D83F-5D6D-624E-BB91-9704EE1A3E14}" name="LÍMITE P/  LOGRO DE META" dataDxfId="35" dataCellStyle="Millares"/>
    <tableColumn id="13" xr3:uid="{E489BE13-FD5F-904D-8881-224954582674}" name="CUADERNO DE CONCURSO" dataDxfId="34" dataCellStyle="Millares"/>
    <tableColumn id="14" xr3:uid="{26915D16-D4BC-B145-BE2F-527AE56B2BAB}" name="GRUPO" dataDxfId="33"/>
    <tableColumn id="15" xr3:uid="{A89792EE-9143-B14C-9C0C-81844C60721D}" name="TOTAL" dataDxfId="32"/>
    <tableColumn id="16" xr3:uid="{14F06EE7-B141-B346-AB39-618B1114E96F}" name="CANCEL." dataDxfId="31"/>
    <tableColumn id="17" xr3:uid="{9B9D77BF-8869-CA44-BCEA-33C8D4FA1307}" name="EN VIGOR" dataDxfId="30"/>
    <tableColumn id="18" xr3:uid="{2060FD50-AB1E-C245-B146-DB9618552765}" name="PROMEDIO" dataDxfId="29"/>
    <tableColumn id="19" xr3:uid="{F956BCDA-7715-ED46-9C68-AA2CA74FB455}" name="VIDA" dataDxfId="28"/>
    <tableColumn id="20" xr3:uid="{F8F35AF9-120D-5944-B380-9F31E59F8709}" name="GMM" dataDxfId="27"/>
    <tableColumn id="21" xr3:uid="{E6C3EA59-5FA1-3446-9DEF-1B9EE5CF332D}" name="TOTAL2" dataDxfId="26"/>
    <tableColumn id="22" xr3:uid="{75E46555-9E6E-E349-A48E-06957BB9C039}" name="ESTATUS" dataDxfId="25"/>
    <tableColumn id="23" xr3:uid="{24832D48-18B2-2F4B-A6BA-E52011154826}" name="OBSERVACIÓN" dataDxfId="2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4"/>
  <sheetViews>
    <sheetView tabSelected="1" zoomScale="87" workbookViewId="0">
      <selection activeCell="Q5" sqref="Q5:Q14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43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38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112522</v>
      </c>
      <c r="H5" s="2" t="s">
        <v>30</v>
      </c>
      <c r="I5" s="31">
        <v>14</v>
      </c>
      <c r="J5" s="32">
        <v>45776</v>
      </c>
      <c r="K5" s="32">
        <v>45776</v>
      </c>
      <c r="L5" s="6">
        <v>46082</v>
      </c>
      <c r="M5" s="33" t="s">
        <v>28</v>
      </c>
      <c r="N5" s="10" t="s">
        <v>29</v>
      </c>
      <c r="O5" s="34">
        <v>6</v>
      </c>
      <c r="P5" s="35">
        <v>0</v>
      </c>
      <c r="Q5" s="36">
        <v>6</v>
      </c>
      <c r="R5" s="36">
        <v>0</v>
      </c>
      <c r="S5" s="37">
        <v>46326.04</v>
      </c>
      <c r="T5" s="37">
        <v>0</v>
      </c>
      <c r="U5" s="38">
        <v>46326.04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114100</v>
      </c>
      <c r="H6" s="2" t="s">
        <v>32</v>
      </c>
      <c r="I6" s="31">
        <v>11</v>
      </c>
      <c r="J6" s="32">
        <v>45863</v>
      </c>
      <c r="K6" s="32">
        <v>45863</v>
      </c>
      <c r="L6" s="6">
        <v>46174</v>
      </c>
      <c r="M6" s="33" t="s">
        <v>31</v>
      </c>
      <c r="N6" s="10" t="s">
        <v>29</v>
      </c>
      <c r="O6" s="34">
        <v>14.5</v>
      </c>
      <c r="P6" s="35">
        <v>1</v>
      </c>
      <c r="Q6" s="36">
        <v>13.5</v>
      </c>
      <c r="R6" s="36">
        <v>0</v>
      </c>
      <c r="S6" s="37">
        <v>92155.07</v>
      </c>
      <c r="T6" s="37">
        <v>492.87</v>
      </c>
      <c r="U6" s="38">
        <v>92647.94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113450</v>
      </c>
      <c r="H7" s="2" t="s">
        <v>33</v>
      </c>
      <c r="I7" s="31">
        <v>11</v>
      </c>
      <c r="J7" s="32">
        <v>45852</v>
      </c>
      <c r="K7" s="32">
        <v>45852</v>
      </c>
      <c r="L7" s="6">
        <v>46174</v>
      </c>
      <c r="M7" s="33" t="s">
        <v>31</v>
      </c>
      <c r="N7" s="10" t="s">
        <v>29</v>
      </c>
      <c r="O7" s="34">
        <v>11.5</v>
      </c>
      <c r="P7" s="35">
        <v>1</v>
      </c>
      <c r="Q7" s="36">
        <v>10.5</v>
      </c>
      <c r="R7" s="36">
        <v>0</v>
      </c>
      <c r="S7" s="37">
        <v>80986.17</v>
      </c>
      <c r="T7" s="37">
        <v>17462.349999999999</v>
      </c>
      <c r="U7" s="38">
        <v>98448.52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2043</v>
      </c>
      <c r="F8" s="30" t="s">
        <v>27</v>
      </c>
      <c r="G8" s="10">
        <v>114157</v>
      </c>
      <c r="H8" s="2" t="s">
        <v>34</v>
      </c>
      <c r="I8" s="31">
        <v>9</v>
      </c>
      <c r="J8" s="32">
        <v>45904</v>
      </c>
      <c r="K8" s="32">
        <v>45904</v>
      </c>
      <c r="L8" s="6">
        <v>46235</v>
      </c>
      <c r="M8" s="33" t="s">
        <v>31</v>
      </c>
      <c r="N8" s="10" t="s">
        <v>29</v>
      </c>
      <c r="O8" s="34">
        <v>9.5</v>
      </c>
      <c r="P8" s="35">
        <v>1</v>
      </c>
      <c r="Q8" s="36">
        <v>8.5</v>
      </c>
      <c r="R8" s="36">
        <v>0</v>
      </c>
      <c r="S8" s="37">
        <v>32957.629999999997</v>
      </c>
      <c r="T8" s="37">
        <v>15687.95</v>
      </c>
      <c r="U8" s="38">
        <v>48645.58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2856</v>
      </c>
      <c r="F9" s="30" t="s">
        <v>27</v>
      </c>
      <c r="G9" s="10">
        <v>115047</v>
      </c>
      <c r="H9" s="2" t="s">
        <v>35</v>
      </c>
      <c r="I9" s="31">
        <v>8</v>
      </c>
      <c r="J9" s="32">
        <v>45944</v>
      </c>
      <c r="K9" s="32">
        <v>45944</v>
      </c>
      <c r="L9" s="6">
        <v>46266</v>
      </c>
      <c r="M9" s="33" t="s">
        <v>31</v>
      </c>
      <c r="N9" s="10" t="s">
        <v>29</v>
      </c>
      <c r="O9" s="34">
        <v>14.5</v>
      </c>
      <c r="P9" s="35">
        <v>0</v>
      </c>
      <c r="Q9" s="36">
        <v>14.5</v>
      </c>
      <c r="R9" s="36">
        <v>0</v>
      </c>
      <c r="S9" s="37">
        <v>101426.14</v>
      </c>
      <c r="T9" s="37">
        <v>11474.39</v>
      </c>
      <c r="U9" s="38">
        <v>112900.53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2043</v>
      </c>
      <c r="F10" s="30" t="s">
        <v>27</v>
      </c>
      <c r="G10" s="10">
        <v>115404</v>
      </c>
      <c r="H10" s="2" t="s">
        <v>36</v>
      </c>
      <c r="I10" s="31">
        <v>7</v>
      </c>
      <c r="J10" s="32">
        <v>45986</v>
      </c>
      <c r="K10" s="32">
        <v>45986</v>
      </c>
      <c r="L10" s="6">
        <v>46296</v>
      </c>
      <c r="M10" s="33" t="s">
        <v>31</v>
      </c>
      <c r="N10" s="10" t="s">
        <v>29</v>
      </c>
      <c r="O10" s="34">
        <v>12</v>
      </c>
      <c r="P10" s="35">
        <v>0</v>
      </c>
      <c r="Q10" s="36">
        <v>12</v>
      </c>
      <c r="R10" s="36">
        <v>0</v>
      </c>
      <c r="S10" s="37">
        <v>62946.02</v>
      </c>
      <c r="T10" s="37">
        <v>14463.43</v>
      </c>
      <c r="U10" s="38">
        <v>77409.45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2856</v>
      </c>
      <c r="F11" s="30" t="s">
        <v>27</v>
      </c>
      <c r="G11" s="10">
        <v>116060</v>
      </c>
      <c r="H11" s="2" t="s">
        <v>37</v>
      </c>
      <c r="I11" s="31">
        <v>6</v>
      </c>
      <c r="J11" s="32">
        <v>46010</v>
      </c>
      <c r="K11" s="32">
        <v>46010</v>
      </c>
      <c r="L11" s="6">
        <v>46327</v>
      </c>
      <c r="M11" s="33" t="s">
        <v>31</v>
      </c>
      <c r="N11" s="10" t="s">
        <v>29</v>
      </c>
      <c r="O11" s="34">
        <v>8.5</v>
      </c>
      <c r="P11" s="35">
        <v>0</v>
      </c>
      <c r="Q11" s="36">
        <v>8.5</v>
      </c>
      <c r="R11" s="36">
        <v>0</v>
      </c>
      <c r="S11" s="37">
        <v>48403.94</v>
      </c>
      <c r="T11" s="37">
        <v>3198.71</v>
      </c>
      <c r="U11" s="38">
        <v>51602.65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116876</v>
      </c>
      <c r="H12" s="2" t="s">
        <v>39</v>
      </c>
      <c r="I12" s="31">
        <v>3</v>
      </c>
      <c r="J12" s="32">
        <v>46111</v>
      </c>
      <c r="K12" s="32">
        <v>46111</v>
      </c>
      <c r="L12" s="6">
        <v>46419</v>
      </c>
      <c r="M12" s="33" t="s">
        <v>31</v>
      </c>
      <c r="N12" s="10" t="s">
        <v>29</v>
      </c>
      <c r="O12" s="34">
        <v>4.5</v>
      </c>
      <c r="P12" s="35">
        <v>0</v>
      </c>
      <c r="Q12" s="36">
        <v>4.5</v>
      </c>
      <c r="R12" s="36">
        <v>0</v>
      </c>
      <c r="S12" s="37">
        <v>21667.65</v>
      </c>
      <c r="T12" s="37">
        <v>376.22</v>
      </c>
      <c r="U12" s="38">
        <v>22043.87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2856</v>
      </c>
      <c r="F13" s="30" t="s">
        <v>27</v>
      </c>
      <c r="G13" s="10">
        <v>116883</v>
      </c>
      <c r="H13" s="2" t="s">
        <v>40</v>
      </c>
      <c r="I13" s="31">
        <v>2</v>
      </c>
      <c r="J13" s="32">
        <v>46126</v>
      </c>
      <c r="K13" s="32">
        <v>46126</v>
      </c>
      <c r="L13" s="6">
        <v>46447</v>
      </c>
      <c r="M13" s="33" t="s">
        <v>31</v>
      </c>
      <c r="N13" s="10" t="s">
        <v>29</v>
      </c>
      <c r="O13" s="34">
        <v>8</v>
      </c>
      <c r="P13" s="35">
        <v>0</v>
      </c>
      <c r="Q13" s="36">
        <v>8</v>
      </c>
      <c r="R13" s="36">
        <v>0</v>
      </c>
      <c r="S13" s="37">
        <v>17958.09</v>
      </c>
      <c r="T13" s="37">
        <v>6085.44</v>
      </c>
      <c r="U13" s="38">
        <v>24043.53</v>
      </c>
      <c r="V13" s="20" t="s">
        <v>41</v>
      </c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2043</v>
      </c>
      <c r="F14" s="30" t="s">
        <v>27</v>
      </c>
      <c r="G14" s="10">
        <v>117440</v>
      </c>
      <c r="H14" s="2" t="s">
        <v>42</v>
      </c>
      <c r="I14" s="31">
        <v>1</v>
      </c>
      <c r="J14" s="32">
        <v>46149</v>
      </c>
      <c r="K14" s="32">
        <v>46149</v>
      </c>
      <c r="L14" s="6">
        <v>46478</v>
      </c>
      <c r="M14" s="33" t="s">
        <v>31</v>
      </c>
      <c r="N14" s="10" t="s">
        <v>29</v>
      </c>
      <c r="O14" s="34">
        <v>6</v>
      </c>
      <c r="P14" s="35">
        <v>0</v>
      </c>
      <c r="Q14" s="36">
        <v>6</v>
      </c>
      <c r="R14" s="36">
        <v>0</v>
      </c>
      <c r="S14" s="37">
        <v>13539.81</v>
      </c>
      <c r="T14" s="37">
        <v>0</v>
      </c>
      <c r="U14" s="38">
        <v>13539.81</v>
      </c>
      <c r="V14" s="20" t="s">
        <v>41</v>
      </c>
      <c r="W14" s="39"/>
    </row>
  </sheetData>
  <conditionalFormatting sqref="W5:W14">
    <cfRule type="containsText" dxfId="23" priority="45" operator="containsText" text="No cumple">
      <formula>NOT(ISERROR(SEARCH("No cumple",W5)))</formula>
    </cfRule>
    <cfRule type="expression" dxfId="22" priority="47">
      <formula>$B5&lt;&gt;""</formula>
    </cfRule>
    <cfRule type="expression" dxfId="21" priority="64">
      <formula>$B5&lt;&gt;""</formula>
    </cfRule>
  </conditionalFormatting>
  <conditionalFormatting sqref="V5:V14">
    <cfRule type="cellIs" dxfId="20" priority="18" operator="equal">
      <formula>"Cumplio Meta"</formula>
    </cfRule>
    <cfRule type="cellIs" dxfId="19" priority="19" operator="equal">
      <formula>"VM"</formula>
    </cfRule>
  </conditionalFormatting>
  <conditionalFormatting sqref="P5:R14 N5:N14">
    <cfRule type="expression" dxfId="18" priority="21">
      <formula>AND($B5&lt;&gt;"",$O5&lt;&gt;"2",,$O5&lt;&gt;"3")</formula>
    </cfRule>
  </conditionalFormatting>
  <conditionalFormatting sqref="Q5:Q7">
    <cfRule type="expression" dxfId="17" priority="17">
      <formula>"y($B18&lt;&gt;"",r18&lt;36)"</formula>
    </cfRule>
  </conditionalFormatting>
  <conditionalFormatting sqref="Q5:Q7">
    <cfRule type="expression" dxfId="16" priority="16">
      <formula>AND($B5&lt;&gt;"",Q5&lt;36)</formula>
    </cfRule>
  </conditionalFormatting>
  <conditionalFormatting sqref="U5:U7">
    <cfRule type="expression" dxfId="15" priority="15">
      <formula>AND($B5&lt;&gt;"",U5&lt;95000)</formula>
    </cfRule>
  </conditionalFormatting>
  <conditionalFormatting sqref="A5:V14">
    <cfRule type="expression" dxfId="14" priority="20">
      <formula>$B5&lt;&gt;""</formula>
    </cfRule>
  </conditionalFormatting>
  <conditionalFormatting sqref="A5:V14">
    <cfRule type="expression" dxfId="13" priority="10">
      <formula>$B5&lt;&gt;""</formula>
    </cfRule>
  </conditionalFormatting>
  <conditionalFormatting sqref="Q5:Q14">
    <cfRule type="expression" dxfId="12" priority="9">
      <formula>AND($B5&lt;&gt;"",Q5&lt;36)</formula>
    </cfRule>
  </conditionalFormatting>
  <conditionalFormatting sqref="R5:R14">
    <cfRule type="expression" dxfId="11" priority="13">
      <formula>AND($J5&gt;=13,$S5&lt;1,$B5&lt;&gt;"")</formula>
    </cfRule>
  </conditionalFormatting>
  <conditionalFormatting sqref="U5:U14">
    <cfRule type="expression" dxfId="10" priority="14">
      <formula>AND($B5&lt;&gt;"",U5&lt;95000)</formula>
    </cfRule>
  </conditionalFormatting>
  <conditionalFormatting sqref="V5:V14">
    <cfRule type="cellIs" dxfId="9" priority="11" operator="equal">
      <formula>"Cumplio Meta"</formula>
    </cfRule>
    <cfRule type="cellIs" dxfId="8" priority="12" operator="equal">
      <formula>"VM"</formula>
    </cfRule>
  </conditionalFormatting>
  <conditionalFormatting sqref="A5:V14">
    <cfRule type="expression" dxfId="7" priority="4">
      <formula>$B5&lt;&gt;""</formula>
    </cfRule>
  </conditionalFormatting>
  <conditionalFormatting sqref="Q5:Q14">
    <cfRule type="expression" dxfId="6" priority="3">
      <formula>AND($B5&lt;&gt;"",Q5&lt;36)</formula>
    </cfRule>
  </conditionalFormatting>
  <conditionalFormatting sqref="R5:R14">
    <cfRule type="expression" dxfId="5" priority="7">
      <formula>AND($J5&gt;=13,$S5&lt;1,$B5&lt;&gt;"")</formula>
    </cfRule>
  </conditionalFormatting>
  <conditionalFormatting sqref="U5:U14">
    <cfRule type="expression" dxfId="4" priority="8">
      <formula>AND($B5&lt;&gt;"",U5&lt;95000)</formula>
    </cfRule>
  </conditionalFormatting>
  <conditionalFormatting sqref="V5:V14">
    <cfRule type="cellIs" dxfId="3" priority="5" operator="equal">
      <formula>"Cumplio Meta"</formula>
    </cfRule>
    <cfRule type="cellIs" dxfId="2" priority="6" operator="equal">
      <formula>"VM"</formula>
    </cfRule>
  </conditionalFormatting>
  <conditionalFormatting sqref="Q8:Q14">
    <cfRule type="expression" dxfId="1" priority="2">
      <formula>AND($B8&lt;&gt;"",Q8&lt;36)</formula>
    </cfRule>
  </conditionalFormatting>
  <conditionalFormatting sqref="U8:U14">
    <cfRule type="expression" dxfId="0" priority="1">
      <formula>AND($B8&lt;&gt;"",U8&lt;95000)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2026-05-26T16:43:45Z</dcterms:modified>
</cp:coreProperties>
</file>