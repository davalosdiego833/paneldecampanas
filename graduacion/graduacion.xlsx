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/Desktop/panel de campañas/graduacion/"/>
    </mc:Choice>
  </mc:AlternateContent>
  <xr:revisionPtr revIDLastSave="0" documentId="13_ncr:1_{944E226E-D165-F24B-8619-6D50E596A5D1}" xr6:coauthVersionLast="47" xr6:coauthVersionMax="47" xr10:uidLastSave="{00000000-0000-0000-0000-000000000000}"/>
  <bookViews>
    <workbookView xWindow="2520" yWindow="1680" windowWidth="24460" windowHeight="16320" xr2:uid="{C790F585-E5F8-714F-8D00-C112DB38F0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<sst xmlns="http://schemas.openxmlformats.org/spreadsheetml/2006/main" count="111" uniqueCount="46">
  <si>
    <t>PÓLIZAS</t>
  </si>
  <si>
    <t>COMISIONES</t>
  </si>
  <si>
    <t>DIR / ZONA</t>
  </si>
  <si>
    <t>OFICINA</t>
  </si>
  <si>
    <t>GERENCIA / SP</t>
  </si>
  <si>
    <t>MAT</t>
  </si>
  <si>
    <t>SUC</t>
  </si>
  <si>
    <t>PROMOTOR / PARTNER</t>
  </si>
  <si>
    <t>ASESOR</t>
  </si>
  <si>
    <t>NOMBRE</t>
  </si>
  <si>
    <t>MES</t>
  </si>
  <si>
    <t>F. CONEXIÓN</t>
  </si>
  <si>
    <t>F. CONCURSO</t>
  </si>
  <si>
    <t>LÍMITE P/  LOGRO DE META</t>
  </si>
  <si>
    <t>CUADERNO DE CONCURSO</t>
  </si>
  <si>
    <t>GRUPO</t>
  </si>
  <si>
    <t>TOTAL</t>
  </si>
  <si>
    <t>CANCEL.</t>
  </si>
  <si>
    <t>EN VIGOR</t>
  </si>
  <si>
    <t>PROMEDIO</t>
  </si>
  <si>
    <t>VIDA</t>
  </si>
  <si>
    <t>GMM</t>
  </si>
  <si>
    <t>ESTATUS</t>
  </si>
  <si>
    <t>OBSERVACIÓN</t>
  </si>
  <si>
    <t>DOP</t>
  </si>
  <si>
    <t>GUADALAJARA</t>
  </si>
  <si>
    <t>GUADALAJARA (A. RODRIGUEZ</t>
  </si>
  <si>
    <t>ALEJANDRA GABRIELA AMBRIZ GOMEZ</t>
  </si>
  <si>
    <t>CLAUDIA VALERIA HERNANDEZ MACIAS</t>
  </si>
  <si>
    <t>PROFESIONAL</t>
  </si>
  <si>
    <t>2</t>
  </si>
  <si>
    <t>LAURA DOLORES MONTAÐO MONTAÐO</t>
  </si>
  <si>
    <t>TRAINING ALLOWANCE</t>
  </si>
  <si>
    <t>BRUNO BRAULIO MACIAS ALVAREZ</t>
  </si>
  <si>
    <t>ADRIANA ALEJANDRA JOYA MARTINEZ</t>
  </si>
  <si>
    <t>ANA LAURA CONTRERAS IÐIGUEZ</t>
  </si>
  <si>
    <t>MARIA JOSE GUZMAN ZAMORA</t>
  </si>
  <si>
    <t>HANA SOFIA LOPEZ QUIÐONEZ</t>
  </si>
  <si>
    <t>VELIA PATRICIA BERNAL RAMOS</t>
  </si>
  <si>
    <t>ANA VERONICA GONZALEZ GAYTAN</t>
  </si>
  <si>
    <t>LUVIA PATRICIA FIGUEROA CASTRO</t>
  </si>
  <si>
    <t>TOTAL2</t>
  </si>
  <si>
    <t>PAULA ANGELICA LOMELI CAZARES</t>
  </si>
  <si>
    <t>SOFIA CAMPILLO VASCONCELOS</t>
  </si>
  <si>
    <t>VM</t>
  </si>
  <si>
    <t>Avance al 30 de abril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</si>
</sst>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#,##0.0"/>
    <numFmt numFmtId="166" formatCode="0.0"/>
    <numFmt numFmtId="167" formatCode="dd/mm/yy;@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i/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indexed="1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3" fillId="0" borderId="0" xfId="1" applyNumberFormat="1" applyFont="1" applyAlignment="1">
      <alignment vertical="center"/>
    </xf>
    <xf numFmtId="14" fontId="3" fillId="0" borderId="0" xfId="0" applyNumberFormat="1" applyFont="1" applyAlignment="1">
      <alignment vertical="center"/>
    </xf>
    <xf numFmtId="17" fontId="4" fillId="0" borderId="0" xfId="1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Continuous" vertical="center"/>
    </xf>
    <xf numFmtId="165" fontId="4" fillId="0" borderId="0" xfId="0" applyNumberFormat="1" applyFont="1" applyAlignment="1">
      <alignment horizontal="centerContinuous" vertical="center"/>
    </xf>
    <xf numFmtId="3" fontId="3" fillId="0" borderId="0" xfId="0" applyNumberFormat="1" applyFont="1" applyAlignment="1">
      <alignment horizontal="centerContinuous" vertical="center"/>
    </xf>
    <xf numFmtId="0" fontId="3" fillId="0" borderId="0" xfId="0" applyFont="1" applyAlignment="1">
      <alignment horizontal="center" vertical="center"/>
    </xf>
    <xf numFmtId="17" fontId="4" fillId="0" borderId="0" xfId="0" applyNumberFormat="1" applyFont="1" applyAlignment="1">
      <alignment vertical="center"/>
    </xf>
    <xf numFmtId="165" fontId="4" fillId="2" borderId="0" xfId="0" applyNumberFormat="1" applyFont="1" applyFill="1" applyAlignment="1">
      <alignment horizontal="centerContinuous" vertical="center" wrapText="1"/>
    </xf>
    <xf numFmtId="3" fontId="4" fillId="3" borderId="0" xfId="0" applyNumberFormat="1" applyFont="1" applyFill="1" applyAlignment="1">
      <alignment horizontal="centerContinuous" vertical="center" wrapText="1"/>
    </xf>
    <xf numFmtId="0" fontId="4" fillId="4" borderId="0" xfId="0" applyFont="1" applyFill="1" applyAlignment="1">
      <alignment horizontal="center" vertical="center" wrapText="1"/>
    </xf>
    <xf numFmtId="14" fontId="4" fillId="4" borderId="0" xfId="0" applyNumberFormat="1" applyFont="1" applyFill="1" applyAlignment="1">
      <alignment horizontal="center" vertical="center" wrapText="1"/>
    </xf>
    <xf numFmtId="17" fontId="4" fillId="4" borderId="0" xfId="0" applyNumberFormat="1" applyFont="1" applyFill="1" applyAlignment="1">
      <alignment horizontal="center" vertical="center" wrapText="1"/>
    </xf>
    <xf numFmtId="166" fontId="4" fillId="2" borderId="0" xfId="0" applyNumberFormat="1" applyFont="1" applyFill="1" applyAlignment="1">
      <alignment horizontal="center" vertical="center" wrapText="1"/>
    </xf>
    <xf numFmtId="165" fontId="4" fillId="2" borderId="0" xfId="0" applyNumberFormat="1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4" fillId="0" borderId="0" xfId="1" applyNumberFormat="1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 wrapText="1"/>
    </xf>
    <xf numFmtId="17" fontId="4" fillId="0" borderId="0" xfId="0" applyNumberFormat="1" applyFont="1" applyAlignment="1">
      <alignment horizontal="center" vertical="center" wrapText="1"/>
    </xf>
    <xf numFmtId="16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5" fontId="4" fillId="0" borderId="0" xfId="0" applyNumberFormat="1" applyFont="1" applyAlignment="1">
      <alignment horizontal="centerContinuous" vertical="center" wrapText="1"/>
    </xf>
    <xf numFmtId="3" fontId="4" fillId="0" borderId="0" xfId="0" applyNumberFormat="1" applyFont="1" applyAlignment="1">
      <alignment horizontal="centerContinuous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" fontId="3" fillId="0" borderId="0" xfId="1" applyNumberFormat="1" applyFont="1" applyBorder="1" applyAlignment="1">
      <alignment horizontal="center" vertical="center"/>
    </xf>
    <xf numFmtId="14" fontId="3" fillId="0" borderId="0" xfId="1" applyNumberFormat="1" applyFont="1" applyBorder="1" applyAlignment="1">
      <alignment horizontal="center" vertical="center"/>
    </xf>
    <xf numFmtId="164" fontId="3" fillId="0" borderId="0" xfId="1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0" fontId="5" fillId="0" borderId="0" xfId="0" quotePrefix="1" applyFont="1" applyAlignment="1">
      <alignment horizontal="center" vertical="center"/>
    </xf>
  </cellXfs>
  <cellStyles count="2">
    <cellStyle name="Millares" xfId="1" builtinId="3"/>
    <cellStyle name="Normal" xfId="0" builtinId="0"/>
  </cellStyles>
  <dxfs count="63">
    <dxf>
      <font>
        <color rgb="FFFF0000"/>
      </font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lor rgb="FFFF0000"/>
      </font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lor rgb="FF00B0F0"/>
        <name val="Cambria"/>
        <scheme val="none"/>
      </font>
      <fill>
        <patternFill patternType="none">
          <bgColor indexed="65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lor rgb="FF0070C0"/>
        <name val="Cambria"/>
        <scheme val="none"/>
      </font>
      <fill>
        <patternFill patternType="none">
          <bgColor indexed="65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color rgb="FFFF0000"/>
      </font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ndense val="0"/>
        <extend val="0"/>
        <color indexed="10"/>
      </font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lor rgb="FFFF0000"/>
      </font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/>
        <i val="0"/>
        <color rgb="FF00B0F0"/>
        <name val="Cambria"/>
        <scheme val="none"/>
      </font>
      <fill>
        <patternFill patternType="none">
          <bgColor indexed="65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lor rgb="FF0070C0"/>
        <name val="Cambria"/>
        <scheme val="none"/>
      </font>
      <fill>
        <patternFill patternType="none">
          <bgColor indexed="65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color rgb="FFFF0000"/>
      </font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ndense val="0"/>
        <extend val="0"/>
        <color indexed="10"/>
      </font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lor rgb="FFFF0000"/>
      </font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color rgb="FFFF0000"/>
      </font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lor rgb="FFFF0000"/>
      </font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lor rgb="FFFF0000"/>
      </font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ndense val="0"/>
        <extend val="0"/>
        <color indexed="16"/>
      </font>
      <fill>
        <patternFill>
          <bgColor indexed="31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lor rgb="FF00B0F0"/>
        <name val="Cambria"/>
        <scheme val="none"/>
      </font>
      <fill>
        <patternFill patternType="none">
          <bgColor indexed="65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lor rgb="FF0070C0"/>
        <name val="Cambria"/>
        <scheme val="none"/>
      </font>
      <fill>
        <patternFill patternType="none">
          <bgColor indexed="65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lor rgb="FFC00000"/>
      </font>
    </dxf>
    <dxf>
      <font>
        <b/>
        <i val="0"/>
        <color rgb="FF00B0F0"/>
        <name val="Cambria"/>
        <scheme val="none"/>
      </font>
      <fill>
        <patternFill patternType="none">
          <bgColor indexed="65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lor rgb="FF0070C0"/>
        <name val="Cambria"/>
        <scheme val="none"/>
      </font>
      <fill>
        <patternFill patternType="none">
          <bgColor indexed="65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lor rgb="FF00B0F0"/>
        <name val="Cambria"/>
        <scheme val="none"/>
      </font>
      <fill>
        <patternFill patternType="none">
          <bgColor indexed="65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lor rgb="FF0070C0"/>
        <name val="Cambria"/>
        <scheme val="none"/>
      </font>
      <fill>
        <patternFill patternType="none">
          <bgColor indexed="65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color rgb="FFFF0000"/>
      </font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color rgb="FFFF0000"/>
      </font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color rgb="FFFF0000"/>
      </font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ndense val="0"/>
        <extend val="0"/>
        <color indexed="10"/>
      </font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ndense val="0"/>
        <extend val="0"/>
        <color indexed="10"/>
      </font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lor rgb="FFFF0000"/>
      </font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lor rgb="FFFF0000"/>
      </font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lor rgb="FFFF0000"/>
      </font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lor rgb="FFFF0000"/>
      </font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ndense val="0"/>
        <extend val="0"/>
        <color indexed="16"/>
      </font>
      <fill>
        <patternFill>
          <bgColor indexed="31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165" formatCode="#,##0.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165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165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166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164" formatCode="_-* #,##0_-;\-* #,##0_-;_-* &quot;-&quot;??_-;_-@_-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22" formatCode="mmm\-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19" formatCode="dd/mm/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19" formatCode="dd/mm/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numFmt numFmtId="3" formatCode="#,##0"/>
      <fill>
        <patternFill patternType="solid">
          <fgColor indexed="64"/>
          <bgColor theme="8"/>
        </patternFill>
      </fill>
      <alignment horizontal="centerContinuous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C84689-1448-8442-B1F2-C8CC1CDB3E89}" name="Tabla1" displayName="Tabla1" ref="A3:W16" totalsRowShown="0" headerRowDxfId="62">
  <autoFilter ref="A3:W16" xr:uid="{C8C84689-1448-8442-B1F2-C8CC1CDB3E89}"/>
  <tableColumns count="23">
    <tableColumn id="1" xr3:uid="{3B622300-6924-DB4F-A62F-2EEC39FAB0A2}" name="DIR / ZONA" dataDxfId="61"/>
    <tableColumn id="2" xr3:uid="{56109AD6-9361-EA49-82CB-5F16E0E8FEF7}" name="OFICINA" dataDxfId="60"/>
    <tableColumn id="3" xr3:uid="{AB1E1DBC-B048-A740-9A78-5965EB9EC44F}" name="GERENCIA / SP" dataDxfId="59"/>
    <tableColumn id="4" xr3:uid="{61CAAE43-B726-6C46-97AC-90058F4DA6D1}" name="MAT" dataDxfId="58"/>
    <tableColumn id="5" xr3:uid="{E8AA5DF5-9B6D-2543-9325-7C035D241238}" name="SUC" dataDxfId="57"/>
    <tableColumn id="6" xr3:uid="{295631B1-0185-9B4D-8500-6B9AA08F63F2}" name="PROMOTOR / PARTNER" dataDxfId="56"/>
    <tableColumn id="7" xr3:uid="{4B47B735-008D-2449-B456-D2DD3B472696}" name="ASESOR" dataDxfId="55"/>
    <tableColumn id="8" xr3:uid="{975EC707-F2EE-5144-BEFE-BA96A47202F3}" name="NOMBRE" dataDxfId="54"/>
    <tableColumn id="9" xr3:uid="{027BA34A-24D8-E94B-83B2-B0C1B6025207}" name="MES" dataDxfId="53" dataCellStyle="Millares"/>
    <tableColumn id="10" xr3:uid="{646ECA88-7396-D040-B5DF-0AAEB243F28F}" name="F. CONEXIÓN" dataDxfId="52" dataCellStyle="Millares"/>
    <tableColumn id="11" xr3:uid="{26CD5808-6FE4-1F4D-BE8F-7814A14EB008}" name="F. CONCURSO" dataDxfId="51" dataCellStyle="Millares"/>
    <tableColumn id="12" xr3:uid="{4B28D83F-5D6D-624E-BB91-9704EE1A3E14}" name="LÍMITE P/  LOGRO DE META" dataDxfId="50" dataCellStyle="Millares"/>
    <tableColumn id="13" xr3:uid="{E489BE13-FD5F-904D-8881-224954582674}" name="CUADERNO DE CONCURSO" dataDxfId="49" dataCellStyle="Millares"/>
    <tableColumn id="14" xr3:uid="{26915D16-D4BC-B145-BE2F-527AE56B2BAB}" name="GRUPO" dataDxfId="48"/>
    <tableColumn id="15" xr3:uid="{A89792EE-9143-B14C-9C0C-81844C60721D}" name="TOTAL" dataDxfId="47"/>
    <tableColumn id="16" xr3:uid="{14F06EE7-B141-B346-AB39-618B1114E96F}" name="CANCEL." dataDxfId="46"/>
    <tableColumn id="17" xr3:uid="{9B9D77BF-8869-CA44-BCEA-33C8D4FA1307}" name="EN VIGOR" dataDxfId="45"/>
    <tableColumn id="18" xr3:uid="{2060FD50-AB1E-C245-B146-DB9618552765}" name="PROMEDIO" dataDxfId="44"/>
    <tableColumn id="19" xr3:uid="{F956BCDA-7715-ED46-9C68-AA2CA74FB455}" name="VIDA" dataDxfId="43"/>
    <tableColumn id="20" xr3:uid="{F8F35AF9-120D-5944-B380-9F31E59F8709}" name="GMM" dataDxfId="42"/>
    <tableColumn id="21" xr3:uid="{E6C3EA59-5FA1-3446-9DEF-1B9EE5CF332D}" name="TOTAL2" dataDxfId="41"/>
    <tableColumn id="22" xr3:uid="{75E46555-9E6E-E349-A48E-06957BB9C039}" name="ESTATUS" dataDxfId="40"/>
    <tableColumn id="23" xr3:uid="{24832D48-18B2-2F4B-A6BA-E52011154826}" name="OBSERVACIÓN" dataDxfId="3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454C9-C0D9-734E-BED4-594891A853F9}">
  <dimension ref="A1:W16"/>
  <sheetViews>
    <sheetView tabSelected="1" zoomScale="87" workbookViewId="0">
      <selection activeCell="I34" sqref="I34"/>
    </sheetView>
  </sheetViews>
  <sheetFormatPr baseColWidth="10" defaultRowHeight="16" x14ac:dyDescent="0.2"/>
  <cols>
    <col min="1" max="1" width="12.5" customWidth="1"/>
    <col min="3" max="3" width="16.1640625" customWidth="1"/>
    <col min="6" max="6" width="22.83203125" customWidth="1"/>
    <col min="10" max="10" width="14.5" customWidth="1"/>
    <col min="11" max="11" width="15.1640625" customWidth="1"/>
    <col min="12" max="12" width="26.33203125" customWidth="1"/>
    <col min="13" max="13" width="26" customWidth="1"/>
    <col min="17" max="17" width="11.83203125" customWidth="1"/>
    <col min="18" max="18" width="12.6640625" customWidth="1"/>
    <col min="22" max="22" width="11.33203125" customWidth="1"/>
    <col min="23" max="23" width="16" customWidth="1"/>
  </cols>
  <sheetData>
    <row r="1" spans="1:23" x14ac:dyDescent="0.2">
      <c r="A1" s="1" t="s">
        <v>45</v>
      </c>
      <c r="B1" s="2"/>
      <c r="C1" s="2"/>
      <c r="D1" s="3"/>
      <c r="E1" s="2"/>
      <c r="F1" s="2"/>
      <c r="G1" s="2"/>
      <c r="H1" s="2"/>
      <c r="I1" s="4"/>
      <c r="J1" s="5"/>
      <c r="K1" s="5"/>
      <c r="L1" s="6"/>
      <c r="M1" s="2"/>
      <c r="N1" s="2"/>
      <c r="O1" s="7"/>
      <c r="P1" s="7"/>
      <c r="Q1" s="8"/>
      <c r="R1" s="8"/>
      <c r="S1" s="9"/>
      <c r="T1" s="9"/>
      <c r="U1" s="9"/>
      <c r="V1" s="2"/>
      <c r="W1" s="10"/>
    </row>
    <row r="2" spans="1:23" x14ac:dyDescent="0.2">
      <c r="A2" s="3"/>
      <c r="B2" s="1"/>
      <c r="C2" s="1"/>
      <c r="D2" s="3"/>
      <c r="E2" s="2"/>
      <c r="F2" s="2"/>
      <c r="G2" s="2"/>
      <c r="H2" s="2"/>
      <c r="I2" s="4"/>
      <c r="J2" s="5"/>
      <c r="K2" s="5"/>
      <c r="L2" s="11"/>
      <c r="M2" s="2"/>
      <c r="N2" s="2"/>
      <c r="O2" s="12" t="s">
        <v>0</v>
      </c>
      <c r="P2" s="12"/>
      <c r="Q2" s="12"/>
      <c r="R2" s="12"/>
      <c r="S2" s="13" t="s">
        <v>1</v>
      </c>
      <c r="T2" s="13"/>
      <c r="U2" s="13"/>
      <c r="V2" s="2"/>
      <c r="W2" s="10"/>
    </row>
    <row r="3" spans="1:23" x14ac:dyDescent="0.2">
      <c r="A3" s="14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14" t="s">
        <v>9</v>
      </c>
      <c r="I3" s="14" t="s">
        <v>10</v>
      </c>
      <c r="J3" s="15" t="s">
        <v>11</v>
      </c>
      <c r="K3" s="15" t="s">
        <v>12</v>
      </c>
      <c r="L3" s="16" t="s">
        <v>13</v>
      </c>
      <c r="M3" s="14" t="s">
        <v>14</v>
      </c>
      <c r="N3" s="14" t="s">
        <v>15</v>
      </c>
      <c r="O3" s="17" t="s">
        <v>16</v>
      </c>
      <c r="P3" s="18" t="s">
        <v>17</v>
      </c>
      <c r="Q3" s="18" t="s">
        <v>18</v>
      </c>
      <c r="R3" s="18" t="s">
        <v>19</v>
      </c>
      <c r="S3" s="13" t="s">
        <v>20</v>
      </c>
      <c r="T3" s="13" t="s">
        <v>21</v>
      </c>
      <c r="U3" s="13" t="s">
        <v>41</v>
      </c>
      <c r="V3" s="19" t="s">
        <v>22</v>
      </c>
      <c r="W3" s="19" t="s">
        <v>23</v>
      </c>
    </row>
    <row r="4" spans="1:23" x14ac:dyDescent="0.2">
      <c r="A4" s="20"/>
      <c r="B4" s="20"/>
      <c r="C4" s="20"/>
      <c r="D4" s="20"/>
      <c r="E4" s="20"/>
      <c r="F4" s="20"/>
      <c r="G4" s="20"/>
      <c r="H4" s="20"/>
      <c r="I4" s="21"/>
      <c r="J4" s="22"/>
      <c r="K4" s="23"/>
      <c r="L4" s="24"/>
      <c r="M4" s="25"/>
      <c r="N4" s="26"/>
      <c r="O4" s="27"/>
      <c r="P4" s="27"/>
      <c r="Q4" s="27"/>
      <c r="R4" s="27"/>
      <c r="S4" s="28"/>
      <c r="T4" s="28"/>
      <c r="U4" s="28"/>
      <c r="V4" s="26"/>
      <c r="W4" s="29"/>
    </row>
    <row r="5" spans="1:23" x14ac:dyDescent="0.2">
      <c r="A5" s="10" t="s">
        <v>24</v>
      </c>
      <c r="B5" s="30" t="s">
        <v>25</v>
      </c>
      <c r="C5" s="30" t="s">
        <v>26</v>
      </c>
      <c r="D5" s="10">
        <v>2043</v>
      </c>
      <c r="E5" s="10">
        <v>2856</v>
      </c>
      <c r="F5" s="30" t="s">
        <v>27</v>
      </c>
      <c r="G5" s="10">
        <v>111960</v>
      </c>
      <c r="H5" s="2" t="s">
        <v>28</v>
      </c>
      <c r="I5" s="31">
        <v>15</v>
      </c>
      <c r="J5" s="32">
        <v>45707</v>
      </c>
      <c r="K5" s="32">
        <v>45707</v>
      </c>
      <c r="L5" s="6">
        <v>46023</v>
      </c>
      <c r="M5" s="33" t="s">
        <v>29</v>
      </c>
      <c r="N5" s="10" t="s">
        <v>30</v>
      </c>
      <c r="O5" s="34">
        <v>11.5</v>
      </c>
      <c r="P5" s="35">
        <v>4</v>
      </c>
      <c r="Q5" s="36">
        <v>7.5</v>
      </c>
      <c r="R5" s="36">
        <v>0</v>
      </c>
      <c r="S5" s="37">
        <v>98140.03</v>
      </c>
      <c r="T5" s="37">
        <v>934.52</v>
      </c>
      <c r="U5" s="38">
        <v>99074.55</v>
      </c>
      <c r="V5" s="20"/>
      <c r="W5" s="39"/>
    </row>
    <row r="6" spans="1:23" x14ac:dyDescent="0.2">
      <c r="A6" s="10" t="s">
        <v>24</v>
      </c>
      <c r="B6" s="30" t="s">
        <v>25</v>
      </c>
      <c r="C6" s="30" t="s">
        <v>26</v>
      </c>
      <c r="D6" s="10">
        <v>2043</v>
      </c>
      <c r="E6" s="10">
        <v>2856</v>
      </c>
      <c r="F6" s="30" t="s">
        <v>27</v>
      </c>
      <c r="G6" s="10">
        <v>112522</v>
      </c>
      <c r="H6" s="2" t="s">
        <v>31</v>
      </c>
      <c r="I6" s="31">
        <v>13</v>
      </c>
      <c r="J6" s="32">
        <v>45776</v>
      </c>
      <c r="K6" s="32">
        <v>45776</v>
      </c>
      <c r="L6" s="6">
        <v>46082</v>
      </c>
      <c r="M6" s="33" t="s">
        <v>29</v>
      </c>
      <c r="N6" s="10" t="s">
        <v>30</v>
      </c>
      <c r="O6" s="34">
        <v>6</v>
      </c>
      <c r="P6" s="35">
        <v>0</v>
      </c>
      <c r="Q6" s="36">
        <v>6</v>
      </c>
      <c r="R6" s="36">
        <v>0</v>
      </c>
      <c r="S6" s="37">
        <v>46326.04</v>
      </c>
      <c r="T6" s="37">
        <v>0</v>
      </c>
      <c r="U6" s="38">
        <v>46326.04</v>
      </c>
      <c r="V6" s="20"/>
      <c r="W6" s="39"/>
    </row>
    <row r="7" spans="1:23" x14ac:dyDescent="0.2">
      <c r="A7" s="10" t="s">
        <v>24</v>
      </c>
      <c r="B7" s="30" t="s">
        <v>25</v>
      </c>
      <c r="C7" s="30" t="s">
        <v>26</v>
      </c>
      <c r="D7" s="10">
        <v>2043</v>
      </c>
      <c r="E7" s="10">
        <v>2043</v>
      </c>
      <c r="F7" s="30" t="s">
        <v>27</v>
      </c>
      <c r="G7" s="10">
        <v>113076</v>
      </c>
      <c r="H7" s="2" t="s">
        <v>33</v>
      </c>
      <c r="I7" s="31">
        <v>12</v>
      </c>
      <c r="J7" s="32">
        <v>45806</v>
      </c>
      <c r="K7" s="32">
        <v>45806</v>
      </c>
      <c r="L7" s="6">
        <v>46113</v>
      </c>
      <c r="M7" s="33" t="s">
        <v>32</v>
      </c>
      <c r="N7" s="10" t="s">
        <v>30</v>
      </c>
      <c r="O7" s="34">
        <v>10.5</v>
      </c>
      <c r="P7" s="35">
        <v>0</v>
      </c>
      <c r="Q7" s="36">
        <v>10.5</v>
      </c>
      <c r="R7" s="36">
        <v>0</v>
      </c>
      <c r="S7" s="37">
        <v>67720.23</v>
      </c>
      <c r="T7" s="37">
        <v>35462.339999999997</v>
      </c>
      <c r="U7" s="38">
        <v>103182.57</v>
      </c>
      <c r="V7" s="20"/>
      <c r="W7" s="39"/>
    </row>
    <row r="8" spans="1:23" x14ac:dyDescent="0.2">
      <c r="A8" s="10" t="s">
        <v>24</v>
      </c>
      <c r="B8" s="30" t="s">
        <v>25</v>
      </c>
      <c r="C8" s="30" t="s">
        <v>26</v>
      </c>
      <c r="D8" s="10">
        <v>2043</v>
      </c>
      <c r="E8" s="10">
        <v>2856</v>
      </c>
      <c r="F8" s="30" t="s">
        <v>27</v>
      </c>
      <c r="G8" s="10">
        <v>114100</v>
      </c>
      <c r="H8" s="2" t="s">
        <v>34</v>
      </c>
      <c r="I8" s="31">
        <v>10</v>
      </c>
      <c r="J8" s="32">
        <v>45863</v>
      </c>
      <c r="K8" s="32">
        <v>45863</v>
      </c>
      <c r="L8" s="6">
        <v>46174</v>
      </c>
      <c r="M8" s="33" t="s">
        <v>32</v>
      </c>
      <c r="N8" s="10" t="s">
        <v>30</v>
      </c>
      <c r="O8" s="34">
        <v>14.5</v>
      </c>
      <c r="P8" s="35">
        <v>1</v>
      </c>
      <c r="Q8" s="36">
        <v>13.5</v>
      </c>
      <c r="R8" s="36">
        <v>0</v>
      </c>
      <c r="S8" s="37">
        <v>90006.9</v>
      </c>
      <c r="T8" s="37">
        <v>492.87</v>
      </c>
      <c r="U8" s="38">
        <v>90499.77</v>
      </c>
      <c r="V8" s="20"/>
      <c r="W8" s="39"/>
    </row>
    <row r="9" spans="1:23" x14ac:dyDescent="0.2">
      <c r="A9" s="10" t="s">
        <v>24</v>
      </c>
      <c r="B9" s="30" t="s">
        <v>25</v>
      </c>
      <c r="C9" s="30" t="s">
        <v>26</v>
      </c>
      <c r="D9" s="10">
        <v>2043</v>
      </c>
      <c r="E9" s="10">
        <v>2043</v>
      </c>
      <c r="F9" s="30" t="s">
        <v>27</v>
      </c>
      <c r="G9" s="10">
        <v>113450</v>
      </c>
      <c r="H9" s="2" t="s">
        <v>35</v>
      </c>
      <c r="I9" s="31">
        <v>10</v>
      </c>
      <c r="J9" s="32">
        <v>45852</v>
      </c>
      <c r="K9" s="32">
        <v>45852</v>
      </c>
      <c r="L9" s="6">
        <v>46174</v>
      </c>
      <c r="M9" s="33" t="s">
        <v>32</v>
      </c>
      <c r="N9" s="10" t="s">
        <v>30</v>
      </c>
      <c r="O9" s="34">
        <v>11.5</v>
      </c>
      <c r="P9" s="35">
        <v>1</v>
      </c>
      <c r="Q9" s="36">
        <v>10.5</v>
      </c>
      <c r="R9" s="36">
        <v>0</v>
      </c>
      <c r="S9" s="37">
        <v>80986.17</v>
      </c>
      <c r="T9" s="37">
        <v>17462.349999999999</v>
      </c>
      <c r="U9" s="38">
        <v>98448.52</v>
      </c>
      <c r="V9" s="20"/>
      <c r="W9" s="39"/>
    </row>
    <row r="10" spans="1:23" x14ac:dyDescent="0.2">
      <c r="A10" s="10" t="s">
        <v>24</v>
      </c>
      <c r="B10" s="30" t="s">
        <v>25</v>
      </c>
      <c r="C10" s="30" t="s">
        <v>26</v>
      </c>
      <c r="D10" s="10">
        <v>2043</v>
      </c>
      <c r="E10" s="10">
        <v>2043</v>
      </c>
      <c r="F10" s="30" t="s">
        <v>27</v>
      </c>
      <c r="G10" s="10">
        <v>114431</v>
      </c>
      <c r="H10" s="2" t="s">
        <v>36</v>
      </c>
      <c r="I10" s="31">
        <v>8</v>
      </c>
      <c r="J10" s="32">
        <v>45930</v>
      </c>
      <c r="K10" s="32">
        <v>45930</v>
      </c>
      <c r="L10" s="6">
        <v>46235</v>
      </c>
      <c r="M10" s="33" t="s">
        <v>32</v>
      </c>
      <c r="N10" s="10" t="s">
        <v>30</v>
      </c>
      <c r="O10" s="34">
        <v>6.5</v>
      </c>
      <c r="P10" s="35">
        <v>3</v>
      </c>
      <c r="Q10" s="36">
        <v>3.5</v>
      </c>
      <c r="R10" s="36">
        <v>0</v>
      </c>
      <c r="S10" s="37">
        <v>24918.63</v>
      </c>
      <c r="T10" s="37">
        <v>2343.7399999999998</v>
      </c>
      <c r="U10" s="38">
        <v>27262.37</v>
      </c>
      <c r="V10" s="20"/>
      <c r="W10" s="39"/>
    </row>
    <row r="11" spans="1:23" x14ac:dyDescent="0.2">
      <c r="A11" s="10" t="s">
        <v>24</v>
      </c>
      <c r="B11" s="30" t="s">
        <v>25</v>
      </c>
      <c r="C11" s="30" t="s">
        <v>26</v>
      </c>
      <c r="D11" s="10">
        <v>2043</v>
      </c>
      <c r="E11" s="10">
        <v>2043</v>
      </c>
      <c r="F11" s="30" t="s">
        <v>27</v>
      </c>
      <c r="G11" s="10">
        <v>114157</v>
      </c>
      <c r="H11" s="2" t="s">
        <v>37</v>
      </c>
      <c r="I11" s="31">
        <v>8</v>
      </c>
      <c r="J11" s="32">
        <v>45904</v>
      </c>
      <c r="K11" s="32">
        <v>45904</v>
      </c>
      <c r="L11" s="6">
        <v>46235</v>
      </c>
      <c r="M11" s="33" t="s">
        <v>32</v>
      </c>
      <c r="N11" s="10" t="s">
        <v>30</v>
      </c>
      <c r="O11" s="34">
        <v>9.5</v>
      </c>
      <c r="P11" s="35">
        <v>1</v>
      </c>
      <c r="Q11" s="36">
        <v>8.5</v>
      </c>
      <c r="R11" s="36">
        <v>0</v>
      </c>
      <c r="S11" s="37">
        <v>31114.74</v>
      </c>
      <c r="T11" s="37">
        <v>15687.95</v>
      </c>
      <c r="U11" s="38">
        <v>46802.69</v>
      </c>
      <c r="V11" s="20"/>
      <c r="W11" s="39"/>
    </row>
    <row r="12" spans="1:23" x14ac:dyDescent="0.2">
      <c r="A12" s="10" t="s">
        <v>24</v>
      </c>
      <c r="B12" s="30" t="s">
        <v>25</v>
      </c>
      <c r="C12" s="30" t="s">
        <v>26</v>
      </c>
      <c r="D12" s="10">
        <v>2043</v>
      </c>
      <c r="E12" s="10">
        <v>2856</v>
      </c>
      <c r="F12" s="30" t="s">
        <v>27</v>
      </c>
      <c r="G12" s="10">
        <v>115047</v>
      </c>
      <c r="H12" s="2" t="s">
        <v>38</v>
      </c>
      <c r="I12" s="31">
        <v>7</v>
      </c>
      <c r="J12" s="32">
        <v>45944</v>
      </c>
      <c r="K12" s="32">
        <v>45944</v>
      </c>
      <c r="L12" s="6">
        <v>46266</v>
      </c>
      <c r="M12" s="33" t="s">
        <v>32</v>
      </c>
      <c r="N12" s="10" t="s">
        <v>30</v>
      </c>
      <c r="O12" s="34">
        <v>14.5</v>
      </c>
      <c r="P12" s="35">
        <v>0</v>
      </c>
      <c r="Q12" s="36">
        <v>14.5</v>
      </c>
      <c r="R12" s="36">
        <v>0</v>
      </c>
      <c r="S12" s="37">
        <v>97554</v>
      </c>
      <c r="T12" s="37">
        <v>10768.36</v>
      </c>
      <c r="U12" s="38">
        <v>108322.36</v>
      </c>
      <c r="V12" s="20"/>
      <c r="W12" s="39"/>
    </row>
    <row r="13" spans="1:23" x14ac:dyDescent="0.2">
      <c r="A13" s="10" t="s">
        <v>24</v>
      </c>
      <c r="B13" s="30" t="s">
        <v>25</v>
      </c>
      <c r="C13" s="30" t="s">
        <v>26</v>
      </c>
      <c r="D13" s="10">
        <v>2043</v>
      </c>
      <c r="E13" s="10">
        <v>2043</v>
      </c>
      <c r="F13" s="30" t="s">
        <v>27</v>
      </c>
      <c r="G13" s="10">
        <v>115404</v>
      </c>
      <c r="H13" s="2" t="s">
        <v>39</v>
      </c>
      <c r="I13" s="31">
        <v>6</v>
      </c>
      <c r="J13" s="32">
        <v>45986</v>
      </c>
      <c r="K13" s="32">
        <v>45986</v>
      </c>
      <c r="L13" s="6">
        <v>46296</v>
      </c>
      <c r="M13" s="33" t="s">
        <v>32</v>
      </c>
      <c r="N13" s="10" t="s">
        <v>30</v>
      </c>
      <c r="O13" s="34">
        <v>12</v>
      </c>
      <c r="P13" s="35">
        <v>0</v>
      </c>
      <c r="Q13" s="36">
        <v>12</v>
      </c>
      <c r="R13" s="36">
        <v>0</v>
      </c>
      <c r="S13" s="37">
        <v>62946.02</v>
      </c>
      <c r="T13" s="37">
        <v>14463.43</v>
      </c>
      <c r="U13" s="38">
        <v>77409.45</v>
      </c>
      <c r="V13" s="20"/>
      <c r="W13" s="39"/>
    </row>
    <row r="14" spans="1:23" x14ac:dyDescent="0.2">
      <c r="A14" s="10" t="s">
        <v>24</v>
      </c>
      <c r="B14" s="30" t="s">
        <v>25</v>
      </c>
      <c r="C14" s="30" t="s">
        <v>26</v>
      </c>
      <c r="D14" s="10">
        <v>2043</v>
      </c>
      <c r="E14" s="10">
        <v>2856</v>
      </c>
      <c r="F14" s="30" t="s">
        <v>27</v>
      </c>
      <c r="G14" s="10">
        <v>116060</v>
      </c>
      <c r="H14" s="2" t="s">
        <v>40</v>
      </c>
      <c r="I14" s="31">
        <v>5</v>
      </c>
      <c r="J14" s="32">
        <v>46010</v>
      </c>
      <c r="K14" s="32">
        <v>46010</v>
      </c>
      <c r="L14" s="6">
        <v>46327</v>
      </c>
      <c r="M14" s="33" t="s">
        <v>32</v>
      </c>
      <c r="N14" s="10" t="s">
        <v>30</v>
      </c>
      <c r="O14" s="34">
        <v>8.5</v>
      </c>
      <c r="P14" s="35">
        <v>0</v>
      </c>
      <c r="Q14" s="36">
        <v>8.5</v>
      </c>
      <c r="R14" s="36">
        <v>0</v>
      </c>
      <c r="S14" s="37">
        <v>46665.87</v>
      </c>
      <c r="T14" s="37">
        <v>3198.71</v>
      </c>
      <c r="U14" s="38">
        <v>49864.58</v>
      </c>
      <c r="V14" s="20"/>
      <c r="W14" s="39"/>
    </row>
    <row r="15" spans="1:23" x14ac:dyDescent="0.2">
      <c r="A15" s="10" t="s">
        <v>24</v>
      </c>
      <c r="B15" s="30" t="s">
        <v>25</v>
      </c>
      <c r="C15" s="30" t="s">
        <v>26</v>
      </c>
      <c r="D15" s="10">
        <v>2043</v>
      </c>
      <c r="E15" s="10">
        <v>2856</v>
      </c>
      <c r="F15" s="30" t="s">
        <v>27</v>
      </c>
      <c r="G15" s="10">
        <v>116876</v>
      </c>
      <c r="H15" s="2" t="s">
        <v>42</v>
      </c>
      <c r="I15" s="31">
        <v>2</v>
      </c>
      <c r="J15" s="32">
        <v>46111</v>
      </c>
      <c r="K15" s="32">
        <v>46111</v>
      </c>
      <c r="L15" s="6">
        <v>46419</v>
      </c>
      <c r="M15" s="33" t="s">
        <v>32</v>
      </c>
      <c r="N15" s="10" t="s">
        <v>30</v>
      </c>
      <c r="O15" s="34">
        <v>4.5</v>
      </c>
      <c r="P15" s="35">
        <v>0</v>
      </c>
      <c r="Q15" s="36">
        <v>4.5</v>
      </c>
      <c r="R15" s="36">
        <v>0</v>
      </c>
      <c r="S15" s="37">
        <v>21667.65</v>
      </c>
      <c r="T15" s="37">
        <v>376.22</v>
      </c>
      <c r="U15" s="38">
        <v>22043.87</v>
      </c>
      <c r="V15" s="20"/>
      <c r="W15" s="39"/>
    </row>
    <row r="16" spans="1:23" x14ac:dyDescent="0.2">
      <c r="A16" s="10" t="s">
        <v>24</v>
      </c>
      <c r="B16" s="30" t="s">
        <v>25</v>
      </c>
      <c r="C16" s="30" t="s">
        <v>26</v>
      </c>
      <c r="D16" s="10">
        <v>2043</v>
      </c>
      <c r="E16" s="10">
        <v>2856</v>
      </c>
      <c r="F16" s="30" t="s">
        <v>27</v>
      </c>
      <c r="G16" s="10">
        <v>116883</v>
      </c>
      <c r="H16" s="2" t="s">
        <v>43</v>
      </c>
      <c r="I16" s="31">
        <v>1</v>
      </c>
      <c r="J16" s="32">
        <v>46126</v>
      </c>
      <c r="K16" s="32">
        <v>46126</v>
      </c>
      <c r="L16" s="6">
        <v>46447</v>
      </c>
      <c r="M16" s="33" t="s">
        <v>32</v>
      </c>
      <c r="N16" s="10" t="s">
        <v>30</v>
      </c>
      <c r="O16" s="34">
        <v>8</v>
      </c>
      <c r="P16" s="35">
        <v>0</v>
      </c>
      <c r="Q16" s="36">
        <v>8</v>
      </c>
      <c r="R16" s="36">
        <v>0</v>
      </c>
      <c r="S16" s="37">
        <v>17412.400000000001</v>
      </c>
      <c r="T16" s="37">
        <v>6085.44</v>
      </c>
      <c r="U16" s="38">
        <v>23497.84</v>
      </c>
      <c r="V16" s="20" t="s">
        <v>44</v>
      </c>
      <c r="W16" s="39"/>
    </row>
  </sheetData>
  <conditionalFormatting sqref="W5:W16">
    <cfRule type="expression" dxfId="38" priority="26">
      <formula>$B5&lt;&gt;""</formula>
    </cfRule>
    <cfRule type="expression" dxfId="37" priority="33">
      <formula>$B5&lt;&gt;""</formula>
    </cfRule>
    <cfRule type="expression" dxfId="36" priority="43">
      <formula>$B5&lt;&gt;""</formula>
    </cfRule>
  </conditionalFormatting>
  <conditionalFormatting sqref="W5:W16">
    <cfRule type="containsText" dxfId="21" priority="24" operator="containsText" text="No cumple">
      <formula>NOT(ISERROR(SEARCH("No cumple",W5)))</formula>
    </cfRule>
  </conditionalFormatting>
  <conditionalFormatting sqref="V5:V16">
    <cfRule type="cellIs" dxfId="20" priority="18" operator="equal">
      <formula>"Cumplio Meta"</formula>
    </cfRule>
    <cfRule type="cellIs" dxfId="19" priority="19" operator="equal">
      <formula>"VM"</formula>
    </cfRule>
  </conditionalFormatting>
  <conditionalFormatting sqref="P5:R16 N5:N16">
    <cfRule type="expression" dxfId="18" priority="21">
      <formula>AND($B5&lt;&gt;"",$O5&lt;&gt;"2",,$O5&lt;&gt;"3")</formula>
    </cfRule>
  </conditionalFormatting>
  <conditionalFormatting sqref="Q5:Q9">
    <cfRule type="expression" dxfId="17" priority="17">
      <formula>"y($B18&lt;&gt;"",r18&lt;36)"</formula>
    </cfRule>
  </conditionalFormatting>
  <conditionalFormatting sqref="Q5:Q9">
    <cfRule type="expression" dxfId="16" priority="16">
      <formula>AND($B5&lt;&gt;"",Q5&lt;36)</formula>
    </cfRule>
  </conditionalFormatting>
  <conditionalFormatting sqref="U5:U9">
    <cfRule type="expression" dxfId="15" priority="15">
      <formula>AND($B5&lt;&gt;"",U5&lt;95000)</formula>
    </cfRule>
  </conditionalFormatting>
  <conditionalFormatting sqref="A5:V16">
    <cfRule type="expression" dxfId="14" priority="20">
      <formula>$B5&lt;&gt;""</formula>
    </cfRule>
  </conditionalFormatting>
  <conditionalFormatting sqref="A5:V16">
    <cfRule type="expression" dxfId="13" priority="10">
      <formula>$B5&lt;&gt;""</formula>
    </cfRule>
  </conditionalFormatting>
  <conditionalFormatting sqref="Q5:Q16">
    <cfRule type="expression" dxfId="12" priority="9">
      <formula>AND($B5&lt;&gt;"",Q5&lt;36)</formula>
    </cfRule>
  </conditionalFormatting>
  <conditionalFormatting sqref="R5:R16">
    <cfRule type="expression" dxfId="11" priority="13">
      <formula>AND($J5&gt;=13,$S5&lt;1,$B5&lt;&gt;"")</formula>
    </cfRule>
  </conditionalFormatting>
  <conditionalFormatting sqref="U5:U16">
    <cfRule type="expression" dxfId="10" priority="14">
      <formula>AND($B5&lt;&gt;"",U5&lt;95000)</formula>
    </cfRule>
  </conditionalFormatting>
  <conditionalFormatting sqref="V5:V16">
    <cfRule type="cellIs" dxfId="9" priority="11" operator="equal">
      <formula>"Cumplio Meta"</formula>
    </cfRule>
    <cfRule type="cellIs" dxfId="8" priority="12" operator="equal">
      <formula>"VM"</formula>
    </cfRule>
  </conditionalFormatting>
  <conditionalFormatting sqref="A5:V16">
    <cfRule type="expression" dxfId="7" priority="4">
      <formula>$B5&lt;&gt;""</formula>
    </cfRule>
  </conditionalFormatting>
  <conditionalFormatting sqref="Q5:Q16">
    <cfRule type="expression" dxfId="6" priority="3">
      <formula>AND($B5&lt;&gt;"",Q5&lt;36)</formula>
    </cfRule>
  </conditionalFormatting>
  <conditionalFormatting sqref="R5:R16">
    <cfRule type="expression" dxfId="5" priority="7">
      <formula>AND($J5&gt;=13,$S5&lt;1,$B5&lt;&gt;"")</formula>
    </cfRule>
  </conditionalFormatting>
  <conditionalFormatting sqref="U5:U16">
    <cfRule type="expression" dxfId="4" priority="8">
      <formula>AND($B5&lt;&gt;"",U5&lt;95000)</formula>
    </cfRule>
  </conditionalFormatting>
  <conditionalFormatting sqref="V5:V16">
    <cfRule type="cellIs" dxfId="3" priority="5" operator="equal">
      <formula>"Cumplio Meta"</formula>
    </cfRule>
    <cfRule type="cellIs" dxfId="2" priority="6" operator="equal">
      <formula>"VM"</formula>
    </cfRule>
  </conditionalFormatting>
  <conditionalFormatting sqref="Q10:Q16">
    <cfRule type="expression" dxfId="1" priority="2">
      <formula>AND($B10&lt;&gt;"",Q10&lt;36)</formula>
    </cfRule>
  </conditionalFormatting>
  <conditionalFormatting sqref="U10:U16">
    <cfRule type="expression" dxfId="0" priority="1">
      <formula>AND($B10&lt;&gt;"",U10&lt;95000)</formula>
    </cfRule>
  </conditionalFormatting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DAVALOS</dc:creator>
  <cp:lastModifiedBy>FERNANDO DAVALOS</cp:lastModifiedBy>
  <dcterms:created xsi:type="dcterms:W3CDTF">2026-03-04T00:28:00Z</dcterms:created>
  <dcterms:modified xsi:type="dcterms:W3CDTF">2026-05-11T19:00:45Z</dcterms:modified>
</cp:coreProperties>
</file>