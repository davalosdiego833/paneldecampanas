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D22B5483-0FDD-C44D-9483-13BC7FBAF523}" xr6:coauthVersionLast="47" xr6:coauthVersionMax="47" xr10:uidLastSave="{00000000-0000-0000-0000-000000000000}"/>
  <bookViews>
    <workbookView xWindow="0" yWindow="52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<sst xmlns="http://schemas.openxmlformats.org/spreadsheetml/2006/main" count="96" uniqueCount="43">
  <si>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</si>
  <si>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</si>
  <si>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</si>
  <si>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</si>
  <si>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</si>
  <si>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</si>
  <si>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</si>
  <si>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</si>
  <si>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</si>
  <si>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</si>
  <si>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</si>
  <si>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</si>
  <si>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</si>
  <si>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</si>
  <si>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</si>
  <si>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</si>
  <si>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</si>
  <si>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</si>
  <si>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</si>
  <si>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</si>
  <si>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</si>
  <si>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</si>
  <si>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</si>
  <si>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</si>
  <si>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</si>
  <si>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</si>
  <si>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</si>
  <si>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</si>
  <si>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</si>
  <si>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</si>
  <si>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</si>
  <si>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</si>
  <si>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</si>
  <si>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</si>
  <si>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</si>
  <si>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</si>
  <si>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</si>
  <si>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</si>
  <si>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</si>
  <si>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</si>
  <si>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</si>
  <si>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</si>
  <si>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18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</si>
</sst>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65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64">
  <autoFilter ref="A3:W15" xr:uid="{C8C84689-1448-8442-B1F2-C8CC1CDB3E89}"/>
  <tableColumns count="23">
    <tableColumn id="1" xr3:uid="{3B622300-6924-DB4F-A62F-2EEC39FAB0A2}" name="DIR / ZONA" dataDxfId="63"/>
    <tableColumn id="2" xr3:uid="{56109AD6-9361-EA49-82CB-5F16E0E8FEF7}" name="OFICINA" dataDxfId="62"/>
    <tableColumn id="3" xr3:uid="{AB1E1DBC-B048-A740-9A78-5965EB9EC44F}" name="GERENCIA / SP" dataDxfId="61"/>
    <tableColumn id="4" xr3:uid="{61CAAE43-B726-6C46-97AC-90058F4DA6D1}" name="MAT" dataDxfId="60"/>
    <tableColumn id="5" xr3:uid="{E8AA5DF5-9B6D-2543-9325-7C035D241238}" name="SUC" dataDxfId="59"/>
    <tableColumn id="6" xr3:uid="{295631B1-0185-9B4D-8500-6B9AA08F63F2}" name="PROMOTOR / PARTNER" dataDxfId="58"/>
    <tableColumn id="7" xr3:uid="{4B47B735-008D-2449-B456-D2DD3B472696}" name="ASESOR" dataDxfId="57"/>
    <tableColumn id="8" xr3:uid="{975EC707-F2EE-5144-BEFE-BA96A47202F3}" name="NOMBRE" dataDxfId="56"/>
    <tableColumn id="9" xr3:uid="{027BA34A-24D8-E94B-83B2-B0C1B6025207}" name="MES" dataDxfId="55" dataCellStyle="Millares"/>
    <tableColumn id="10" xr3:uid="{646ECA88-7396-D040-B5DF-0AAEB243F28F}" name="F. CONEXIÓN" dataDxfId="54" dataCellStyle="Millares"/>
    <tableColumn id="11" xr3:uid="{26CD5808-6FE4-1F4D-BE8F-7814A14EB008}" name="F. CONCURSO" dataDxfId="53" dataCellStyle="Millares"/>
    <tableColumn id="12" xr3:uid="{4B28D83F-5D6D-624E-BB91-9704EE1A3E14}" name="LÍMITE P/  LOGRO DE META" dataDxfId="52" dataCellStyle="Millares"/>
    <tableColumn id="13" xr3:uid="{E489BE13-FD5F-904D-8881-224954582674}" name="CUADERNO DE CONCURSO" dataDxfId="51" dataCellStyle="Millares"/>
    <tableColumn id="14" xr3:uid="{26915D16-D4BC-B145-BE2F-527AE56B2BAB}" name="GRUPO" dataDxfId="50"/>
    <tableColumn id="15" xr3:uid="{A89792EE-9143-B14C-9C0C-81844C60721D}" name="TOTAL" dataDxfId="49"/>
    <tableColumn id="16" xr3:uid="{14F06EE7-B141-B346-AB39-618B1114E96F}" name="CANCEL." dataDxfId="48"/>
    <tableColumn id="17" xr3:uid="{9B9D77BF-8869-CA44-BCEA-33C8D4FA1307}" name="EN VIGOR" dataDxfId="47"/>
    <tableColumn id="18" xr3:uid="{2060FD50-AB1E-C245-B146-DB9618552765}" name="PROMEDIO" dataDxfId="46"/>
    <tableColumn id="19" xr3:uid="{F956BCDA-7715-ED46-9C68-AA2CA74FB455}" name="VIDA" dataDxfId="45"/>
    <tableColumn id="20" xr3:uid="{F8F35AF9-120D-5944-B380-9F31E59F8709}" name="GMM" dataDxfId="44"/>
    <tableColumn id="21" xr3:uid="{E6C3EA59-5FA1-3446-9DEF-1B9EE5CF332D}" name="TOTAL2" dataDxfId="43"/>
    <tableColumn id="22" xr3:uid="{75E46555-9E6E-E349-A48E-06957BB9C039}" name="ESTATUS" dataDxfId="42"/>
    <tableColumn id="23" xr3:uid="{24832D48-18B2-2F4B-A6BA-E52011154826}" name="OBSERVACIÓN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7" workbookViewId="0">
      <selection activeCell="Q5" sqref="Q5:Q14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70944.649999999994</v>
      </c>
      <c r="T8" s="37">
        <v>492.87</v>
      </c>
      <c r="U8" s="38">
        <v>71437.52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77467.86</v>
      </c>
      <c r="T9" s="37">
        <v>17462.349999999999</v>
      </c>
      <c r="U9" s="38">
        <v>94930.21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0</v>
      </c>
      <c r="Q10" s="36">
        <v>6.5</v>
      </c>
      <c r="R10" s="36">
        <v>0</v>
      </c>
      <c r="S10" s="37">
        <v>23170.33</v>
      </c>
      <c r="T10" s="37">
        <v>2343.7399999999998</v>
      </c>
      <c r="U10" s="38">
        <v>25514.07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8</v>
      </c>
      <c r="P11" s="35">
        <v>1</v>
      </c>
      <c r="Q11" s="36">
        <v>7</v>
      </c>
      <c r="R11" s="36">
        <v>0</v>
      </c>
      <c r="S11" s="37">
        <v>28789.11</v>
      </c>
      <c r="T11" s="37">
        <v>7460.28</v>
      </c>
      <c r="U11" s="38">
        <v>36249.39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13.5</v>
      </c>
      <c r="P12" s="35">
        <v>0</v>
      </c>
      <c r="Q12" s="36">
        <v>13.5</v>
      </c>
      <c r="R12" s="36">
        <v>0</v>
      </c>
      <c r="S12" s="37">
        <v>83519.55</v>
      </c>
      <c r="T12" s="37">
        <v>9499.81</v>
      </c>
      <c r="U12" s="38">
        <v>93019.36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11.5</v>
      </c>
      <c r="P13" s="35">
        <v>0</v>
      </c>
      <c r="Q13" s="36">
        <v>11.5</v>
      </c>
      <c r="R13" s="36">
        <v>0</v>
      </c>
      <c r="S13" s="37">
        <v>51820.11</v>
      </c>
      <c r="T13" s="37">
        <v>7384.25</v>
      </c>
      <c r="U13" s="38">
        <v>59204.36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37485.300000000003</v>
      </c>
      <c r="T14" s="37">
        <v>3198.71</v>
      </c>
      <c r="U14" s="38">
        <v>40684.01</v>
      </c>
      <c r="V14" s="20"/>
      <c r="W14" s="39"/>
    </row>
    <row r="15" spans="1:23" x14ac:dyDescent="0.2">
      <c r="A15" s="20"/>
      <c r="B15" s="20"/>
      <c r="C15" s="20"/>
      <c r="D15" s="20"/>
      <c r="E15" s="20"/>
      <c r="F15" s="20"/>
      <c r="G15" s="20"/>
      <c r="H15" s="20"/>
      <c r="I15" s="21"/>
      <c r="J15" s="22"/>
      <c r="K15" s="23"/>
      <c r="L15" s="24"/>
      <c r="M15" s="25"/>
      <c r="N15" s="26"/>
      <c r="O15" s="27"/>
      <c r="P15" s="27"/>
      <c r="Q15" s="27"/>
      <c r="R15" s="27"/>
      <c r="S15" s="28"/>
      <c r="T15" s="28"/>
      <c r="U15" s="28"/>
      <c r="V15" s="26"/>
      <c r="W15" s="29"/>
    </row>
  </sheetData>
  <conditionalFormatting sqref="V5:V14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4 N5:N14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4">
    <cfRule type="expression" dxfId="16" priority="22">
      <formula>$B5&lt;&gt;""</formula>
    </cfRule>
  </conditionalFormatting>
  <conditionalFormatting sqref="A5:W14">
    <cfRule type="expression" dxfId="15" priority="12">
      <formula>$B5&lt;&gt;""</formula>
    </cfRule>
  </conditionalFormatting>
  <conditionalFormatting sqref="Q5:Q14">
    <cfRule type="expression" dxfId="14" priority="11">
      <formula>AND($B5&lt;&gt;"",Q5&lt;36)</formula>
    </cfRule>
  </conditionalFormatting>
  <conditionalFormatting sqref="R5:R14">
    <cfRule type="expression" dxfId="13" priority="15">
      <formula>AND($J5&gt;=13,$S5&lt;1,$B5&lt;&gt;"")</formula>
    </cfRule>
  </conditionalFormatting>
  <conditionalFormatting sqref="U5:U14">
    <cfRule type="expression" dxfId="12" priority="16">
      <formula>AND($B5&lt;&gt;"",U5&lt;95000)</formula>
    </cfRule>
  </conditionalFormatting>
  <conditionalFormatting sqref="V5:V14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4">
    <cfRule type="containsText" dxfId="9" priority="10" operator="containsText" text="No cumple">
      <formula>NOT(ISERROR(SEARCH("No cumple",W5)))</formula>
    </cfRule>
  </conditionalFormatting>
  <conditionalFormatting sqref="A5:W14">
    <cfRule type="expression" dxfId="8" priority="5">
      <formula>$B5&lt;&gt;""</formula>
    </cfRule>
  </conditionalFormatting>
  <conditionalFormatting sqref="Q5:Q14">
    <cfRule type="expression" dxfId="7" priority="4">
      <formula>AND($B5&lt;&gt;"",Q5&lt;36)</formula>
    </cfRule>
  </conditionalFormatting>
  <conditionalFormatting sqref="R5:R14">
    <cfRule type="expression" dxfId="6" priority="8">
      <formula>AND($J5&gt;=13,$S5&lt;1,$B5&lt;&gt;"")</formula>
    </cfRule>
  </conditionalFormatting>
  <conditionalFormatting sqref="U5:U14">
    <cfRule type="expression" dxfId="5" priority="9">
      <formula>AND($B5&lt;&gt;"",U5&lt;95000)</formula>
    </cfRule>
  </conditionalFormatting>
  <conditionalFormatting sqref="V5:V14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4">
    <cfRule type="containsText" dxfId="2" priority="3" operator="containsText" text="No cumple">
      <formula>NOT(ISERROR(SEARCH("No cumple",W5)))</formula>
    </cfRule>
  </conditionalFormatting>
  <conditionalFormatting sqref="Q10:Q14">
    <cfRule type="expression" dxfId="1" priority="2">
      <formula>AND($B10&lt;&gt;"",Q10&lt;36)</formula>
    </cfRule>
  </conditionalFormatting>
  <conditionalFormatting sqref="U10:U14">
    <cfRule type="expression" dxfId="0" priority="1">
      <formula>AND($B10&lt;&gt;"",U10&lt;95000)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2026-03-26T15:22:49Z</dcterms:modified>
</cp:coreProperties>
</file>