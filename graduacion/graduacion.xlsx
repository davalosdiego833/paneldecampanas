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5578A9E1-6650-8249-B298-41244233082C}" xr6:coauthVersionLast="47" xr6:coauthVersionMax="47" xr10:uidLastSave="{00000000-0000-0000-0000-000000000000}"/>
  <bookViews>
    <workbookView xWindow="4340" yWindow="2000" windowWidth="24460" windowHeight="14820" xr2:uid="{C790F585-E5F8-714F-8D00-C112DB38F0A1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<sst xmlns="http://schemas.openxmlformats.org/spreadsheetml/2006/main" count="96" uniqueCount="43">
  <si>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Avance al 25 de febrero de 2026.</t>
  </si>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</sst>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5" formatCode="_-* #,##0_-;\-* #,##0_-;_-* &quot;-&quot;??_-;_-@_-"/>
    <numFmt numFmtId="166" formatCode="#,##0.0"/>
    <numFmt numFmtId="167" formatCode="0.0"/>
    <numFmt numFmtId="168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5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Continuous" vertical="center"/>
    </xf>
    <xf numFmtId="166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6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7" fontId="4" fillId="2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8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6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5" fontId="3" fillId="0" borderId="0" xfId="1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3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7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4" totalsRowShown="0" headerRowDxfId="0">
  <autoFilter ref="A3:W14" xr:uid="{C8C84689-1448-8442-B1F2-C8CC1CDB3E89}"/>
  <tableColumns count="23">
    <tableColumn id="1" xr3:uid="{3B622300-6924-DB4F-A62F-2EEC39FAB0A2}" name="DIR / ZONA" dataDxfId="23"/>
    <tableColumn id="2" xr3:uid="{56109AD6-9361-EA49-82CB-5F16E0E8FEF7}" name="OFICINA" dataDxfId="22"/>
    <tableColumn id="3" xr3:uid="{AB1E1DBC-B048-A740-9A78-5965EB9EC44F}" name="GERENCIA / SP" dataDxfId="21"/>
    <tableColumn id="4" xr3:uid="{61CAAE43-B726-6C46-97AC-90058F4DA6D1}" name="MAT" dataDxfId="20"/>
    <tableColumn id="5" xr3:uid="{E8AA5DF5-9B6D-2543-9325-7C035D241238}" name="SUC" dataDxfId="19"/>
    <tableColumn id="6" xr3:uid="{295631B1-0185-9B4D-8500-6B9AA08F63F2}" name="PROMOTOR / PARTNER" dataDxfId="18"/>
    <tableColumn id="7" xr3:uid="{4B47B735-008D-2449-B456-D2DD3B472696}" name="ASESOR" dataDxfId="17"/>
    <tableColumn id="8" xr3:uid="{975EC707-F2EE-5144-BEFE-BA96A47202F3}" name="NOMBRE" dataDxfId="16"/>
    <tableColumn id="9" xr3:uid="{027BA34A-24D8-E94B-83B2-B0C1B6025207}" name="MES" dataDxfId="15" dataCellStyle="Millares"/>
    <tableColumn id="10" xr3:uid="{646ECA88-7396-D040-B5DF-0AAEB243F28F}" name="F. CONEXIÓN" dataDxfId="14" dataCellStyle="Millares"/>
    <tableColumn id="11" xr3:uid="{26CD5808-6FE4-1F4D-BE8F-7814A14EB008}" name="F. CONCURSO" dataDxfId="13" dataCellStyle="Millares"/>
    <tableColumn id="12" xr3:uid="{4B28D83F-5D6D-624E-BB91-9704EE1A3E14}" name="LÍMITE P/  LOGRO DE META" dataDxfId="12" dataCellStyle="Millares"/>
    <tableColumn id="13" xr3:uid="{E489BE13-FD5F-904D-8881-224954582674}" name="CUADERNO DE CONCURSO" dataDxfId="11" dataCellStyle="Millares"/>
    <tableColumn id="14" xr3:uid="{26915D16-D4BC-B145-BE2F-527AE56B2BAB}" name="GRUPO" dataDxfId="10"/>
    <tableColumn id="15" xr3:uid="{A89792EE-9143-B14C-9C0C-81844C60721D}" name="TOTAL" dataDxfId="9"/>
    <tableColumn id="16" xr3:uid="{14F06EE7-B141-B346-AB39-618B1114E96F}" name="CANCEL." dataDxfId="8"/>
    <tableColumn id="17" xr3:uid="{9B9D77BF-8869-CA44-BCEA-33C8D4FA1307}" name="EN VIGOR" dataDxfId="7"/>
    <tableColumn id="18" xr3:uid="{2060FD50-AB1E-C245-B146-DB9618552765}" name="PROMEDIO" dataDxfId="6"/>
    <tableColumn id="19" xr3:uid="{F956BCDA-7715-ED46-9C68-AA2CA74FB455}" name="VIDA" dataDxfId="5"/>
    <tableColumn id="20" xr3:uid="{F8F35AF9-120D-5944-B380-9F31E59F8709}" name="GMM" dataDxfId="4"/>
    <tableColumn id="21" xr3:uid="{E6C3EA59-5FA1-3446-9DEF-1B9EE5CF332D}" name="TOTAL2" dataDxfId="3"/>
    <tableColumn id="22" xr3:uid="{75E46555-9E6E-E349-A48E-06957BB9C039}" name="ESTATUS" dataDxfId="2"/>
    <tableColumn id="23" xr3:uid="{24832D48-18B2-2F4B-A6BA-E52011154826}" name="OBSERVACIÓN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4"/>
  <sheetViews>
    <sheetView tabSelected="1" topLeftCell="B1" zoomScale="81" workbookViewId="0">
      <selection activeCell="I23" sqref="I23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0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1</v>
      </c>
      <c r="P2" s="12"/>
      <c r="Q2" s="12"/>
      <c r="R2" s="12"/>
      <c r="S2" s="13" t="s">
        <v>2</v>
      </c>
      <c r="T2" s="13"/>
      <c r="U2" s="13"/>
      <c r="V2" s="2"/>
      <c r="W2" s="10"/>
    </row>
    <row r="3" spans="1:23" ht="42" x14ac:dyDescent="0.2">
      <c r="A3" s="14" t="s">
        <v>3</v>
      </c>
      <c r="B3" s="14" t="s">
        <v>4</v>
      </c>
      <c r="C3" s="14" t="s">
        <v>5</v>
      </c>
      <c r="D3" s="14" t="s">
        <v>6</v>
      </c>
      <c r="E3" s="14" t="s">
        <v>7</v>
      </c>
      <c r="F3" s="14" t="s">
        <v>8</v>
      </c>
      <c r="G3" s="14" t="s">
        <v>9</v>
      </c>
      <c r="H3" s="14" t="s">
        <v>10</v>
      </c>
      <c r="I3" s="14" t="s">
        <v>11</v>
      </c>
      <c r="J3" s="15" t="s">
        <v>12</v>
      </c>
      <c r="K3" s="15" t="s">
        <v>13</v>
      </c>
      <c r="L3" s="16" t="s">
        <v>14</v>
      </c>
      <c r="M3" s="14" t="s">
        <v>15</v>
      </c>
      <c r="N3" s="14" t="s">
        <v>16</v>
      </c>
      <c r="O3" s="17" t="s">
        <v>17</v>
      </c>
      <c r="P3" s="18" t="s">
        <v>18</v>
      </c>
      <c r="Q3" s="18" t="s">
        <v>19</v>
      </c>
      <c r="R3" s="18" t="s">
        <v>20</v>
      </c>
      <c r="S3" s="13" t="s">
        <v>21</v>
      </c>
      <c r="T3" s="13" t="s">
        <v>22</v>
      </c>
      <c r="U3" s="13" t="s">
        <v>42</v>
      </c>
      <c r="V3" s="19" t="s">
        <v>23</v>
      </c>
      <c r="W3" s="19" t="s">
        <v>24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25</v>
      </c>
      <c r="B5" s="30" t="s">
        <v>26</v>
      </c>
      <c r="C5" s="30" t="s">
        <v>27</v>
      </c>
      <c r="D5" s="10">
        <v>2043</v>
      </c>
      <c r="E5" s="10">
        <v>2856</v>
      </c>
      <c r="F5" s="30" t="s">
        <v>28</v>
      </c>
      <c r="G5" s="10">
        <v>111960</v>
      </c>
      <c r="H5" s="2" t="s">
        <v>29</v>
      </c>
      <c r="I5" s="31">
        <v>13</v>
      </c>
      <c r="J5" s="32">
        <v>45707</v>
      </c>
      <c r="K5" s="32">
        <v>45707</v>
      </c>
      <c r="L5" s="6">
        <v>46023</v>
      </c>
      <c r="M5" s="33" t="s">
        <v>30</v>
      </c>
      <c r="N5" s="10" t="s">
        <v>31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25</v>
      </c>
      <c r="B6" s="30" t="s">
        <v>26</v>
      </c>
      <c r="C6" s="30" t="s">
        <v>27</v>
      </c>
      <c r="D6" s="10">
        <v>2043</v>
      </c>
      <c r="E6" s="10">
        <v>2856</v>
      </c>
      <c r="F6" s="30" t="s">
        <v>28</v>
      </c>
      <c r="G6" s="10">
        <v>112522</v>
      </c>
      <c r="H6" s="2" t="s">
        <v>32</v>
      </c>
      <c r="I6" s="31">
        <v>11</v>
      </c>
      <c r="J6" s="32">
        <v>45776</v>
      </c>
      <c r="K6" s="32">
        <v>45776</v>
      </c>
      <c r="L6" s="6">
        <v>46082</v>
      </c>
      <c r="M6" s="33" t="s">
        <v>33</v>
      </c>
      <c r="N6" s="10" t="s">
        <v>31</v>
      </c>
      <c r="O6" s="34">
        <v>6</v>
      </c>
      <c r="P6" s="35">
        <v>0</v>
      </c>
      <c r="Q6" s="36">
        <v>6</v>
      </c>
      <c r="R6" s="36">
        <v>0</v>
      </c>
      <c r="S6" s="37">
        <v>45727.57</v>
      </c>
      <c r="T6" s="37">
        <v>0</v>
      </c>
      <c r="U6" s="38">
        <v>45727.57</v>
      </c>
      <c r="V6" s="20"/>
      <c r="W6" s="39"/>
    </row>
    <row r="7" spans="1:23" x14ac:dyDescent="0.2">
      <c r="A7" s="10" t="s">
        <v>25</v>
      </c>
      <c r="B7" s="30" t="s">
        <v>26</v>
      </c>
      <c r="C7" s="30" t="s">
        <v>27</v>
      </c>
      <c r="D7" s="10">
        <v>2043</v>
      </c>
      <c r="E7" s="10">
        <v>2043</v>
      </c>
      <c r="F7" s="30" t="s">
        <v>28</v>
      </c>
      <c r="G7" s="10">
        <v>113076</v>
      </c>
      <c r="H7" s="2" t="s">
        <v>34</v>
      </c>
      <c r="I7" s="31">
        <v>10</v>
      </c>
      <c r="J7" s="32">
        <v>45806</v>
      </c>
      <c r="K7" s="32">
        <v>45806</v>
      </c>
      <c r="L7" s="6">
        <v>46113</v>
      </c>
      <c r="M7" s="33" t="s">
        <v>33</v>
      </c>
      <c r="N7" s="10" t="s">
        <v>31</v>
      </c>
      <c r="O7" s="34">
        <v>10.5</v>
      </c>
      <c r="P7" s="35">
        <v>0</v>
      </c>
      <c r="Q7" s="36">
        <v>10.5</v>
      </c>
      <c r="R7" s="36">
        <v>0</v>
      </c>
      <c r="S7" s="37">
        <v>60761.25</v>
      </c>
      <c r="T7" s="37">
        <v>35462.339999999997</v>
      </c>
      <c r="U7" s="38">
        <v>96223.59</v>
      </c>
      <c r="V7" s="20"/>
      <c r="W7" s="39"/>
    </row>
    <row r="8" spans="1:23" x14ac:dyDescent="0.2">
      <c r="A8" s="10" t="s">
        <v>25</v>
      </c>
      <c r="B8" s="30" t="s">
        <v>26</v>
      </c>
      <c r="C8" s="30" t="s">
        <v>27</v>
      </c>
      <c r="D8" s="10">
        <v>2043</v>
      </c>
      <c r="E8" s="10">
        <v>2856</v>
      </c>
      <c r="F8" s="30" t="s">
        <v>28</v>
      </c>
      <c r="G8" s="10">
        <v>114100</v>
      </c>
      <c r="H8" s="2" t="s">
        <v>35</v>
      </c>
      <c r="I8" s="31">
        <v>8</v>
      </c>
      <c r="J8" s="32">
        <v>45863</v>
      </c>
      <c r="K8" s="32">
        <v>45863</v>
      </c>
      <c r="L8" s="6">
        <v>46174</v>
      </c>
      <c r="M8" s="33" t="s">
        <v>33</v>
      </c>
      <c r="N8" s="10" t="s">
        <v>31</v>
      </c>
      <c r="O8" s="34">
        <v>13.5</v>
      </c>
      <c r="P8" s="35">
        <v>1</v>
      </c>
      <c r="Q8" s="36">
        <v>12.5</v>
      </c>
      <c r="R8" s="36">
        <v>0</v>
      </c>
      <c r="S8" s="37">
        <v>69147.08</v>
      </c>
      <c r="T8" s="37">
        <v>492.87</v>
      </c>
      <c r="U8" s="38">
        <v>69639.95</v>
      </c>
      <c r="V8" s="20"/>
      <c r="W8" s="39"/>
    </row>
    <row r="9" spans="1:23" x14ac:dyDescent="0.2">
      <c r="A9" s="10" t="s">
        <v>25</v>
      </c>
      <c r="B9" s="30" t="s">
        <v>26</v>
      </c>
      <c r="C9" s="30" t="s">
        <v>27</v>
      </c>
      <c r="D9" s="10">
        <v>2043</v>
      </c>
      <c r="E9" s="10">
        <v>2692</v>
      </c>
      <c r="F9" s="30" t="s">
        <v>28</v>
      </c>
      <c r="G9" s="10">
        <v>113450</v>
      </c>
      <c r="H9" s="2" t="s">
        <v>36</v>
      </c>
      <c r="I9" s="31">
        <v>8</v>
      </c>
      <c r="J9" s="32">
        <v>45852</v>
      </c>
      <c r="K9" s="32">
        <v>45852</v>
      </c>
      <c r="L9" s="6">
        <v>46174</v>
      </c>
      <c r="M9" s="33" t="s">
        <v>33</v>
      </c>
      <c r="N9" s="10" t="s">
        <v>31</v>
      </c>
      <c r="O9" s="34">
        <v>11.5</v>
      </c>
      <c r="P9" s="35">
        <v>1</v>
      </c>
      <c r="Q9" s="36">
        <v>10.5</v>
      </c>
      <c r="R9" s="36">
        <v>0</v>
      </c>
      <c r="S9" s="37">
        <v>75546</v>
      </c>
      <c r="T9" s="37">
        <v>17462.349999999999</v>
      </c>
      <c r="U9" s="38">
        <v>93008.35</v>
      </c>
      <c r="V9" s="20"/>
      <c r="W9" s="39"/>
    </row>
    <row r="10" spans="1:23" x14ac:dyDescent="0.2">
      <c r="A10" s="10" t="s">
        <v>25</v>
      </c>
      <c r="B10" s="30" t="s">
        <v>26</v>
      </c>
      <c r="C10" s="30" t="s">
        <v>27</v>
      </c>
      <c r="D10" s="10">
        <v>2043</v>
      </c>
      <c r="E10" s="10">
        <v>2692</v>
      </c>
      <c r="F10" s="30" t="s">
        <v>28</v>
      </c>
      <c r="G10" s="10">
        <v>114431</v>
      </c>
      <c r="H10" s="2" t="s">
        <v>37</v>
      </c>
      <c r="I10" s="31">
        <v>6</v>
      </c>
      <c r="J10" s="32">
        <v>45930</v>
      </c>
      <c r="K10" s="32">
        <v>45930</v>
      </c>
      <c r="L10" s="6">
        <v>46235</v>
      </c>
      <c r="M10" s="33" t="s">
        <v>33</v>
      </c>
      <c r="N10" s="10" t="s">
        <v>31</v>
      </c>
      <c r="O10" s="34">
        <v>6.5</v>
      </c>
      <c r="P10" s="35">
        <v>0</v>
      </c>
      <c r="Q10" s="36">
        <v>6.5</v>
      </c>
      <c r="R10" s="36">
        <v>0</v>
      </c>
      <c r="S10" s="37">
        <v>22578.06</v>
      </c>
      <c r="T10" s="37">
        <v>2343.7399999999998</v>
      </c>
      <c r="U10" s="38">
        <v>24921.8</v>
      </c>
      <c r="V10" s="20"/>
      <c r="W10" s="39"/>
    </row>
    <row r="11" spans="1:23" x14ac:dyDescent="0.2">
      <c r="A11" s="10" t="s">
        <v>25</v>
      </c>
      <c r="B11" s="30" t="s">
        <v>26</v>
      </c>
      <c r="C11" s="30" t="s">
        <v>27</v>
      </c>
      <c r="D11" s="10">
        <v>2043</v>
      </c>
      <c r="E11" s="10">
        <v>2692</v>
      </c>
      <c r="F11" s="30" t="s">
        <v>28</v>
      </c>
      <c r="G11" s="10">
        <v>114157</v>
      </c>
      <c r="H11" s="2" t="s">
        <v>38</v>
      </c>
      <c r="I11" s="31">
        <v>6</v>
      </c>
      <c r="J11" s="32">
        <v>45904</v>
      </c>
      <c r="K11" s="32">
        <v>45904</v>
      </c>
      <c r="L11" s="6">
        <v>46235</v>
      </c>
      <c r="M11" s="33" t="s">
        <v>33</v>
      </c>
      <c r="N11" s="10" t="s">
        <v>31</v>
      </c>
      <c r="O11" s="34">
        <v>8</v>
      </c>
      <c r="P11" s="35">
        <v>1</v>
      </c>
      <c r="Q11" s="36">
        <v>7</v>
      </c>
      <c r="R11" s="36">
        <v>0</v>
      </c>
      <c r="S11" s="37">
        <v>24689.040000000001</v>
      </c>
      <c r="T11" s="37">
        <v>7460.28</v>
      </c>
      <c r="U11" s="38">
        <v>32149.32</v>
      </c>
      <c r="V11" s="20"/>
      <c r="W11" s="39"/>
    </row>
    <row r="12" spans="1:23" x14ac:dyDescent="0.2">
      <c r="A12" s="10" t="s">
        <v>25</v>
      </c>
      <c r="B12" s="30" t="s">
        <v>26</v>
      </c>
      <c r="C12" s="30" t="s">
        <v>27</v>
      </c>
      <c r="D12" s="10">
        <v>2043</v>
      </c>
      <c r="E12" s="10">
        <v>2856</v>
      </c>
      <c r="F12" s="30" t="s">
        <v>28</v>
      </c>
      <c r="G12" s="10">
        <v>115047</v>
      </c>
      <c r="H12" s="2" t="s">
        <v>39</v>
      </c>
      <c r="I12" s="31">
        <v>5</v>
      </c>
      <c r="J12" s="32">
        <v>45944</v>
      </c>
      <c r="K12" s="32">
        <v>45944</v>
      </c>
      <c r="L12" s="6">
        <v>46266</v>
      </c>
      <c r="M12" s="33" t="s">
        <v>33</v>
      </c>
      <c r="N12" s="10" t="s">
        <v>31</v>
      </c>
      <c r="O12" s="34">
        <v>13.5</v>
      </c>
      <c r="P12" s="35">
        <v>0</v>
      </c>
      <c r="Q12" s="36">
        <v>13.5</v>
      </c>
      <c r="R12" s="36">
        <v>0</v>
      </c>
      <c r="S12" s="37">
        <v>76912.52</v>
      </c>
      <c r="T12" s="37">
        <v>8793.7800000000007</v>
      </c>
      <c r="U12" s="38">
        <v>85706.3</v>
      </c>
      <c r="V12" s="20"/>
      <c r="W12" s="39"/>
    </row>
    <row r="13" spans="1:23" x14ac:dyDescent="0.2">
      <c r="A13" s="10" t="s">
        <v>25</v>
      </c>
      <c r="B13" s="30" t="s">
        <v>26</v>
      </c>
      <c r="C13" s="30" t="s">
        <v>27</v>
      </c>
      <c r="D13" s="10">
        <v>2043</v>
      </c>
      <c r="E13" s="10">
        <v>2043</v>
      </c>
      <c r="F13" s="30" t="s">
        <v>28</v>
      </c>
      <c r="G13" s="10">
        <v>115404</v>
      </c>
      <c r="H13" s="2" t="s">
        <v>40</v>
      </c>
      <c r="I13" s="31">
        <v>4</v>
      </c>
      <c r="J13" s="32">
        <v>45986</v>
      </c>
      <c r="K13" s="32">
        <v>45986</v>
      </c>
      <c r="L13" s="6">
        <v>46296</v>
      </c>
      <c r="M13" s="33" t="s">
        <v>33</v>
      </c>
      <c r="N13" s="10" t="s">
        <v>31</v>
      </c>
      <c r="O13" s="34">
        <v>11</v>
      </c>
      <c r="P13" s="35">
        <v>0</v>
      </c>
      <c r="Q13" s="36">
        <v>11</v>
      </c>
      <c r="R13" s="36">
        <v>0</v>
      </c>
      <c r="S13" s="37">
        <v>51028.32</v>
      </c>
      <c r="T13" s="37">
        <v>6781.19</v>
      </c>
      <c r="U13" s="38">
        <v>57809.51</v>
      </c>
      <c r="V13" s="20"/>
      <c r="W13" s="39"/>
    </row>
    <row r="14" spans="1:23" x14ac:dyDescent="0.2">
      <c r="A14" s="10" t="s">
        <v>25</v>
      </c>
      <c r="B14" s="30" t="s">
        <v>26</v>
      </c>
      <c r="C14" s="30" t="s">
        <v>27</v>
      </c>
      <c r="D14" s="10">
        <v>2043</v>
      </c>
      <c r="E14" s="10">
        <v>2856</v>
      </c>
      <c r="F14" s="30" t="s">
        <v>28</v>
      </c>
      <c r="G14" s="10">
        <v>116060</v>
      </c>
      <c r="H14" s="2" t="s">
        <v>41</v>
      </c>
      <c r="I14" s="31">
        <v>3</v>
      </c>
      <c r="J14" s="32">
        <v>46010</v>
      </c>
      <c r="K14" s="32">
        <v>46010</v>
      </c>
      <c r="L14" s="6">
        <v>46327</v>
      </c>
      <c r="M14" s="33" t="s">
        <v>33</v>
      </c>
      <c r="N14" s="10" t="s">
        <v>31</v>
      </c>
      <c r="O14" s="34">
        <v>8.5</v>
      </c>
      <c r="P14" s="35">
        <v>0</v>
      </c>
      <c r="Q14" s="36">
        <v>8.5</v>
      </c>
      <c r="R14" s="36">
        <v>0</v>
      </c>
      <c r="S14" s="37">
        <v>35248.300000000003</v>
      </c>
      <c r="T14" s="37">
        <v>3198.71</v>
      </c>
      <c r="U14" s="38">
        <v>38447.01</v>
      </c>
      <c r="V14" s="20"/>
      <c r="W14" s="39"/>
    </row>
  </sheetData>
  <conditionalFormatting sqref="V5:V14">
    <cfRule type="cellIs" dxfId="38" priority="20" operator="equal">
      <formula>"Cumplio Meta"</formula>
    </cfRule>
    <cfRule type="cellIs" dxfId="37" priority="21" operator="equal">
      <formula>"VM"</formula>
    </cfRule>
  </conditionalFormatting>
  <conditionalFormatting sqref="P5:R14 N5:N14">
    <cfRule type="expression" dxfId="36" priority="23">
      <formula>AND($B5&lt;&gt;"",$O5&lt;&gt;"2",,$O5&lt;&gt;"3")</formula>
    </cfRule>
  </conditionalFormatting>
  <conditionalFormatting sqref="Q5:Q9">
    <cfRule type="expression" dxfId="35" priority="19">
      <formula>"y($B18&lt;&gt;"",r18&lt;36)"</formula>
    </cfRule>
  </conditionalFormatting>
  <conditionalFormatting sqref="Q5:Q14">
    <cfRule type="expression" dxfId="34" priority="18">
      <formula>AND($B5&lt;&gt;"",Q5&lt;36)</formula>
    </cfRule>
  </conditionalFormatting>
  <conditionalFormatting sqref="U5:U14">
    <cfRule type="expression" dxfId="33" priority="17">
      <formula>AND($B5&lt;&gt;"",U5&lt;95000)</formula>
    </cfRule>
  </conditionalFormatting>
  <conditionalFormatting sqref="A5:W14">
    <cfRule type="expression" dxfId="32" priority="22">
      <formula>$B5&lt;&gt;""</formula>
    </cfRule>
  </conditionalFormatting>
  <conditionalFormatting sqref="A5:W14">
    <cfRule type="expression" dxfId="31" priority="12">
      <formula>$B5&lt;&gt;""</formula>
    </cfRule>
  </conditionalFormatting>
  <conditionalFormatting sqref="R5:R14">
    <cfRule type="expression" dxfId="30" priority="15">
      <formula>AND($J5&gt;=13,$S5&lt;1,$B5&lt;&gt;"")</formula>
    </cfRule>
  </conditionalFormatting>
  <conditionalFormatting sqref="V5:V14">
    <cfRule type="cellIs" dxfId="29" priority="13" operator="equal">
      <formula>"Cumplio Meta"</formula>
    </cfRule>
    <cfRule type="cellIs" dxfId="28" priority="14" operator="equal">
      <formula>"VM"</formula>
    </cfRule>
  </conditionalFormatting>
  <conditionalFormatting sqref="W5:W14">
    <cfRule type="containsText" dxfId="27" priority="10" operator="containsText" text="No cumple">
      <formula>NOT(ISERROR(SEARCH("No cumple",W5)))</formula>
    </cfRule>
  </conditionalFormatting>
  <conditionalFormatting sqref="V5:V14">
    <cfRule type="cellIs" dxfId="26" priority="6" operator="equal">
      <formula>"Cumplio Meta"</formula>
    </cfRule>
    <cfRule type="cellIs" dxfId="25" priority="7" operator="equal">
      <formula>"VM"</formula>
    </cfRule>
  </conditionalFormatting>
  <conditionalFormatting sqref="W5:W14">
    <cfRule type="containsText" dxfId="24" priority="3" operator="containsText" text="No cumple">
      <formula>NOT(ISERROR(SEARCH("No cumple",W5)))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2026-03-04T00:29:55Z</dcterms:modified>
</cp:coreProperties>
</file>