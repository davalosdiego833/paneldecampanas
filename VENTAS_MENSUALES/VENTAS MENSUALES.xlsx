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VENTAS_MENSUALES/"/>
    </mc:Choice>
  </mc:AlternateContent>
  <xr:revisionPtr revIDLastSave="0" documentId="13_ncr:1_{637FE657-C01F-6A40-960A-AF152285D5B7}" xr6:coauthVersionLast="47" xr6:coauthVersionMax="47" xr10:uidLastSave="{00000000-0000-0000-0000-000000000000}"/>
  <bookViews>
    <workbookView xWindow="4320" yWindow="600" windowWidth="24480" windowHeight="16160" activeTab="4" xr2:uid="{00000000-000D-0000-FFFF-FFFF00000000}"/>
  </bookViews>
  <sheets>
    <sheet name="Ventas Mensuales " sheetId="4" r:id="rId1"/>
    <sheet name="MAYO" sheetId="5" r:id="rId2"/>
    <sheet name="MAYO_CORREGIDO" sheetId="3" r:id="rId3"/>
    <sheet name="JUNIO" sheetId="6" r:id="rId4"/>
    <sheet name="JUNIO_CORREGIDO " sheetId="7" r:id="rId5"/>
  </sheets>
  <externalReferences>
    <externalReference r:id="rId6"/>
  </externalReferences>
  <definedNames>
    <definedName name="_xlnm._FilterDatabase" localSheetId="4" hidden="1">'JUNIO_CORREGIDO '!$A$1:$G$47</definedName>
    <definedName name="_xlnm._FilterDatabase" localSheetId="2" hidden="1">MAYO_CORREGIDO!$A$1:$G$47</definedName>
    <definedName name="BDLEG" localSheetId="3">[1]!BDLEGION[#All]</definedName>
    <definedName name="BDLEG" localSheetId="1">[1]!BDLEGION[#All]</definedName>
    <definedName name="BDLEG">[1]!BDLEGION[#All]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7" l="1"/>
  <c r="J4" i="7"/>
  <c r="J3" i="7"/>
  <c r="J6" i="7" s="1"/>
  <c r="J2" i="7"/>
  <c r="E7" i="6"/>
  <c r="J7" i="6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103" i="6" a="1"/>
  <c r="E103" i="6" s="1"/>
  <c r="E104" i="6" a="1"/>
  <c r="E104" i="6" s="1"/>
  <c r="E101" i="6" a="1"/>
  <c r="E101" i="6" s="1"/>
  <c r="E102" i="6" a="1"/>
  <c r="E102" i="6" s="1"/>
  <c r="E100" i="6" a="1"/>
  <c r="E100" i="6" s="1"/>
  <c r="E99" i="6" a="1"/>
  <c r="E99" i="6" s="1"/>
  <c r="E97" i="6" a="1"/>
  <c r="E97" i="6" s="1"/>
  <c r="E98" i="6" a="1"/>
  <c r="E98" i="6" s="1"/>
  <c r="E95" i="6" a="1"/>
  <c r="E95" i="6" s="1"/>
  <c r="E96" i="6" a="1"/>
  <c r="E96" i="6" s="1"/>
  <c r="E93" i="6" a="1"/>
  <c r="E93" i="6" s="1"/>
  <c r="E94" i="6" a="1"/>
  <c r="E94" i="6" s="1"/>
  <c r="J7" i="7" l="1"/>
  <c r="E60" i="6" a="1"/>
  <c r="E60" i="6" s="1"/>
  <c r="J8" i="6"/>
  <c r="F49" i="6"/>
  <c r="G49" i="6" s="1"/>
  <c r="F50" i="6"/>
  <c r="G50" i="6" s="1"/>
  <c r="F51" i="6"/>
  <c r="G51" i="6" s="1"/>
  <c r="E87" i="6" a="1"/>
  <c r="E87" i="6" s="1"/>
  <c r="E86" i="6" a="1"/>
  <c r="E86" i="6" s="1"/>
  <c r="E85" i="6" a="1"/>
  <c r="E85" i="6" s="1"/>
  <c r="E84" i="6" a="1"/>
  <c r="E84" i="6" s="1"/>
  <c r="E83" i="6" a="1"/>
  <c r="E83" i="6" s="1"/>
  <c r="E82" i="6" a="1"/>
  <c r="E82" i="6" s="1"/>
  <c r="E81" i="6" a="1"/>
  <c r="E81" i="6" s="1"/>
  <c r="E80" i="6" a="1"/>
  <c r="E80" i="6" s="1"/>
  <c r="E79" i="6" a="1"/>
  <c r="E79" i="6" s="1"/>
  <c r="E78" i="6" a="1"/>
  <c r="E78" i="6" s="1"/>
  <c r="E77" i="6" a="1"/>
  <c r="E77" i="6" s="1"/>
  <c r="E76" i="6" a="1"/>
  <c r="E76" i="6" s="1"/>
  <c r="E75" i="6" a="1"/>
  <c r="E75" i="6" s="1"/>
  <c r="E74" i="6" a="1"/>
  <c r="E74" i="6" s="1"/>
  <c r="E73" i="6" a="1"/>
  <c r="E73" i="6" s="1"/>
  <c r="E72" i="6" a="1"/>
  <c r="E72" i="6" s="1"/>
  <c r="E71" i="6" a="1"/>
  <c r="E71" i="6" s="1"/>
  <c r="E70" i="6" a="1"/>
  <c r="E70" i="6" s="1"/>
  <c r="E69" i="6" a="1"/>
  <c r="E69" i="6" s="1"/>
  <c r="E68" i="6" a="1"/>
  <c r="E68" i="6" s="1"/>
  <c r="E67" i="6" a="1"/>
  <c r="E67" i="6" s="1"/>
  <c r="E66" i="6" a="1"/>
  <c r="E66" i="6" s="1"/>
  <c r="E65" i="6" a="1"/>
  <c r="E65" i="6" s="1"/>
  <c r="E64" i="6" a="1"/>
  <c r="E64" i="6" s="1"/>
  <c r="E63" i="6" a="1"/>
  <c r="E63" i="6" s="1"/>
  <c r="E62" i="6" a="1"/>
  <c r="E62" i="6" s="1"/>
  <c r="E61" i="6" a="1"/>
  <c r="E61" i="6" s="1"/>
  <c r="E59" i="6" a="1"/>
  <c r="E59" i="6" s="1"/>
  <c r="D52" i="6"/>
  <c r="C52" i="6"/>
  <c r="F48" i="6"/>
  <c r="G48" i="6" s="1"/>
  <c r="F47" i="6"/>
  <c r="G47" i="6" s="1"/>
  <c r="E47" i="6"/>
  <c r="B47" i="6" s="1"/>
  <c r="F46" i="6"/>
  <c r="G46" i="6" s="1"/>
  <c r="E46" i="6"/>
  <c r="B46" i="6" s="1"/>
  <c r="F45" i="6"/>
  <c r="G45" i="6" s="1"/>
  <c r="E45" i="6"/>
  <c r="B45" i="6" s="1"/>
  <c r="F44" i="6"/>
  <c r="G44" i="6" s="1"/>
  <c r="F27" i="6"/>
  <c r="G27" i="6" s="1"/>
  <c r="E27" i="6"/>
  <c r="B27" i="6" s="1"/>
  <c r="F43" i="6"/>
  <c r="G43" i="6" s="1"/>
  <c r="E43" i="6"/>
  <c r="B43" i="6" s="1"/>
  <c r="F42" i="6"/>
  <c r="G42" i="6" s="1"/>
  <c r="E42" i="6"/>
  <c r="B42" i="6" s="1"/>
  <c r="F41" i="6"/>
  <c r="G41" i="6" s="1"/>
  <c r="F40" i="6"/>
  <c r="G40" i="6" s="1"/>
  <c r="E40" i="6"/>
  <c r="B40" i="6" s="1"/>
  <c r="F39" i="6"/>
  <c r="G39" i="6" s="1"/>
  <c r="E39" i="6"/>
  <c r="B39" i="6" s="1"/>
  <c r="F38" i="6"/>
  <c r="G38" i="6" s="1"/>
  <c r="E38" i="6"/>
  <c r="B38" i="6" s="1"/>
  <c r="F37" i="6"/>
  <c r="G37" i="6" s="1"/>
  <c r="E37" i="6"/>
  <c r="B37" i="6" s="1"/>
  <c r="F36" i="6"/>
  <c r="G36" i="6" s="1"/>
  <c r="E36" i="6"/>
  <c r="B36" i="6" s="1"/>
  <c r="F35" i="6"/>
  <c r="G35" i="6" s="1"/>
  <c r="E35" i="6"/>
  <c r="B35" i="6" s="1"/>
  <c r="F7" i="6"/>
  <c r="G7" i="6" s="1"/>
  <c r="F34" i="6"/>
  <c r="G34" i="6" s="1"/>
  <c r="E34" i="6"/>
  <c r="B34" i="6" s="1"/>
  <c r="J31" i="6"/>
  <c r="F26" i="6"/>
  <c r="G26" i="6" s="1"/>
  <c r="E26" i="6"/>
  <c r="B26" i="6" s="1"/>
  <c r="J30" i="6"/>
  <c r="F33" i="6"/>
  <c r="G33" i="6" s="1"/>
  <c r="E33" i="6"/>
  <c r="B33" i="6" s="1"/>
  <c r="J29" i="6"/>
  <c r="E25" i="6" s="1"/>
  <c r="B25" i="6" s="1"/>
  <c r="F32" i="6"/>
  <c r="G32" i="6" s="1"/>
  <c r="E32" i="6"/>
  <c r="B32" i="6" s="1"/>
  <c r="J28" i="6"/>
  <c r="F13" i="6"/>
  <c r="G13" i="6" s="1"/>
  <c r="J27" i="6"/>
  <c r="F11" i="6"/>
  <c r="G11" i="6" s="1"/>
  <c r="E11" i="6"/>
  <c r="B11" i="6" s="1"/>
  <c r="J26" i="6"/>
  <c r="F31" i="6"/>
  <c r="G31" i="6" s="1"/>
  <c r="J25" i="6"/>
  <c r="F20" i="6"/>
  <c r="G20" i="6" s="1"/>
  <c r="E20" i="6"/>
  <c r="B20" i="6" s="1"/>
  <c r="J24" i="6"/>
  <c r="F24" i="6"/>
  <c r="G24" i="6" s="1"/>
  <c r="E24" i="6"/>
  <c r="B24" i="6" s="1"/>
  <c r="J23" i="6"/>
  <c r="F18" i="6"/>
  <c r="G18" i="6" s="1"/>
  <c r="J22" i="6"/>
  <c r="F30" i="6"/>
  <c r="G30" i="6" s="1"/>
  <c r="E30" i="6"/>
  <c r="B30" i="6" s="1"/>
  <c r="J21" i="6"/>
  <c r="E14" i="6" s="1"/>
  <c r="F23" i="6"/>
  <c r="G23" i="6" s="1"/>
  <c r="E23" i="6"/>
  <c r="B23" i="6" s="1"/>
  <c r="J20" i="6"/>
  <c r="F12" i="6"/>
  <c r="G12" i="6" s="1"/>
  <c r="J19" i="6"/>
  <c r="E49" i="6" s="1"/>
  <c r="B49" i="6" s="1"/>
  <c r="F29" i="6"/>
  <c r="G29" i="6" s="1"/>
  <c r="J18" i="6"/>
  <c r="E19" i="6" s="1"/>
  <c r="B19" i="6" s="1"/>
  <c r="F28" i="6"/>
  <c r="G28" i="6" s="1"/>
  <c r="E28" i="6"/>
  <c r="B28" i="6" s="1"/>
  <c r="J17" i="6"/>
  <c r="E44" i="6" s="1"/>
  <c r="B44" i="6" s="1"/>
  <c r="F25" i="6"/>
  <c r="G25" i="6" s="1"/>
  <c r="J16" i="6"/>
  <c r="E48" i="6" s="1"/>
  <c r="B48" i="6" s="1"/>
  <c r="F10" i="6"/>
  <c r="G10" i="6" s="1"/>
  <c r="E10" i="6"/>
  <c r="B10" i="6" s="1"/>
  <c r="J15" i="6"/>
  <c r="E41" i="6" s="1"/>
  <c r="B41" i="6" s="1"/>
  <c r="F19" i="6"/>
  <c r="G19" i="6" s="1"/>
  <c r="J14" i="6"/>
  <c r="F6" i="6"/>
  <c r="G6" i="6" s="1"/>
  <c r="E6" i="6"/>
  <c r="B6" i="6" s="1"/>
  <c r="J13" i="6"/>
  <c r="E29" i="6" s="1"/>
  <c r="B29" i="6" s="1"/>
  <c r="F22" i="6"/>
  <c r="G22" i="6" s="1"/>
  <c r="E22" i="6"/>
  <c r="B22" i="6" s="1"/>
  <c r="J12" i="6"/>
  <c r="E13" i="6" s="1"/>
  <c r="B13" i="6" s="1"/>
  <c r="F17" i="6"/>
  <c r="G17" i="6" s="1"/>
  <c r="E17" i="6"/>
  <c r="B17" i="6" s="1"/>
  <c r="J11" i="6"/>
  <c r="F8" i="6"/>
  <c r="G8" i="6" s="1"/>
  <c r="J10" i="6"/>
  <c r="F16" i="6"/>
  <c r="G16" i="6" s="1"/>
  <c r="J9" i="6"/>
  <c r="E16" i="6" s="1"/>
  <c r="B16" i="6" s="1"/>
  <c r="F21" i="6"/>
  <c r="G21" i="6" s="1"/>
  <c r="E18" i="6"/>
  <c r="B18" i="6" s="1"/>
  <c r="F15" i="6"/>
  <c r="G15" i="6" s="1"/>
  <c r="E15" i="6"/>
  <c r="B15" i="6" s="1"/>
  <c r="F9" i="6"/>
  <c r="G9" i="6" s="1"/>
  <c r="E9" i="6"/>
  <c r="B9" i="6" s="1"/>
  <c r="F14" i="6"/>
  <c r="E60" i="5" a="1"/>
  <c r="E60" i="5" s="1"/>
  <c r="E61" i="5" a="1"/>
  <c r="E61" i="5" s="1"/>
  <c r="E87" i="5" a="1"/>
  <c r="E87" i="5" s="1"/>
  <c r="E86" i="5" a="1"/>
  <c r="E86" i="5" s="1"/>
  <c r="E85" i="5" a="1"/>
  <c r="E85" i="5" s="1"/>
  <c r="E84" i="5" a="1"/>
  <c r="E84" i="5" s="1"/>
  <c r="E83" i="5" a="1"/>
  <c r="E83" i="5" s="1"/>
  <c r="E82" i="5" a="1"/>
  <c r="E82" i="5" s="1"/>
  <c r="E81" i="5" a="1"/>
  <c r="E81" i="5" s="1"/>
  <c r="E80" i="5" a="1"/>
  <c r="E80" i="5" s="1"/>
  <c r="E79" i="5" a="1"/>
  <c r="E79" i="5" s="1"/>
  <c r="E78" i="5" a="1"/>
  <c r="E78" i="5" s="1"/>
  <c r="E77" i="5" a="1"/>
  <c r="E77" i="5" s="1"/>
  <c r="E76" i="5" a="1"/>
  <c r="E76" i="5" s="1"/>
  <c r="E75" i="5" a="1"/>
  <c r="E75" i="5" s="1"/>
  <c r="E74" i="5" a="1"/>
  <c r="E74" i="5" s="1"/>
  <c r="E73" i="5" a="1"/>
  <c r="E73" i="5" s="1"/>
  <c r="E72" i="5" a="1"/>
  <c r="E72" i="5" s="1"/>
  <c r="E71" i="5" a="1"/>
  <c r="E71" i="5" s="1"/>
  <c r="E70" i="5" a="1"/>
  <c r="E70" i="5" s="1"/>
  <c r="E69" i="5" a="1"/>
  <c r="E69" i="5" s="1"/>
  <c r="E68" i="5" a="1"/>
  <c r="E68" i="5" s="1"/>
  <c r="E67" i="5" a="1"/>
  <c r="E67" i="5" s="1"/>
  <c r="E66" i="5" a="1"/>
  <c r="E66" i="5" s="1"/>
  <c r="E65" i="5" a="1"/>
  <c r="E65" i="5" s="1"/>
  <c r="E64" i="5" a="1"/>
  <c r="E64" i="5" s="1"/>
  <c r="E63" i="5" a="1"/>
  <c r="E63" i="5" s="1"/>
  <c r="E62" i="5" a="1"/>
  <c r="E62" i="5" s="1"/>
  <c r="E59" i="5" a="1"/>
  <c r="E59" i="5" s="1"/>
  <c r="D52" i="5"/>
  <c r="C52" i="5"/>
  <c r="F51" i="5"/>
  <c r="G51" i="5" s="1"/>
  <c r="F50" i="5"/>
  <c r="G50" i="5" s="1"/>
  <c r="E50" i="5"/>
  <c r="B50" i="5" s="1"/>
  <c r="F49" i="5"/>
  <c r="G49" i="5" s="1"/>
  <c r="F48" i="5"/>
  <c r="G48" i="5" s="1"/>
  <c r="E48" i="5"/>
  <c r="B48" i="5" s="1"/>
  <c r="F47" i="5"/>
  <c r="G47" i="5" s="1"/>
  <c r="E47" i="5"/>
  <c r="B47" i="5" s="1"/>
  <c r="F46" i="5"/>
  <c r="G46" i="5" s="1"/>
  <c r="E46" i="5"/>
  <c r="B46" i="5" s="1"/>
  <c r="F45" i="5"/>
  <c r="G45" i="5" s="1"/>
  <c r="F44" i="5"/>
  <c r="G44" i="5" s="1"/>
  <c r="F43" i="5"/>
  <c r="G43" i="5" s="1"/>
  <c r="F42" i="5"/>
  <c r="G42" i="5" s="1"/>
  <c r="E42" i="5"/>
  <c r="B42" i="5" s="1"/>
  <c r="F41" i="5"/>
  <c r="G41" i="5" s="1"/>
  <c r="E41" i="5"/>
  <c r="B41" i="5" s="1"/>
  <c r="F40" i="5"/>
  <c r="G40" i="5" s="1"/>
  <c r="F39" i="5"/>
  <c r="G39" i="5" s="1"/>
  <c r="F38" i="5"/>
  <c r="G38" i="5" s="1"/>
  <c r="E38" i="5"/>
  <c r="B38" i="5" s="1"/>
  <c r="F37" i="5"/>
  <c r="G37" i="5" s="1"/>
  <c r="E37" i="5"/>
  <c r="B37" i="5" s="1"/>
  <c r="F36" i="5"/>
  <c r="G36" i="5" s="1"/>
  <c r="E36" i="5"/>
  <c r="B36" i="5" s="1"/>
  <c r="F35" i="5"/>
  <c r="G35" i="5" s="1"/>
  <c r="F34" i="5"/>
  <c r="G34" i="5" s="1"/>
  <c r="E34" i="5"/>
  <c r="B34" i="5" s="1"/>
  <c r="F33" i="5"/>
  <c r="G33" i="5" s="1"/>
  <c r="E33" i="5"/>
  <c r="B33" i="5" s="1"/>
  <c r="F32" i="5"/>
  <c r="G32" i="5" s="1"/>
  <c r="E32" i="5"/>
  <c r="B32" i="5" s="1"/>
  <c r="J31" i="5"/>
  <c r="F31" i="5"/>
  <c r="G31" i="5" s="1"/>
  <c r="E31" i="5"/>
  <c r="B31" i="5" s="1"/>
  <c r="J30" i="5"/>
  <c r="F30" i="5"/>
  <c r="G30" i="5" s="1"/>
  <c r="J29" i="5"/>
  <c r="E17" i="5" s="1"/>
  <c r="B17" i="5" s="1"/>
  <c r="F29" i="5"/>
  <c r="G29" i="5" s="1"/>
  <c r="E29" i="5"/>
  <c r="B29" i="5" s="1"/>
  <c r="J28" i="5"/>
  <c r="E30" i="5" s="1"/>
  <c r="B30" i="5" s="1"/>
  <c r="F28" i="5"/>
  <c r="G28" i="5" s="1"/>
  <c r="J27" i="5"/>
  <c r="E14" i="5" s="1"/>
  <c r="B14" i="5" s="1"/>
  <c r="F27" i="5"/>
  <c r="G27" i="5" s="1"/>
  <c r="E27" i="5"/>
  <c r="B27" i="5" s="1"/>
  <c r="J26" i="5"/>
  <c r="E35" i="5" s="1"/>
  <c r="B35" i="5" s="1"/>
  <c r="F26" i="5"/>
  <c r="G26" i="5" s="1"/>
  <c r="E26" i="5"/>
  <c r="B26" i="5" s="1"/>
  <c r="J25" i="5"/>
  <c r="E39" i="5" s="1"/>
  <c r="B39" i="5" s="1"/>
  <c r="F25" i="5"/>
  <c r="G25" i="5" s="1"/>
  <c r="J24" i="5"/>
  <c r="E45" i="5" s="1"/>
  <c r="B45" i="5" s="1"/>
  <c r="F24" i="5"/>
  <c r="G24" i="5" s="1"/>
  <c r="E24" i="5"/>
  <c r="B24" i="5" s="1"/>
  <c r="J23" i="5"/>
  <c r="E25" i="5" s="1"/>
  <c r="B25" i="5" s="1"/>
  <c r="F23" i="5"/>
  <c r="G23" i="5" s="1"/>
  <c r="J22" i="5"/>
  <c r="E28" i="5" s="1"/>
  <c r="B28" i="5" s="1"/>
  <c r="F22" i="5"/>
  <c r="G22" i="5" s="1"/>
  <c r="J21" i="5"/>
  <c r="E6" i="5" s="1"/>
  <c r="F21" i="5"/>
  <c r="G21" i="5" s="1"/>
  <c r="E21" i="5"/>
  <c r="B21" i="5" s="1"/>
  <c r="J20" i="5"/>
  <c r="E8" i="5" s="1"/>
  <c r="B8" i="5" s="1"/>
  <c r="F20" i="5"/>
  <c r="G20" i="5" s="1"/>
  <c r="E20" i="5"/>
  <c r="B20" i="5" s="1"/>
  <c r="J19" i="5"/>
  <c r="E22" i="5" s="1"/>
  <c r="B22" i="5" s="1"/>
  <c r="F19" i="5"/>
  <c r="G19" i="5" s="1"/>
  <c r="J18" i="5"/>
  <c r="E15" i="5" s="1"/>
  <c r="B15" i="5" s="1"/>
  <c r="F18" i="5"/>
  <c r="G18" i="5" s="1"/>
  <c r="E18" i="5"/>
  <c r="B18" i="5" s="1"/>
  <c r="J17" i="5"/>
  <c r="E44" i="5" s="1"/>
  <c r="B44" i="5" s="1"/>
  <c r="F17" i="5"/>
  <c r="G17" i="5" s="1"/>
  <c r="J16" i="5"/>
  <c r="E49" i="5" s="1"/>
  <c r="B49" i="5" s="1"/>
  <c r="F16" i="5"/>
  <c r="G16" i="5" s="1"/>
  <c r="J15" i="5"/>
  <c r="E40" i="5" s="1"/>
  <c r="B40" i="5" s="1"/>
  <c r="F15" i="5"/>
  <c r="G15" i="5" s="1"/>
  <c r="J14" i="5"/>
  <c r="E9" i="5" s="1"/>
  <c r="B9" i="5" s="1"/>
  <c r="F14" i="5"/>
  <c r="G14" i="5" s="1"/>
  <c r="J13" i="5"/>
  <c r="E19" i="5" s="1"/>
  <c r="B19" i="5" s="1"/>
  <c r="F13" i="5"/>
  <c r="G13" i="5" s="1"/>
  <c r="E13" i="5"/>
  <c r="B13" i="5" s="1"/>
  <c r="J12" i="5"/>
  <c r="E51" i="5" s="1"/>
  <c r="B51" i="5" s="1"/>
  <c r="F12" i="5"/>
  <c r="G12" i="5" s="1"/>
  <c r="E12" i="5"/>
  <c r="B12" i="5" s="1"/>
  <c r="J11" i="5"/>
  <c r="E11" i="5" s="1"/>
  <c r="B11" i="5" s="1"/>
  <c r="F11" i="5"/>
  <c r="G11" i="5" s="1"/>
  <c r="J10" i="5"/>
  <c r="E43" i="5" s="1"/>
  <c r="B43" i="5" s="1"/>
  <c r="F10" i="5"/>
  <c r="G10" i="5" s="1"/>
  <c r="J9" i="5"/>
  <c r="E10" i="5" s="1"/>
  <c r="B10" i="5" s="1"/>
  <c r="F9" i="5"/>
  <c r="G9" i="5" s="1"/>
  <c r="J8" i="5"/>
  <c r="E23" i="5" s="1"/>
  <c r="B23" i="5" s="1"/>
  <c r="F8" i="5"/>
  <c r="G8" i="5" s="1"/>
  <c r="J7" i="5"/>
  <c r="E16" i="5" s="1"/>
  <c r="B16" i="5" s="1"/>
  <c r="F7" i="5"/>
  <c r="G7" i="5" s="1"/>
  <c r="E7" i="5"/>
  <c r="B7" i="5" s="1"/>
  <c r="F6" i="5"/>
  <c r="E836" i="4" a="1"/>
  <c r="E836" i="4" s="1"/>
  <c r="E835" i="4" a="1"/>
  <c r="E835" i="4" s="1"/>
  <c r="E834" i="4" a="1"/>
  <c r="E834" i="4" s="1"/>
  <c r="E833" i="4"/>
  <c r="E833" i="4" a="1"/>
  <c r="E832" i="4" a="1"/>
  <c r="E832" i="4" s="1"/>
  <c r="E831" i="4" a="1"/>
  <c r="E831" i="4" s="1"/>
  <c r="E830" i="4" a="1"/>
  <c r="E830" i="4" s="1"/>
  <c r="E829" i="4"/>
  <c r="E829" i="4" a="1"/>
  <c r="E828" i="4" a="1"/>
  <c r="E828" i="4" s="1"/>
  <c r="E827" i="4" a="1"/>
  <c r="E827" i="4" s="1"/>
  <c r="E826" i="4" a="1"/>
  <c r="E826" i="4" s="1"/>
  <c r="E825" i="4"/>
  <c r="E825" i="4" a="1"/>
  <c r="E824" i="4" a="1"/>
  <c r="E824" i="4" s="1"/>
  <c r="E823" i="4" a="1"/>
  <c r="E823" i="4" s="1"/>
  <c r="E822" i="4" a="1"/>
  <c r="E822" i="4" s="1"/>
  <c r="E821" i="4"/>
  <c r="E821" i="4" a="1"/>
  <c r="E820" i="4" a="1"/>
  <c r="E820" i="4" s="1"/>
  <c r="E819" i="4" a="1"/>
  <c r="E819" i="4" s="1"/>
  <c r="E818" i="4" a="1"/>
  <c r="E818" i="4" s="1"/>
  <c r="E817" i="4"/>
  <c r="E817" i="4" a="1"/>
  <c r="E816" i="4" a="1"/>
  <c r="E816" i="4" s="1"/>
  <c r="E815" i="4" a="1"/>
  <c r="E815" i="4" s="1"/>
  <c r="E814" i="4" a="1"/>
  <c r="E814" i="4" s="1"/>
  <c r="E813" i="4"/>
  <c r="E813" i="4" a="1"/>
  <c r="E812" i="4" a="1"/>
  <c r="E812" i="4" s="1"/>
  <c r="E811" i="4" a="1"/>
  <c r="E811" i="4" s="1"/>
  <c r="E810" i="4" a="1"/>
  <c r="E810" i="4" s="1"/>
  <c r="E809" i="4"/>
  <c r="E809" i="4" a="1"/>
  <c r="E808" i="4" a="1"/>
  <c r="E808" i="4" s="1"/>
  <c r="E807" i="4" a="1"/>
  <c r="E807" i="4" s="1"/>
  <c r="D800" i="4"/>
  <c r="C800" i="4"/>
  <c r="F799" i="4"/>
  <c r="G799" i="4" s="1"/>
  <c r="F798" i="4"/>
  <c r="G798" i="4" s="1"/>
  <c r="E798" i="4"/>
  <c r="B798" i="4" s="1"/>
  <c r="F797" i="4"/>
  <c r="G797" i="4" s="1"/>
  <c r="E797" i="4"/>
  <c r="B797" i="4" s="1"/>
  <c r="F796" i="4"/>
  <c r="G796" i="4" s="1"/>
  <c r="E796" i="4"/>
  <c r="B796" i="4" s="1"/>
  <c r="F795" i="4"/>
  <c r="G795" i="4" s="1"/>
  <c r="E795" i="4"/>
  <c r="B795" i="4" s="1"/>
  <c r="F794" i="4"/>
  <c r="G794" i="4" s="1"/>
  <c r="E794" i="4"/>
  <c r="B794" i="4" s="1"/>
  <c r="F793" i="4"/>
  <c r="G793" i="4" s="1"/>
  <c r="E793" i="4"/>
  <c r="B793" i="4" s="1"/>
  <c r="F792" i="4"/>
  <c r="G792" i="4" s="1"/>
  <c r="F791" i="4"/>
  <c r="G791" i="4" s="1"/>
  <c r="F790" i="4"/>
  <c r="G790" i="4" s="1"/>
  <c r="E790" i="4"/>
  <c r="B790" i="4" s="1"/>
  <c r="F789" i="4"/>
  <c r="G789" i="4" s="1"/>
  <c r="E789" i="4"/>
  <c r="B789" i="4" s="1"/>
  <c r="F788" i="4"/>
  <c r="G788" i="4" s="1"/>
  <c r="F787" i="4"/>
  <c r="G787" i="4" s="1"/>
  <c r="E787" i="4"/>
  <c r="B787" i="4" s="1"/>
  <c r="F786" i="4"/>
  <c r="G786" i="4" s="1"/>
  <c r="E786" i="4"/>
  <c r="B786" i="4" s="1"/>
  <c r="F785" i="4"/>
  <c r="G785" i="4" s="1"/>
  <c r="E785" i="4"/>
  <c r="B785" i="4" s="1"/>
  <c r="F784" i="4"/>
  <c r="G784" i="4" s="1"/>
  <c r="E784" i="4"/>
  <c r="B784" i="4" s="1"/>
  <c r="F783" i="4"/>
  <c r="G783" i="4" s="1"/>
  <c r="F782" i="4"/>
  <c r="G782" i="4" s="1"/>
  <c r="E782" i="4"/>
  <c r="B782" i="4" s="1"/>
  <c r="F781" i="4"/>
  <c r="G781" i="4" s="1"/>
  <c r="E781" i="4"/>
  <c r="B781" i="4" s="1"/>
  <c r="F780" i="4"/>
  <c r="G780" i="4" s="1"/>
  <c r="E780" i="4"/>
  <c r="B780" i="4" s="1"/>
  <c r="J779" i="4"/>
  <c r="G779" i="4"/>
  <c r="F779" i="4"/>
  <c r="E779" i="4"/>
  <c r="B779" i="4" s="1"/>
  <c r="J778" i="4"/>
  <c r="F778" i="4"/>
  <c r="G778" i="4" s="1"/>
  <c r="E778" i="4"/>
  <c r="B778" i="4"/>
  <c r="J777" i="4"/>
  <c r="F777" i="4"/>
  <c r="G777" i="4" s="1"/>
  <c r="E777" i="4"/>
  <c r="B777" i="4"/>
  <c r="J776" i="4"/>
  <c r="F776" i="4"/>
  <c r="G776" i="4" s="1"/>
  <c r="E776" i="4"/>
  <c r="B776" i="4" s="1"/>
  <c r="J775" i="4"/>
  <c r="F775" i="4"/>
  <c r="G775" i="4" s="1"/>
  <c r="E775" i="4"/>
  <c r="B775" i="4"/>
  <c r="J774" i="4"/>
  <c r="E783" i="4" s="1"/>
  <c r="B783" i="4" s="1"/>
  <c r="G774" i="4"/>
  <c r="F774" i="4"/>
  <c r="E774" i="4"/>
  <c r="B774" i="4"/>
  <c r="J773" i="4"/>
  <c r="F773" i="4"/>
  <c r="G773" i="4" s="1"/>
  <c r="E773" i="4"/>
  <c r="B773" i="4" s="1"/>
  <c r="J772" i="4"/>
  <c r="F772" i="4"/>
  <c r="G772" i="4" s="1"/>
  <c r="E772" i="4"/>
  <c r="B772" i="4"/>
  <c r="J771" i="4"/>
  <c r="G771" i="4"/>
  <c r="F771" i="4"/>
  <c r="J770" i="4"/>
  <c r="F770" i="4"/>
  <c r="G770" i="4" s="1"/>
  <c r="E770" i="4"/>
  <c r="B770" i="4"/>
  <c r="J769" i="4"/>
  <c r="E754" i="4" s="1"/>
  <c r="F769" i="4"/>
  <c r="G769" i="4" s="1"/>
  <c r="E769" i="4"/>
  <c r="B769" i="4" s="1"/>
  <c r="J768" i="4"/>
  <c r="E756" i="4" s="1"/>
  <c r="B756" i="4" s="1"/>
  <c r="F768" i="4"/>
  <c r="G768" i="4" s="1"/>
  <c r="E768" i="4"/>
  <c r="B768" i="4" s="1"/>
  <c r="J767" i="4"/>
  <c r="G767" i="4"/>
  <c r="F767" i="4"/>
  <c r="J766" i="4"/>
  <c r="E763" i="4" s="1"/>
  <c r="B763" i="4" s="1"/>
  <c r="G766" i="4"/>
  <c r="F766" i="4"/>
  <c r="E766" i="4"/>
  <c r="B766" i="4"/>
  <c r="J765" i="4"/>
  <c r="E792" i="4" s="1"/>
  <c r="B792" i="4" s="1"/>
  <c r="F765" i="4"/>
  <c r="G765" i="4" s="1"/>
  <c r="E765" i="4"/>
  <c r="B765" i="4" s="1"/>
  <c r="J764" i="4"/>
  <c r="F764" i="4"/>
  <c r="G764" i="4" s="1"/>
  <c r="J763" i="4"/>
  <c r="E788" i="4" s="1"/>
  <c r="B788" i="4" s="1"/>
  <c r="G763" i="4"/>
  <c r="F763" i="4"/>
  <c r="J762" i="4"/>
  <c r="F762" i="4"/>
  <c r="G762" i="4" s="1"/>
  <c r="E762" i="4"/>
  <c r="B762" i="4"/>
  <c r="J761" i="4"/>
  <c r="E767" i="4" s="1"/>
  <c r="B767" i="4" s="1"/>
  <c r="F761" i="4"/>
  <c r="G761" i="4" s="1"/>
  <c r="E761" i="4"/>
  <c r="B761" i="4" s="1"/>
  <c r="J760" i="4"/>
  <c r="E799" i="4" s="1"/>
  <c r="B799" i="4" s="1"/>
  <c r="F760" i="4"/>
  <c r="G760" i="4" s="1"/>
  <c r="E760" i="4"/>
  <c r="B760" i="4" s="1"/>
  <c r="J759" i="4"/>
  <c r="G759" i="4"/>
  <c r="F759" i="4"/>
  <c r="E759" i="4"/>
  <c r="B759" i="4"/>
  <c r="J758" i="4"/>
  <c r="E791" i="4" s="1"/>
  <c r="B791" i="4" s="1"/>
  <c r="G758" i="4"/>
  <c r="F758" i="4"/>
  <c r="J757" i="4"/>
  <c r="E758" i="4" s="1"/>
  <c r="B758" i="4" s="1"/>
  <c r="F757" i="4"/>
  <c r="G757" i="4" s="1"/>
  <c r="E757" i="4"/>
  <c r="B757" i="4" s="1"/>
  <c r="J756" i="4"/>
  <c r="E771" i="4" s="1"/>
  <c r="B771" i="4" s="1"/>
  <c r="F756" i="4"/>
  <c r="G756" i="4" s="1"/>
  <c r="J755" i="4"/>
  <c r="E764" i="4" s="1"/>
  <c r="B764" i="4" s="1"/>
  <c r="G755" i="4"/>
  <c r="F755" i="4"/>
  <c r="E755" i="4"/>
  <c r="B755" i="4"/>
  <c r="G754" i="4"/>
  <c r="F754" i="4"/>
  <c r="F800" i="4" s="1"/>
  <c r="E744" i="4" a="1"/>
  <c r="E744" i="4" s="1"/>
  <c r="E743" i="4" a="1"/>
  <c r="E743" i="4" s="1"/>
  <c r="E742" i="4"/>
  <c r="E742" i="4" a="1"/>
  <c r="E741" i="4" a="1"/>
  <c r="E741" i="4" s="1"/>
  <c r="E740" i="4"/>
  <c r="E740" i="4" a="1"/>
  <c r="E739" i="4" a="1"/>
  <c r="E739" i="4" s="1"/>
  <c r="E738" i="4" a="1"/>
  <c r="E738" i="4" s="1"/>
  <c r="E737" i="4" a="1"/>
  <c r="E737" i="4" s="1"/>
  <c r="E736" i="4"/>
  <c r="E736" i="4" a="1"/>
  <c r="E735" i="4" a="1"/>
  <c r="E735" i="4" s="1"/>
  <c r="E734" i="4" a="1"/>
  <c r="E734" i="4" s="1"/>
  <c r="E733" i="4" a="1"/>
  <c r="E733" i="4" s="1"/>
  <c r="E732" i="4"/>
  <c r="E732" i="4" a="1"/>
  <c r="E731" i="4" a="1"/>
  <c r="E731" i="4" s="1"/>
  <c r="E730" i="4" a="1"/>
  <c r="E730" i="4" s="1"/>
  <c r="E729" i="4" a="1"/>
  <c r="E729" i="4" s="1"/>
  <c r="E728" i="4" a="1"/>
  <c r="E728" i="4" s="1"/>
  <c r="E727" i="4" a="1"/>
  <c r="E727" i="4" s="1"/>
  <c r="E726" i="4" a="1"/>
  <c r="E726" i="4" s="1"/>
  <c r="E725" i="4" a="1"/>
  <c r="E725" i="4" s="1"/>
  <c r="E724" i="4" a="1"/>
  <c r="E724" i="4" s="1"/>
  <c r="E723" i="4" a="1"/>
  <c r="E723" i="4" s="1"/>
  <c r="E722" i="4" a="1"/>
  <c r="E722" i="4" s="1"/>
  <c r="E721" i="4" a="1"/>
  <c r="E721" i="4" s="1"/>
  <c r="E720" i="4" a="1"/>
  <c r="E720" i="4" s="1"/>
  <c r="E719" i="4" a="1"/>
  <c r="E719" i="4" s="1"/>
  <c r="E718" i="4" a="1"/>
  <c r="E718" i="4" s="1"/>
  <c r="E717" i="4" a="1"/>
  <c r="E717" i="4" s="1"/>
  <c r="E716" i="4" a="1"/>
  <c r="E716" i="4" s="1"/>
  <c r="E715" i="4" a="1"/>
  <c r="E715" i="4" s="1"/>
  <c r="E714" i="4" a="1"/>
  <c r="E714" i="4" s="1"/>
  <c r="E713" i="4" a="1"/>
  <c r="E713" i="4" s="1"/>
  <c r="E712" i="4" a="1"/>
  <c r="E712" i="4" s="1"/>
  <c r="E711" i="4" a="1"/>
  <c r="E711" i="4" s="1"/>
  <c r="E710" i="4" a="1"/>
  <c r="E710" i="4" s="1"/>
  <c r="E703" i="4"/>
  <c r="D703" i="4"/>
  <c r="C703" i="4"/>
  <c r="F702" i="4"/>
  <c r="G702" i="4" s="1"/>
  <c r="B702" i="4"/>
  <c r="F701" i="4"/>
  <c r="G701" i="4" s="1"/>
  <c r="E701" i="4"/>
  <c r="B701" i="4"/>
  <c r="F700" i="4"/>
  <c r="G700" i="4" s="1"/>
  <c r="E700" i="4"/>
  <c r="B700" i="4"/>
  <c r="F699" i="4"/>
  <c r="G699" i="4" s="1"/>
  <c r="E699" i="4"/>
  <c r="B699" i="4"/>
  <c r="F698" i="4"/>
  <c r="G698" i="4" s="1"/>
  <c r="E698" i="4"/>
  <c r="B698" i="4"/>
  <c r="F697" i="4"/>
  <c r="G697" i="4" s="1"/>
  <c r="E697" i="4"/>
  <c r="B697" i="4"/>
  <c r="F696" i="4"/>
  <c r="G696" i="4" s="1"/>
  <c r="E696" i="4"/>
  <c r="B696" i="4"/>
  <c r="F695" i="4"/>
  <c r="G695" i="4" s="1"/>
  <c r="E695" i="4"/>
  <c r="B695" i="4"/>
  <c r="F694" i="4"/>
  <c r="G694" i="4" s="1"/>
  <c r="E694" i="4"/>
  <c r="B694" i="4"/>
  <c r="F693" i="4"/>
  <c r="G693" i="4" s="1"/>
  <c r="E693" i="4"/>
  <c r="B693" i="4"/>
  <c r="F692" i="4"/>
  <c r="G692" i="4" s="1"/>
  <c r="E692" i="4"/>
  <c r="B692" i="4"/>
  <c r="F691" i="4"/>
  <c r="G691" i="4" s="1"/>
  <c r="E691" i="4"/>
  <c r="B691" i="4"/>
  <c r="F690" i="4"/>
  <c r="G690" i="4" s="1"/>
  <c r="E690" i="4"/>
  <c r="B690" i="4" s="1"/>
  <c r="F689" i="4"/>
  <c r="G689" i="4" s="1"/>
  <c r="E689" i="4"/>
  <c r="B689" i="4" s="1"/>
  <c r="F688" i="4"/>
  <c r="G688" i="4" s="1"/>
  <c r="E688" i="4"/>
  <c r="B688" i="4" s="1"/>
  <c r="F687" i="4"/>
  <c r="G687" i="4" s="1"/>
  <c r="E687" i="4"/>
  <c r="B687" i="4" s="1"/>
  <c r="F686" i="4"/>
  <c r="G686" i="4" s="1"/>
  <c r="E686" i="4"/>
  <c r="B686" i="4" s="1"/>
  <c r="F685" i="4"/>
  <c r="G685" i="4" s="1"/>
  <c r="E685" i="4"/>
  <c r="B685" i="4" s="1"/>
  <c r="F684" i="4"/>
  <c r="G684" i="4" s="1"/>
  <c r="E684" i="4"/>
  <c r="B684" i="4" s="1"/>
  <c r="F683" i="4"/>
  <c r="G683" i="4" s="1"/>
  <c r="E683" i="4"/>
  <c r="B683" i="4" s="1"/>
  <c r="F682" i="4"/>
  <c r="G682" i="4" s="1"/>
  <c r="E682" i="4"/>
  <c r="B682" i="4"/>
  <c r="F681" i="4"/>
  <c r="G681" i="4" s="1"/>
  <c r="E681" i="4"/>
  <c r="B681" i="4" s="1"/>
  <c r="F680" i="4"/>
  <c r="G680" i="4" s="1"/>
  <c r="E680" i="4"/>
  <c r="B680" i="4" s="1"/>
  <c r="F679" i="4"/>
  <c r="G679" i="4" s="1"/>
  <c r="E679" i="4"/>
  <c r="B679" i="4" s="1"/>
  <c r="F678" i="4"/>
  <c r="G678" i="4" s="1"/>
  <c r="E678" i="4"/>
  <c r="B678" i="4" s="1"/>
  <c r="F677" i="4"/>
  <c r="G677" i="4" s="1"/>
  <c r="E677" i="4"/>
  <c r="B677" i="4" s="1"/>
  <c r="F676" i="4"/>
  <c r="G676" i="4" s="1"/>
  <c r="E676" i="4"/>
  <c r="B676" i="4" s="1"/>
  <c r="G675" i="4"/>
  <c r="B675" i="4"/>
  <c r="G674" i="4"/>
  <c r="B674" i="4"/>
  <c r="F673" i="4"/>
  <c r="G673" i="4" s="1"/>
  <c r="E673" i="4"/>
  <c r="B673" i="4" s="1"/>
  <c r="F672" i="4"/>
  <c r="G672" i="4" s="1"/>
  <c r="E672" i="4"/>
  <c r="B672" i="4" s="1"/>
  <c r="F671" i="4"/>
  <c r="G671" i="4" s="1"/>
  <c r="E671" i="4"/>
  <c r="B671" i="4" s="1"/>
  <c r="F670" i="4"/>
  <c r="F703" i="4" s="1"/>
  <c r="E670" i="4"/>
  <c r="B670" i="4" s="1"/>
  <c r="F669" i="4"/>
  <c r="G669" i="4" s="1"/>
  <c r="E669" i="4"/>
  <c r="B669" i="4" s="1"/>
  <c r="M656" i="4" a="1"/>
  <c r="M656" i="4" s="1"/>
  <c r="M655" i="4"/>
  <c r="M655" i="4" a="1"/>
  <c r="M654" i="4" a="1"/>
  <c r="M654" i="4" s="1"/>
  <c r="M653" i="4" a="1"/>
  <c r="M653" i="4" s="1"/>
  <c r="M652" i="4" a="1"/>
  <c r="M652" i="4" s="1"/>
  <c r="M651" i="4"/>
  <c r="M651" i="4" a="1"/>
  <c r="M650" i="4" a="1"/>
  <c r="M650" i="4" s="1"/>
  <c r="M649" i="4" a="1"/>
  <c r="M649" i="4" s="1"/>
  <c r="M648" i="4" a="1"/>
  <c r="M648" i="4" s="1"/>
  <c r="M647" i="4"/>
  <c r="M647" i="4" a="1"/>
  <c r="M646" i="4" a="1"/>
  <c r="M646" i="4" s="1"/>
  <c r="M645" i="4" a="1"/>
  <c r="M645" i="4" s="1"/>
  <c r="M644" i="4" a="1"/>
  <c r="M644" i="4" s="1"/>
  <c r="M643" i="4"/>
  <c r="M643" i="4" a="1"/>
  <c r="M642" i="4" a="1"/>
  <c r="M642" i="4" s="1"/>
  <c r="M641" i="4" a="1"/>
  <c r="M641" i="4" s="1"/>
  <c r="M640" i="4" a="1"/>
  <c r="M640" i="4" s="1"/>
  <c r="M639" i="4"/>
  <c r="M639" i="4" a="1"/>
  <c r="M638" i="4" a="1"/>
  <c r="M638" i="4" s="1"/>
  <c r="M637" i="4" a="1"/>
  <c r="M637" i="4" s="1"/>
  <c r="M636" i="4" a="1"/>
  <c r="M636" i="4" s="1"/>
  <c r="M635" i="4"/>
  <c r="M635" i="4" a="1"/>
  <c r="M634" i="4" a="1"/>
  <c r="M634" i="4" s="1"/>
  <c r="M633" i="4" a="1"/>
  <c r="M633" i="4" s="1"/>
  <c r="M632" i="4" a="1"/>
  <c r="M632" i="4" s="1"/>
  <c r="M631" i="4"/>
  <c r="M631" i="4" a="1"/>
  <c r="M630" i="4" a="1"/>
  <c r="M630" i="4" s="1"/>
  <c r="M629" i="4" a="1"/>
  <c r="M629" i="4" s="1"/>
  <c r="M628" i="4" a="1"/>
  <c r="M628" i="4" s="1"/>
  <c r="M627" i="4"/>
  <c r="M627" i="4" a="1"/>
  <c r="M626" i="4" a="1"/>
  <c r="M626" i="4" s="1"/>
  <c r="M625" i="4" a="1"/>
  <c r="M625" i="4" s="1"/>
  <c r="M624" i="4" a="1"/>
  <c r="M624" i="4" s="1"/>
  <c r="M623" i="4"/>
  <c r="M623" i="4" a="1"/>
  <c r="D619" i="4"/>
  <c r="C619" i="4"/>
  <c r="G618" i="4"/>
  <c r="F618" i="4"/>
  <c r="E618" i="4"/>
  <c r="B618" i="4"/>
  <c r="F617" i="4"/>
  <c r="G617" i="4" s="1"/>
  <c r="E617" i="4"/>
  <c r="B617" i="4"/>
  <c r="F616" i="4"/>
  <c r="G616" i="4" s="1"/>
  <c r="E616" i="4"/>
  <c r="B616" i="4"/>
  <c r="F615" i="4"/>
  <c r="G615" i="4" s="1"/>
  <c r="E615" i="4"/>
  <c r="B615" i="4"/>
  <c r="F614" i="4"/>
  <c r="G614" i="4" s="1"/>
  <c r="E614" i="4"/>
  <c r="B614" i="4"/>
  <c r="F613" i="4"/>
  <c r="G613" i="4" s="1"/>
  <c r="E613" i="4"/>
  <c r="B613" i="4"/>
  <c r="F612" i="4"/>
  <c r="G612" i="4" s="1"/>
  <c r="E612" i="4"/>
  <c r="B612" i="4"/>
  <c r="F611" i="4"/>
  <c r="G611" i="4" s="1"/>
  <c r="E611" i="4"/>
  <c r="B611" i="4"/>
  <c r="F610" i="4"/>
  <c r="G610" i="4" s="1"/>
  <c r="E610" i="4"/>
  <c r="B610" i="4"/>
  <c r="F609" i="4"/>
  <c r="G609" i="4" s="1"/>
  <c r="E609" i="4"/>
  <c r="B609" i="4"/>
  <c r="F608" i="4"/>
  <c r="G608" i="4" s="1"/>
  <c r="E608" i="4"/>
  <c r="B608" i="4"/>
  <c r="F607" i="4"/>
  <c r="G607" i="4" s="1"/>
  <c r="E607" i="4"/>
  <c r="B607" i="4"/>
  <c r="F606" i="4"/>
  <c r="G606" i="4" s="1"/>
  <c r="E606" i="4"/>
  <c r="B606" i="4"/>
  <c r="F605" i="4"/>
  <c r="G605" i="4" s="1"/>
  <c r="E605" i="4"/>
  <c r="B605" i="4"/>
  <c r="F604" i="4"/>
  <c r="G604" i="4" s="1"/>
  <c r="E604" i="4"/>
  <c r="B604" i="4"/>
  <c r="F603" i="4"/>
  <c r="G603" i="4" s="1"/>
  <c r="E603" i="4"/>
  <c r="B603" i="4"/>
  <c r="F602" i="4"/>
  <c r="G602" i="4" s="1"/>
  <c r="E602" i="4"/>
  <c r="B602" i="4"/>
  <c r="F601" i="4"/>
  <c r="G601" i="4" s="1"/>
  <c r="E601" i="4"/>
  <c r="B601" i="4"/>
  <c r="F600" i="4"/>
  <c r="G600" i="4" s="1"/>
  <c r="E600" i="4"/>
  <c r="B600" i="4"/>
  <c r="F599" i="4"/>
  <c r="G599" i="4" s="1"/>
  <c r="E599" i="4"/>
  <c r="B599" i="4"/>
  <c r="F598" i="4"/>
  <c r="G598" i="4" s="1"/>
  <c r="E598" i="4"/>
  <c r="B598" i="4"/>
  <c r="F597" i="4"/>
  <c r="G597" i="4" s="1"/>
  <c r="E597" i="4"/>
  <c r="E619" i="4" s="1"/>
  <c r="B597" i="4"/>
  <c r="F596" i="4"/>
  <c r="G596" i="4" s="1"/>
  <c r="B596" i="4"/>
  <c r="F595" i="4"/>
  <c r="G595" i="4" s="1"/>
  <c r="B595" i="4"/>
  <c r="F594" i="4"/>
  <c r="G594" i="4" s="1"/>
  <c r="E594" i="4"/>
  <c r="B594" i="4"/>
  <c r="F593" i="4"/>
  <c r="G593" i="4" s="1"/>
  <c r="B593" i="4"/>
  <c r="F592" i="4"/>
  <c r="G592" i="4" s="1"/>
  <c r="B592" i="4"/>
  <c r="F591" i="4"/>
  <c r="G591" i="4" s="1"/>
  <c r="B591" i="4"/>
  <c r="F590" i="4"/>
  <c r="G590" i="4" s="1"/>
  <c r="B590" i="4"/>
  <c r="F589" i="4"/>
  <c r="G589" i="4" s="1"/>
  <c r="E589" i="4"/>
  <c r="B589" i="4"/>
  <c r="F588" i="4"/>
  <c r="G588" i="4" s="1"/>
  <c r="B588" i="4"/>
  <c r="F587" i="4"/>
  <c r="F619" i="4" s="1"/>
  <c r="B587" i="4"/>
  <c r="B619" i="4" s="1"/>
  <c r="F579" i="4"/>
  <c r="E579" i="4"/>
  <c r="D579" i="4"/>
  <c r="C579" i="4"/>
  <c r="G578" i="4"/>
  <c r="B578" i="4"/>
  <c r="G577" i="4"/>
  <c r="B577" i="4"/>
  <c r="G576" i="4"/>
  <c r="B576" i="4"/>
  <c r="G575" i="4"/>
  <c r="B575" i="4"/>
  <c r="G574" i="4"/>
  <c r="B574" i="4"/>
  <c r="G573" i="4"/>
  <c r="B573" i="4"/>
  <c r="G572" i="4"/>
  <c r="B572" i="4"/>
  <c r="G571" i="4"/>
  <c r="B571" i="4"/>
  <c r="G570" i="4"/>
  <c r="B570" i="4"/>
  <c r="G569" i="4"/>
  <c r="B569" i="4"/>
  <c r="G568" i="4"/>
  <c r="B568" i="4"/>
  <c r="G567" i="4"/>
  <c r="B567" i="4"/>
  <c r="G566" i="4"/>
  <c r="B566" i="4"/>
  <c r="G565" i="4"/>
  <c r="B565" i="4"/>
  <c r="G564" i="4"/>
  <c r="B564" i="4"/>
  <c r="G563" i="4"/>
  <c r="B563" i="4"/>
  <c r="G562" i="4"/>
  <c r="B562" i="4"/>
  <c r="G561" i="4"/>
  <c r="B561" i="4"/>
  <c r="G560" i="4"/>
  <c r="B560" i="4"/>
  <c r="G559" i="4"/>
  <c r="B559" i="4"/>
  <c r="G558" i="4"/>
  <c r="B558" i="4"/>
  <c r="G557" i="4"/>
  <c r="B557" i="4"/>
  <c r="G556" i="4"/>
  <c r="B556" i="4"/>
  <c r="G555" i="4"/>
  <c r="B555" i="4"/>
  <c r="G554" i="4"/>
  <c r="B554" i="4"/>
  <c r="G553" i="4"/>
  <c r="B553" i="4"/>
  <c r="G552" i="4"/>
  <c r="B552" i="4"/>
  <c r="G551" i="4"/>
  <c r="B551" i="4"/>
  <c r="G550" i="4"/>
  <c r="B550" i="4"/>
  <c r="G549" i="4"/>
  <c r="B549" i="4"/>
  <c r="G548" i="4"/>
  <c r="B548" i="4"/>
  <c r="G547" i="4"/>
  <c r="B547" i="4"/>
  <c r="G546" i="4"/>
  <c r="B546" i="4"/>
  <c r="G545" i="4"/>
  <c r="B545" i="4"/>
  <c r="G544" i="4"/>
  <c r="B544" i="4"/>
  <c r="M543" i="4"/>
  <c r="G543" i="4"/>
  <c r="B543" i="4"/>
  <c r="M542" i="4"/>
  <c r="G542" i="4"/>
  <c r="B542" i="4"/>
  <c r="M541" i="4"/>
  <c r="N541" i="4" s="1"/>
  <c r="G541" i="4"/>
  <c r="B541" i="4"/>
  <c r="M540" i="4"/>
  <c r="G540" i="4"/>
  <c r="B540" i="4"/>
  <c r="M539" i="4"/>
  <c r="G539" i="4"/>
  <c r="B539" i="4"/>
  <c r="M538" i="4"/>
  <c r="G538" i="4"/>
  <c r="B538" i="4"/>
  <c r="M537" i="4"/>
  <c r="G537" i="4"/>
  <c r="B537" i="4"/>
  <c r="M536" i="4"/>
  <c r="G536" i="4"/>
  <c r="B536" i="4"/>
  <c r="M535" i="4"/>
  <c r="G535" i="4"/>
  <c r="B535" i="4"/>
  <c r="M534" i="4"/>
  <c r="G534" i="4"/>
  <c r="B534" i="4"/>
  <c r="M533" i="4"/>
  <c r="G533" i="4"/>
  <c r="B533" i="4"/>
  <c r="M532" i="4"/>
  <c r="G532" i="4"/>
  <c r="B532" i="4"/>
  <c r="M531" i="4"/>
  <c r="N531" i="4" s="1"/>
  <c r="G531" i="4"/>
  <c r="B531" i="4"/>
  <c r="M530" i="4"/>
  <c r="G530" i="4"/>
  <c r="G579" i="4" s="1"/>
  <c r="B530" i="4"/>
  <c r="B579" i="4" s="1"/>
  <c r="M529" i="4"/>
  <c r="F519" i="4"/>
  <c r="E519" i="4"/>
  <c r="D519" i="4"/>
  <c r="C519" i="4"/>
  <c r="G518" i="4"/>
  <c r="B518" i="4"/>
  <c r="G517" i="4"/>
  <c r="B517" i="4"/>
  <c r="G516" i="4"/>
  <c r="B516" i="4"/>
  <c r="G515" i="4"/>
  <c r="B515" i="4"/>
  <c r="G514" i="4"/>
  <c r="B514" i="4"/>
  <c r="G513" i="4"/>
  <c r="B513" i="4"/>
  <c r="G512" i="4"/>
  <c r="B512" i="4"/>
  <c r="G511" i="4"/>
  <c r="B511" i="4"/>
  <c r="G510" i="4"/>
  <c r="B510" i="4"/>
  <c r="G509" i="4"/>
  <c r="B509" i="4"/>
  <c r="G508" i="4"/>
  <c r="B508" i="4"/>
  <c r="G507" i="4"/>
  <c r="B507" i="4"/>
  <c r="G506" i="4"/>
  <c r="B506" i="4"/>
  <c r="G505" i="4"/>
  <c r="B505" i="4"/>
  <c r="G504" i="4"/>
  <c r="B504" i="4"/>
  <c r="G503" i="4"/>
  <c r="B503" i="4"/>
  <c r="G502" i="4"/>
  <c r="B502" i="4"/>
  <c r="G501" i="4"/>
  <c r="B501" i="4"/>
  <c r="K500" i="4"/>
  <c r="G500" i="4"/>
  <c r="B500" i="4"/>
  <c r="K499" i="4"/>
  <c r="G499" i="4"/>
  <c r="B499" i="4"/>
  <c r="G498" i="4"/>
  <c r="B498" i="4"/>
  <c r="G497" i="4"/>
  <c r="B497" i="4"/>
  <c r="G496" i="4"/>
  <c r="B496" i="4"/>
  <c r="G495" i="4"/>
  <c r="B495" i="4"/>
  <c r="G494" i="4"/>
  <c r="B494" i="4"/>
  <c r="G493" i="4"/>
  <c r="B493" i="4"/>
  <c r="G492" i="4"/>
  <c r="B492" i="4"/>
  <c r="G491" i="4"/>
  <c r="B491" i="4"/>
  <c r="G490" i="4"/>
  <c r="B490" i="4"/>
  <c r="G489" i="4"/>
  <c r="B489" i="4"/>
  <c r="G488" i="4"/>
  <c r="B488" i="4"/>
  <c r="G487" i="4"/>
  <c r="B487" i="4"/>
  <c r="G486" i="4"/>
  <c r="B486" i="4"/>
  <c r="G485" i="4"/>
  <c r="B485" i="4"/>
  <c r="G484" i="4"/>
  <c r="B484" i="4"/>
  <c r="G483" i="4"/>
  <c r="B483" i="4"/>
  <c r="G482" i="4"/>
  <c r="B482" i="4"/>
  <c r="G481" i="4"/>
  <c r="B481" i="4"/>
  <c r="G480" i="4"/>
  <c r="B480" i="4"/>
  <c r="G479" i="4"/>
  <c r="B479" i="4"/>
  <c r="G478" i="4"/>
  <c r="B478" i="4"/>
  <c r="G477" i="4"/>
  <c r="B477" i="4"/>
  <c r="G476" i="4"/>
  <c r="B476" i="4"/>
  <c r="G475" i="4"/>
  <c r="B475" i="4"/>
  <c r="G474" i="4"/>
  <c r="B474" i="4"/>
  <c r="G473" i="4"/>
  <c r="B473" i="4"/>
  <c r="G472" i="4"/>
  <c r="B472" i="4"/>
  <c r="G471" i="4"/>
  <c r="B471" i="4"/>
  <c r="G470" i="4"/>
  <c r="B470" i="4"/>
  <c r="G469" i="4"/>
  <c r="B469" i="4"/>
  <c r="G468" i="4"/>
  <c r="B468" i="4"/>
  <c r="B519" i="4" s="1"/>
  <c r="G467" i="4"/>
  <c r="B467" i="4"/>
  <c r="G466" i="4"/>
  <c r="B466" i="4"/>
  <c r="G465" i="4"/>
  <c r="G519" i="4" s="1"/>
  <c r="B465" i="4"/>
  <c r="F452" i="4"/>
  <c r="E452" i="4"/>
  <c r="D452" i="4"/>
  <c r="C452" i="4"/>
  <c r="G451" i="4"/>
  <c r="B451" i="4"/>
  <c r="G450" i="4"/>
  <c r="B450" i="4"/>
  <c r="G449" i="4"/>
  <c r="B449" i="4"/>
  <c r="G448" i="4"/>
  <c r="B448" i="4"/>
  <c r="G447" i="4"/>
  <c r="B447" i="4"/>
  <c r="G446" i="4"/>
  <c r="B446" i="4"/>
  <c r="G445" i="4"/>
  <c r="B445" i="4"/>
  <c r="G444" i="4"/>
  <c r="B444" i="4"/>
  <c r="G443" i="4"/>
  <c r="B443" i="4"/>
  <c r="K442" i="4"/>
  <c r="G442" i="4"/>
  <c r="B442" i="4"/>
  <c r="K441" i="4"/>
  <c r="G441" i="4"/>
  <c r="B441" i="4"/>
  <c r="G440" i="4"/>
  <c r="B440" i="4"/>
  <c r="G439" i="4"/>
  <c r="B439" i="4"/>
  <c r="G438" i="4"/>
  <c r="B438" i="4"/>
  <c r="G437" i="4"/>
  <c r="B437" i="4"/>
  <c r="G436" i="4"/>
  <c r="B436" i="4"/>
  <c r="G435" i="4"/>
  <c r="B435" i="4"/>
  <c r="G434" i="4"/>
  <c r="B434" i="4"/>
  <c r="G433" i="4"/>
  <c r="B433" i="4"/>
  <c r="G432" i="4"/>
  <c r="B432" i="4"/>
  <c r="G431" i="4"/>
  <c r="B431" i="4"/>
  <c r="G430" i="4"/>
  <c r="B430" i="4"/>
  <c r="G429" i="4"/>
  <c r="B429" i="4"/>
  <c r="G428" i="4"/>
  <c r="B428" i="4"/>
  <c r="G427" i="4"/>
  <c r="B427" i="4"/>
  <c r="G426" i="4"/>
  <c r="B426" i="4"/>
  <c r="G425" i="4"/>
  <c r="B425" i="4"/>
  <c r="G424" i="4"/>
  <c r="B424" i="4"/>
  <c r="G423" i="4"/>
  <c r="B423" i="4"/>
  <c r="G422" i="4"/>
  <c r="B422" i="4"/>
  <c r="G421" i="4"/>
  <c r="B421" i="4"/>
  <c r="G420" i="4"/>
  <c r="B420" i="4"/>
  <c r="G419" i="4"/>
  <c r="B419" i="4"/>
  <c r="G418" i="4"/>
  <c r="B418" i="4"/>
  <c r="G417" i="4"/>
  <c r="B417" i="4"/>
  <c r="G416" i="4"/>
  <c r="B416" i="4"/>
  <c r="G415" i="4"/>
  <c r="B415" i="4"/>
  <c r="G414" i="4"/>
  <c r="G452" i="4" s="1"/>
  <c r="B414" i="4"/>
  <c r="G413" i="4"/>
  <c r="B413" i="4"/>
  <c r="B452" i="4" s="1"/>
  <c r="K395" i="4"/>
  <c r="F395" i="4"/>
  <c r="E395" i="4"/>
  <c r="D395" i="4"/>
  <c r="C395" i="4"/>
  <c r="G394" i="4"/>
  <c r="B394" i="4"/>
  <c r="G393" i="4"/>
  <c r="B393" i="4"/>
  <c r="G392" i="4"/>
  <c r="B392" i="4"/>
  <c r="G391" i="4"/>
  <c r="B391" i="4"/>
  <c r="G390" i="4"/>
  <c r="B390" i="4"/>
  <c r="G389" i="4"/>
  <c r="B389" i="4"/>
  <c r="G388" i="4"/>
  <c r="B388" i="4"/>
  <c r="G387" i="4"/>
  <c r="B387" i="4"/>
  <c r="G386" i="4"/>
  <c r="B386" i="4"/>
  <c r="G385" i="4"/>
  <c r="B385" i="4"/>
  <c r="G384" i="4"/>
  <c r="B384" i="4"/>
  <c r="G383" i="4"/>
  <c r="B383" i="4"/>
  <c r="G382" i="4"/>
  <c r="B382" i="4"/>
  <c r="G381" i="4"/>
  <c r="B381" i="4"/>
  <c r="G380" i="4"/>
  <c r="B380" i="4"/>
  <c r="G379" i="4"/>
  <c r="B379" i="4"/>
  <c r="G378" i="4"/>
  <c r="B378" i="4"/>
  <c r="G377" i="4"/>
  <c r="B377" i="4"/>
  <c r="G376" i="4"/>
  <c r="B376" i="4"/>
  <c r="G375" i="4"/>
  <c r="B375" i="4"/>
  <c r="G374" i="4"/>
  <c r="B374" i="4"/>
  <c r="G373" i="4"/>
  <c r="B373" i="4"/>
  <c r="G372" i="4"/>
  <c r="B372" i="4"/>
  <c r="G371" i="4"/>
  <c r="B371" i="4"/>
  <c r="G370" i="4"/>
  <c r="B370" i="4"/>
  <c r="G369" i="4"/>
  <c r="B369" i="4"/>
  <c r="G368" i="4"/>
  <c r="B368" i="4"/>
  <c r="G367" i="4"/>
  <c r="B367" i="4"/>
  <c r="G366" i="4"/>
  <c r="B366" i="4"/>
  <c r="G365" i="4"/>
  <c r="B365" i="4"/>
  <c r="G364" i="4"/>
  <c r="B364" i="4"/>
  <c r="G363" i="4"/>
  <c r="B363" i="4"/>
  <c r="G362" i="4"/>
  <c r="B362" i="4"/>
  <c r="G361" i="4"/>
  <c r="B361" i="4"/>
  <c r="G360" i="4"/>
  <c r="B360" i="4"/>
  <c r="G359" i="4"/>
  <c r="B359" i="4"/>
  <c r="G358" i="4"/>
  <c r="B358" i="4"/>
  <c r="G357" i="4"/>
  <c r="B357" i="4"/>
  <c r="G356" i="4"/>
  <c r="G395" i="4" s="1"/>
  <c r="B356" i="4"/>
  <c r="G355" i="4"/>
  <c r="B355" i="4"/>
  <c r="B395" i="4" s="1"/>
  <c r="F348" i="4"/>
  <c r="E348" i="4"/>
  <c r="D348" i="4"/>
  <c r="C348" i="4"/>
  <c r="G347" i="4"/>
  <c r="B347" i="4"/>
  <c r="G346" i="4"/>
  <c r="B346" i="4"/>
  <c r="G345" i="4"/>
  <c r="B345" i="4"/>
  <c r="G344" i="4"/>
  <c r="B344" i="4"/>
  <c r="G343" i="4"/>
  <c r="B343" i="4"/>
  <c r="G342" i="4"/>
  <c r="B342" i="4"/>
  <c r="G341" i="4"/>
  <c r="B341" i="4"/>
  <c r="G340" i="4"/>
  <c r="B340" i="4"/>
  <c r="G339" i="4"/>
  <c r="B339" i="4"/>
  <c r="G338" i="4"/>
  <c r="B338" i="4"/>
  <c r="G337" i="4"/>
  <c r="B337" i="4"/>
  <c r="G336" i="4"/>
  <c r="B336" i="4"/>
  <c r="G335" i="4"/>
  <c r="B335" i="4"/>
  <c r="G334" i="4"/>
  <c r="B334" i="4"/>
  <c r="G333" i="4"/>
  <c r="B333" i="4"/>
  <c r="G332" i="4"/>
  <c r="B332" i="4"/>
  <c r="G331" i="4"/>
  <c r="B331" i="4"/>
  <c r="G330" i="4"/>
  <c r="B330" i="4"/>
  <c r="G329" i="4"/>
  <c r="B329" i="4"/>
  <c r="G328" i="4"/>
  <c r="B328" i="4"/>
  <c r="G327" i="4"/>
  <c r="B327" i="4"/>
  <c r="G326" i="4"/>
  <c r="B326" i="4"/>
  <c r="G325" i="4"/>
  <c r="B325" i="4"/>
  <c r="G324" i="4"/>
  <c r="B324" i="4"/>
  <c r="G323" i="4"/>
  <c r="B323" i="4"/>
  <c r="G322" i="4"/>
  <c r="B322" i="4"/>
  <c r="G321" i="4"/>
  <c r="B321" i="4"/>
  <c r="G320" i="4"/>
  <c r="B320" i="4"/>
  <c r="G319" i="4"/>
  <c r="B319" i="4"/>
  <c r="G318" i="4"/>
  <c r="B318" i="4"/>
  <c r="G317" i="4"/>
  <c r="B317" i="4"/>
  <c r="G316" i="4"/>
  <c r="B316" i="4"/>
  <c r="G315" i="4"/>
  <c r="B315" i="4"/>
  <c r="G314" i="4"/>
  <c r="B314" i="4"/>
  <c r="G313" i="4"/>
  <c r="B313" i="4"/>
  <c r="G312" i="4"/>
  <c r="B312" i="4"/>
  <c r="G311" i="4"/>
  <c r="B311" i="4"/>
  <c r="G310" i="4"/>
  <c r="B310" i="4"/>
  <c r="G309" i="4"/>
  <c r="B309" i="4"/>
  <c r="G308" i="4"/>
  <c r="B308" i="4"/>
  <c r="G307" i="4"/>
  <c r="B307" i="4"/>
  <c r="G306" i="4"/>
  <c r="B306" i="4"/>
  <c r="G305" i="4"/>
  <c r="B305" i="4"/>
  <c r="G304" i="4"/>
  <c r="G348" i="4" s="1"/>
  <c r="B304" i="4"/>
  <c r="B348" i="4" s="1"/>
  <c r="F296" i="4"/>
  <c r="E296" i="4"/>
  <c r="D296" i="4"/>
  <c r="C296" i="4"/>
  <c r="G295" i="4"/>
  <c r="B295" i="4"/>
  <c r="G294" i="4"/>
  <c r="B294" i="4"/>
  <c r="G293" i="4"/>
  <c r="B293" i="4"/>
  <c r="G292" i="4"/>
  <c r="B292" i="4"/>
  <c r="G291" i="4"/>
  <c r="B291" i="4"/>
  <c r="G290" i="4"/>
  <c r="B290" i="4"/>
  <c r="G289" i="4"/>
  <c r="B289" i="4"/>
  <c r="G288" i="4"/>
  <c r="B288" i="4"/>
  <c r="G287" i="4"/>
  <c r="B287" i="4"/>
  <c r="G286" i="4"/>
  <c r="B286" i="4"/>
  <c r="G285" i="4"/>
  <c r="B285" i="4"/>
  <c r="G284" i="4"/>
  <c r="B284" i="4"/>
  <c r="G283" i="4"/>
  <c r="B283" i="4"/>
  <c r="G282" i="4"/>
  <c r="B282" i="4"/>
  <c r="G281" i="4"/>
  <c r="B281" i="4"/>
  <c r="G280" i="4"/>
  <c r="B280" i="4"/>
  <c r="G279" i="4"/>
  <c r="B279" i="4"/>
  <c r="G278" i="4"/>
  <c r="B278" i="4"/>
  <c r="G277" i="4"/>
  <c r="B277" i="4"/>
  <c r="G276" i="4"/>
  <c r="B276" i="4"/>
  <c r="G275" i="4"/>
  <c r="B275" i="4"/>
  <c r="G274" i="4"/>
  <c r="B274" i="4"/>
  <c r="G273" i="4"/>
  <c r="B273" i="4"/>
  <c r="G272" i="4"/>
  <c r="B272" i="4"/>
  <c r="G271" i="4"/>
  <c r="B271" i="4"/>
  <c r="G270" i="4"/>
  <c r="B270" i="4"/>
  <c r="G269" i="4"/>
  <c r="B269" i="4"/>
  <c r="G268" i="4"/>
  <c r="B268" i="4"/>
  <c r="G267" i="4"/>
  <c r="B267" i="4"/>
  <c r="G266" i="4"/>
  <c r="B266" i="4"/>
  <c r="G265" i="4"/>
  <c r="B265" i="4"/>
  <c r="G264" i="4"/>
  <c r="B264" i="4"/>
  <c r="G263" i="4"/>
  <c r="B263" i="4"/>
  <c r="G262" i="4"/>
  <c r="B262" i="4"/>
  <c r="G261" i="4"/>
  <c r="B261" i="4"/>
  <c r="G260" i="4"/>
  <c r="B260" i="4"/>
  <c r="G259" i="4"/>
  <c r="B259" i="4"/>
  <c r="G258" i="4"/>
  <c r="B258" i="4"/>
  <c r="G257" i="4"/>
  <c r="B257" i="4"/>
  <c r="G256" i="4"/>
  <c r="G296" i="4" s="1"/>
  <c r="B256" i="4"/>
  <c r="B296" i="4" s="1"/>
  <c r="F250" i="4"/>
  <c r="E250" i="4"/>
  <c r="D250" i="4"/>
  <c r="C250" i="4"/>
  <c r="G249" i="4"/>
  <c r="B249" i="4"/>
  <c r="G248" i="4"/>
  <c r="B248" i="4"/>
  <c r="G247" i="4"/>
  <c r="B247" i="4"/>
  <c r="G246" i="4"/>
  <c r="B246" i="4"/>
  <c r="G245" i="4"/>
  <c r="B245" i="4"/>
  <c r="G244" i="4"/>
  <c r="B244" i="4"/>
  <c r="G243" i="4"/>
  <c r="B243" i="4"/>
  <c r="G242" i="4"/>
  <c r="B242" i="4"/>
  <c r="G241" i="4"/>
  <c r="B241" i="4"/>
  <c r="G240" i="4"/>
  <c r="B240" i="4"/>
  <c r="G239" i="4"/>
  <c r="B239" i="4"/>
  <c r="G238" i="4"/>
  <c r="B238" i="4"/>
  <c r="G237" i="4"/>
  <c r="B237" i="4"/>
  <c r="G236" i="4"/>
  <c r="B236" i="4"/>
  <c r="G235" i="4"/>
  <c r="B235" i="4"/>
  <c r="G234" i="4"/>
  <c r="B234" i="4"/>
  <c r="G233" i="4"/>
  <c r="B233" i="4"/>
  <c r="G232" i="4"/>
  <c r="B232" i="4"/>
  <c r="G231" i="4"/>
  <c r="B231" i="4"/>
  <c r="G230" i="4"/>
  <c r="B230" i="4"/>
  <c r="G229" i="4"/>
  <c r="B229" i="4"/>
  <c r="G228" i="4"/>
  <c r="B228" i="4"/>
  <c r="G227" i="4"/>
  <c r="B227" i="4"/>
  <c r="G226" i="4"/>
  <c r="B226" i="4"/>
  <c r="G225" i="4"/>
  <c r="B225" i="4"/>
  <c r="G224" i="4"/>
  <c r="B224" i="4"/>
  <c r="G223" i="4"/>
  <c r="B223" i="4"/>
  <c r="G222" i="4"/>
  <c r="B222" i="4"/>
  <c r="G221" i="4"/>
  <c r="B221" i="4"/>
  <c r="G220" i="4"/>
  <c r="B220" i="4"/>
  <c r="G219" i="4"/>
  <c r="B219" i="4"/>
  <c r="G218" i="4"/>
  <c r="B218" i="4"/>
  <c r="G217" i="4"/>
  <c r="B217" i="4"/>
  <c r="G216" i="4"/>
  <c r="G250" i="4" s="1"/>
  <c r="B216" i="4"/>
  <c r="G215" i="4"/>
  <c r="B215" i="4"/>
  <c r="G214" i="4"/>
  <c r="B214" i="4"/>
  <c r="B250" i="4" s="1"/>
  <c r="F207" i="4"/>
  <c r="E207" i="4"/>
  <c r="D207" i="4"/>
  <c r="C207" i="4"/>
  <c r="G206" i="4"/>
  <c r="B206" i="4"/>
  <c r="G205" i="4"/>
  <c r="B205" i="4"/>
  <c r="G204" i="4"/>
  <c r="B204" i="4"/>
  <c r="G203" i="4"/>
  <c r="B203" i="4"/>
  <c r="G202" i="4"/>
  <c r="B202" i="4"/>
  <c r="G201" i="4"/>
  <c r="B201" i="4"/>
  <c r="G200" i="4"/>
  <c r="B200" i="4"/>
  <c r="G199" i="4"/>
  <c r="B199" i="4"/>
  <c r="G198" i="4"/>
  <c r="B198" i="4"/>
  <c r="G197" i="4"/>
  <c r="B197" i="4"/>
  <c r="G196" i="4"/>
  <c r="B196" i="4"/>
  <c r="G195" i="4"/>
  <c r="B195" i="4"/>
  <c r="G194" i="4"/>
  <c r="B194" i="4"/>
  <c r="G193" i="4"/>
  <c r="B193" i="4"/>
  <c r="G192" i="4"/>
  <c r="B192" i="4"/>
  <c r="G191" i="4"/>
  <c r="B191" i="4"/>
  <c r="G190" i="4"/>
  <c r="B190" i="4"/>
  <c r="G189" i="4"/>
  <c r="B189" i="4"/>
  <c r="G188" i="4"/>
  <c r="B188" i="4"/>
  <c r="G187" i="4"/>
  <c r="B187" i="4"/>
  <c r="G186" i="4"/>
  <c r="B186" i="4"/>
  <c r="G185" i="4"/>
  <c r="B185" i="4"/>
  <c r="G184" i="4"/>
  <c r="B184" i="4"/>
  <c r="G183" i="4"/>
  <c r="B183" i="4"/>
  <c r="G182" i="4"/>
  <c r="B182" i="4"/>
  <c r="G181" i="4"/>
  <c r="B181" i="4"/>
  <c r="G180" i="4"/>
  <c r="B180" i="4"/>
  <c r="G179" i="4"/>
  <c r="B179" i="4"/>
  <c r="G178" i="4"/>
  <c r="B178" i="4"/>
  <c r="G177" i="4"/>
  <c r="B177" i="4"/>
  <c r="G176" i="4"/>
  <c r="G207" i="4" s="1"/>
  <c r="B176" i="4"/>
  <c r="G175" i="4"/>
  <c r="B175" i="4"/>
  <c r="G174" i="4"/>
  <c r="B174" i="4"/>
  <c r="B207" i="4" s="1"/>
  <c r="F168" i="4"/>
  <c r="E168" i="4"/>
  <c r="D168" i="4"/>
  <c r="C168" i="4"/>
  <c r="G167" i="4"/>
  <c r="B167" i="4"/>
  <c r="G166" i="4"/>
  <c r="B166" i="4"/>
  <c r="G165" i="4"/>
  <c r="B165" i="4"/>
  <c r="G164" i="4"/>
  <c r="B164" i="4"/>
  <c r="G163" i="4"/>
  <c r="B163" i="4"/>
  <c r="G162" i="4"/>
  <c r="B162" i="4"/>
  <c r="G161" i="4"/>
  <c r="B161" i="4"/>
  <c r="G160" i="4"/>
  <c r="B160" i="4"/>
  <c r="G159" i="4"/>
  <c r="B159" i="4"/>
  <c r="G158" i="4"/>
  <c r="B158" i="4"/>
  <c r="G157" i="4"/>
  <c r="B157" i="4"/>
  <c r="G156" i="4"/>
  <c r="B156" i="4"/>
  <c r="G155" i="4"/>
  <c r="B155" i="4"/>
  <c r="G154" i="4"/>
  <c r="B154" i="4"/>
  <c r="G153" i="4"/>
  <c r="B153" i="4"/>
  <c r="G152" i="4"/>
  <c r="B152" i="4"/>
  <c r="G151" i="4"/>
  <c r="B151" i="4"/>
  <c r="G150" i="4"/>
  <c r="B150" i="4"/>
  <c r="G149" i="4"/>
  <c r="B149" i="4"/>
  <c r="G148" i="4"/>
  <c r="B148" i="4"/>
  <c r="G147" i="4"/>
  <c r="B147" i="4"/>
  <c r="G146" i="4"/>
  <c r="B146" i="4"/>
  <c r="G145" i="4"/>
  <c r="B145" i="4"/>
  <c r="G144" i="4"/>
  <c r="B144" i="4"/>
  <c r="G143" i="4"/>
  <c r="B143" i="4"/>
  <c r="G142" i="4"/>
  <c r="B142" i="4"/>
  <c r="G141" i="4"/>
  <c r="B141" i="4"/>
  <c r="G140" i="4"/>
  <c r="B140" i="4"/>
  <c r="G139" i="4"/>
  <c r="B139" i="4"/>
  <c r="G138" i="4"/>
  <c r="B138" i="4"/>
  <c r="G137" i="4"/>
  <c r="G168" i="4" s="1"/>
  <c r="B137" i="4"/>
  <c r="G136" i="4"/>
  <c r="B136" i="4"/>
  <c r="B168" i="4" s="1"/>
  <c r="F130" i="4"/>
  <c r="E130" i="4"/>
  <c r="D130" i="4"/>
  <c r="C130" i="4"/>
  <c r="G129" i="4"/>
  <c r="B129" i="4"/>
  <c r="G128" i="4"/>
  <c r="B128" i="4"/>
  <c r="G127" i="4"/>
  <c r="B127" i="4"/>
  <c r="G126" i="4"/>
  <c r="B126" i="4"/>
  <c r="G125" i="4"/>
  <c r="B125" i="4"/>
  <c r="G124" i="4"/>
  <c r="B124" i="4"/>
  <c r="G123" i="4"/>
  <c r="B123" i="4"/>
  <c r="G122" i="4"/>
  <c r="B122" i="4"/>
  <c r="G121" i="4"/>
  <c r="B121" i="4"/>
  <c r="G120" i="4"/>
  <c r="B120" i="4"/>
  <c r="G119" i="4"/>
  <c r="B119" i="4"/>
  <c r="G118" i="4"/>
  <c r="B118" i="4"/>
  <c r="G117" i="4"/>
  <c r="B117" i="4"/>
  <c r="G116" i="4"/>
  <c r="B116" i="4"/>
  <c r="G115" i="4"/>
  <c r="B115" i="4"/>
  <c r="G114" i="4"/>
  <c r="B114" i="4"/>
  <c r="G113" i="4"/>
  <c r="B113" i="4"/>
  <c r="G112" i="4"/>
  <c r="B112" i="4"/>
  <c r="G111" i="4"/>
  <c r="B111" i="4"/>
  <c r="G110" i="4"/>
  <c r="B110" i="4"/>
  <c r="G109" i="4"/>
  <c r="B109" i="4"/>
  <c r="G108" i="4"/>
  <c r="B108" i="4"/>
  <c r="G107" i="4"/>
  <c r="B107" i="4"/>
  <c r="G106" i="4"/>
  <c r="B106" i="4"/>
  <c r="G105" i="4"/>
  <c r="B105" i="4"/>
  <c r="G104" i="4"/>
  <c r="B104" i="4"/>
  <c r="G103" i="4"/>
  <c r="B103" i="4"/>
  <c r="G102" i="4"/>
  <c r="B102" i="4"/>
  <c r="G101" i="4"/>
  <c r="B101" i="4"/>
  <c r="G100" i="4"/>
  <c r="B100" i="4"/>
  <c r="G99" i="4"/>
  <c r="B99" i="4"/>
  <c r="G98" i="4"/>
  <c r="B98" i="4"/>
  <c r="B130" i="4" s="1"/>
  <c r="G97" i="4"/>
  <c r="B97" i="4"/>
  <c r="G96" i="4"/>
  <c r="G130" i="4" s="1"/>
  <c r="B96" i="4"/>
  <c r="F90" i="4"/>
  <c r="E90" i="4"/>
  <c r="D90" i="4"/>
  <c r="C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G74" i="4"/>
  <c r="B74" i="4"/>
  <c r="G73" i="4"/>
  <c r="B73" i="4"/>
  <c r="G72" i="4"/>
  <c r="B72" i="4"/>
  <c r="G71" i="4"/>
  <c r="B71" i="4"/>
  <c r="G70" i="4"/>
  <c r="B70" i="4"/>
  <c r="G69" i="4"/>
  <c r="B69" i="4"/>
  <c r="G68" i="4"/>
  <c r="B68" i="4"/>
  <c r="G67" i="4"/>
  <c r="B67" i="4"/>
  <c r="G66" i="4"/>
  <c r="B66" i="4"/>
  <c r="G65" i="4"/>
  <c r="B65" i="4"/>
  <c r="G64" i="4"/>
  <c r="B64" i="4"/>
  <c r="G63" i="4"/>
  <c r="B63" i="4"/>
  <c r="G62" i="4"/>
  <c r="B62" i="4"/>
  <c r="G61" i="4"/>
  <c r="B61" i="4"/>
  <c r="G60" i="4"/>
  <c r="B60" i="4"/>
  <c r="G59" i="4"/>
  <c r="B59" i="4"/>
  <c r="G58" i="4"/>
  <c r="B58" i="4"/>
  <c r="G57" i="4"/>
  <c r="B57" i="4"/>
  <c r="G56" i="4"/>
  <c r="B56" i="4"/>
  <c r="G55" i="4"/>
  <c r="B55" i="4"/>
  <c r="P54" i="4"/>
  <c r="G54" i="4"/>
  <c r="B54" i="4"/>
  <c r="G53" i="4"/>
  <c r="B53" i="4"/>
  <c r="G52" i="4"/>
  <c r="B52" i="4"/>
  <c r="G51" i="4"/>
  <c r="G90" i="4" s="1"/>
  <c r="B51" i="4"/>
  <c r="G50" i="4"/>
  <c r="B50" i="4"/>
  <c r="B90" i="4" s="1"/>
  <c r="H45" i="4"/>
  <c r="C45" i="4"/>
  <c r="G43" i="4"/>
  <c r="B43" i="4"/>
  <c r="G42" i="4"/>
  <c r="B42" i="4"/>
  <c r="G41" i="4"/>
  <c r="B41" i="4"/>
  <c r="G40" i="4"/>
  <c r="B40" i="4"/>
  <c r="G39" i="4"/>
  <c r="B39" i="4"/>
  <c r="G38" i="4"/>
  <c r="B38" i="4"/>
  <c r="G37" i="4"/>
  <c r="B37" i="4"/>
  <c r="G36" i="4"/>
  <c r="B36" i="4"/>
  <c r="G35" i="4"/>
  <c r="B35" i="4"/>
  <c r="G34" i="4"/>
  <c r="B34" i="4"/>
  <c r="G33" i="4"/>
  <c r="B33" i="4"/>
  <c r="G32" i="4"/>
  <c r="B32" i="4"/>
  <c r="G31" i="4"/>
  <c r="B31" i="4"/>
  <c r="G30" i="4"/>
  <c r="B30" i="4"/>
  <c r="G29" i="4"/>
  <c r="B29" i="4"/>
  <c r="G28" i="4"/>
  <c r="B28" i="4"/>
  <c r="G27" i="4"/>
  <c r="B27" i="4"/>
  <c r="G26" i="4"/>
  <c r="B26" i="4"/>
  <c r="G25" i="4"/>
  <c r="B25" i="4"/>
  <c r="G24" i="4"/>
  <c r="B24" i="4"/>
  <c r="G23" i="4"/>
  <c r="B23" i="4"/>
  <c r="G22" i="4"/>
  <c r="B22" i="4"/>
  <c r="G21" i="4"/>
  <c r="B21" i="4"/>
  <c r="G20" i="4"/>
  <c r="B20" i="4"/>
  <c r="G19" i="4"/>
  <c r="B19" i="4"/>
  <c r="G18" i="4"/>
  <c r="B18" i="4"/>
  <c r="G17" i="4"/>
  <c r="B17" i="4"/>
  <c r="G16" i="4"/>
  <c r="B16" i="4"/>
  <c r="G15" i="4"/>
  <c r="B15" i="4"/>
  <c r="G14" i="4"/>
  <c r="B14" i="4"/>
  <c r="G13" i="4"/>
  <c r="B13" i="4"/>
  <c r="G12" i="4"/>
  <c r="B12" i="4"/>
  <c r="G11" i="4"/>
  <c r="B11" i="4"/>
  <c r="G10" i="4"/>
  <c r="B10" i="4"/>
  <c r="G9" i="4"/>
  <c r="B9" i="4"/>
  <c r="G8" i="4"/>
  <c r="B8" i="4"/>
  <c r="G7" i="4"/>
  <c r="B7" i="4"/>
  <c r="G6" i="4"/>
  <c r="B6" i="4"/>
  <c r="G5" i="4"/>
  <c r="B5" i="4"/>
  <c r="G4" i="4"/>
  <c r="B4" i="4"/>
  <c r="G3" i="4"/>
  <c r="B3" i="4"/>
  <c r="B45" i="4" s="1"/>
  <c r="E51" i="6" l="1"/>
  <c r="B51" i="6" s="1"/>
  <c r="E50" i="6"/>
  <c r="B50" i="6" s="1"/>
  <c r="E21" i="6"/>
  <c r="B21" i="6" s="1"/>
  <c r="E12" i="6"/>
  <c r="B12" i="6" s="1"/>
  <c r="B7" i="6"/>
  <c r="E8" i="6"/>
  <c r="B8" i="6" s="1"/>
  <c r="E31" i="6"/>
  <c r="B31" i="6" s="1"/>
  <c r="F52" i="6"/>
  <c r="B14" i="6"/>
  <c r="G14" i="6"/>
  <c r="G52" i="6" s="1"/>
  <c r="F52" i="5"/>
  <c r="G6" i="5"/>
  <c r="G52" i="5" s="1"/>
  <c r="B6" i="5"/>
  <c r="B52" i="5" s="1"/>
  <c r="E52" i="5"/>
  <c r="B703" i="4"/>
  <c r="G800" i="4"/>
  <c r="G710" i="4"/>
  <c r="B754" i="4"/>
  <c r="B800" i="4" s="1"/>
  <c r="E800" i="4"/>
  <c r="G670" i="4"/>
  <c r="G703" i="4" s="1"/>
  <c r="G587" i="4"/>
  <c r="G619" i="4" s="1"/>
  <c r="B52" i="6" l="1"/>
  <c r="E5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<sst xmlns="http://schemas.openxmlformats.org/spreadsheetml/2006/main" count="1991" uniqueCount="258">
  <si>
    <t>Ventas mensuales Enero</t>
  </si>
  <si>
    <t>Asesor</t>
  </si>
  <si>
    <t xml:space="preserve">Pólizas </t>
  </si>
  <si>
    <t>Vida</t>
  </si>
  <si>
    <t>Prima vida</t>
  </si>
  <si>
    <t>Gmm</t>
  </si>
  <si>
    <t>Prima gmm</t>
  </si>
  <si>
    <t>Prima total</t>
  </si>
  <si>
    <t xml:space="preserve">Colectivo </t>
  </si>
  <si>
    <t>MONY Y CARLOS</t>
  </si>
  <si>
    <t>DARINKA UREÐA CASILLAS</t>
  </si>
  <si>
    <t>DESIREE DE LA PEÐA OROZCO</t>
  </si>
  <si>
    <t>ANAIS LUA MORENO</t>
  </si>
  <si>
    <t>RAFAEL ALBERTO SUAREZ BAQUEDANO</t>
  </si>
  <si>
    <t>PAULINA LIZBETH SOTO MUÐIZ</t>
  </si>
  <si>
    <t>JORGE Y LULY</t>
  </si>
  <si>
    <t>CLAUDIA VALERIA HERNANDEZ MACIAS</t>
  </si>
  <si>
    <t>ANDREA CELESTE IBAÐEZ RINCON</t>
  </si>
  <si>
    <t>SAMUEL NUÐO RIVERA</t>
  </si>
  <si>
    <t>LUIS GUILLERMO OLGUIN FERNANDEZ</t>
  </si>
  <si>
    <t>ORLANDA JIMENA CERVANTES NUÐEZ</t>
  </si>
  <si>
    <t>KAREN MUÐOZ GARCIA</t>
  </si>
  <si>
    <t>MARIA FERNANDA CARLOS VAZQUEZ</t>
  </si>
  <si>
    <t>MARIO ALBERTO VILLASEÐOR SANCHEZ</t>
  </si>
  <si>
    <t>EVELYN CAROLINA VENEGAS IÐIGUEZ</t>
  </si>
  <si>
    <t>LILIANA IVETTE CASTILLO SANCHEZ</t>
  </si>
  <si>
    <t>JORGE ANTONIO LUNA LARA</t>
  </si>
  <si>
    <t>ROGELIO TORRES ORTIZ</t>
  </si>
  <si>
    <t>MARIA ELIZABETH LLAMAS LOPEZ</t>
  </si>
  <si>
    <t>ENRIQUE ADRIAN GUTIERREZ JIMENEZ</t>
  </si>
  <si>
    <t>MARICELA ARREOLA LOPEZ</t>
  </si>
  <si>
    <t>JOSE RENE DE ALBA MORALES</t>
  </si>
  <si>
    <t>JULIANA RIASCOS VALENCIA</t>
  </si>
  <si>
    <t>ROCIO IVON RUIZ GARCIA</t>
  </si>
  <si>
    <t>MIRIAM ROCIO LOMELI CHAVEZ</t>
  </si>
  <si>
    <t>GABRIELA CASTAÐEDA SALAZAR</t>
  </si>
  <si>
    <t>ANGELICA YADIRA ROMERO JAUREGUI</t>
  </si>
  <si>
    <t>ISAI ANTONIO ROJAS MARTINEZ</t>
  </si>
  <si>
    <t>MIREYA LIZETTE TORRES GARCIA</t>
  </si>
  <si>
    <t>JOSE ALBERTO CORONADO ROSAS</t>
  </si>
  <si>
    <t>MARIO ALFONSO SARMIENTO OROZCO</t>
  </si>
  <si>
    <t>ROCIO YANETH OCHOA IBARRA</t>
  </si>
  <si>
    <t>VALERIA AIDE IBAÐEZ MURGUIA</t>
  </si>
  <si>
    <t>MARIA TERESA ASENCIO LOZANO</t>
  </si>
  <si>
    <t>LUIS FERNANDO HERNANDEZ AYALA</t>
  </si>
  <si>
    <t>FERNANDO JAVIER DAVALOS FLORES</t>
  </si>
  <si>
    <t>PAULINA RODRIGUEZ DE LA MORA</t>
  </si>
  <si>
    <t>JOSE EDUARDO EZQUERRO BARQUERA</t>
  </si>
  <si>
    <t>ALEJANDRA IVETTE PEDROZA MACIAS</t>
  </si>
  <si>
    <t>JOCELYN URIBE VARGAS</t>
  </si>
  <si>
    <t>Total</t>
  </si>
  <si>
    <t>Ventas mensuales FEBRERO</t>
  </si>
  <si>
    <t>MONI Y CARLOS</t>
  </si>
  <si>
    <t>DARI</t>
  </si>
  <si>
    <t>JORGE Y LULI</t>
  </si>
  <si>
    <t>Ventas mensuales MARZO</t>
  </si>
  <si>
    <t>CAMPEONES:</t>
  </si>
  <si>
    <t>12 MESES PRIMA</t>
  </si>
  <si>
    <t>GUILLERMO</t>
  </si>
  <si>
    <t>12 MESES POLIZAS</t>
  </si>
  <si>
    <t>JIME Y VALE</t>
  </si>
  <si>
    <t>NVA ORG PRIMA</t>
  </si>
  <si>
    <t>RAFA</t>
  </si>
  <si>
    <t>NVA ORG POLIZAS</t>
  </si>
  <si>
    <t>PAU SOTO</t>
  </si>
  <si>
    <t>CONSOLIDADO PRIMA</t>
  </si>
  <si>
    <t>DESI</t>
  </si>
  <si>
    <t>CONSOLIDADO POLIZAS</t>
  </si>
  <si>
    <t>GMM PRIMA</t>
  </si>
  <si>
    <t>GMM POLIZAS</t>
  </si>
  <si>
    <t>SAMUEL Y JANET</t>
  </si>
  <si>
    <t>BRUNO BRAULIO MACIAS ALVAREZ</t>
  </si>
  <si>
    <t>LAURA DOLORES MONTAÐO MONTAÐO</t>
  </si>
  <si>
    <t>Ventas mensuales ABRIL</t>
  </si>
  <si>
    <t>12 MESES PRIMAS</t>
  </si>
  <si>
    <t>ELI</t>
  </si>
  <si>
    <t>MONICA ANDREA AMBRIZ GOMEZ</t>
  </si>
  <si>
    <t>ADRIAN</t>
  </si>
  <si>
    <t>JORGE ALBERTO PRECIADO GONZALEZ</t>
  </si>
  <si>
    <t>ANAIS</t>
  </si>
  <si>
    <t>14 597.95</t>
  </si>
  <si>
    <t>LALO</t>
  </si>
  <si>
    <t>KAREN</t>
  </si>
  <si>
    <t>FER</t>
  </si>
  <si>
    <t>ALE</t>
  </si>
  <si>
    <t>ANA LAURA CONTRERAS IÐIGUEZ</t>
  </si>
  <si>
    <t>NO VENTAS EN ABRIL</t>
  </si>
  <si>
    <t>Ventas mensuales MAYO</t>
  </si>
  <si>
    <t>Prima Recibo vida</t>
  </si>
  <si>
    <t>Prima Recibo gmm</t>
  </si>
  <si>
    <t>ANAIS,</t>
  </si>
  <si>
    <t>SAMUEL Y JANETH</t>
  </si>
  <si>
    <t>LILI</t>
  </si>
  <si>
    <t>Ventas mensuales JUNIO</t>
  </si>
  <si>
    <t>MARICELA</t>
  </si>
  <si>
    <t>DESI, RAFA, MARICELA, PAU R</t>
  </si>
  <si>
    <t>MARIA FERNANDA RIOS BERNAL</t>
  </si>
  <si>
    <t>ADRIANA ALEJANDRA JOYA MARTINEZ</t>
  </si>
  <si>
    <t>HANA SOFIA LOPEZ QUIÐONEZ</t>
  </si>
  <si>
    <t>Ventas mensuales JULIO</t>
  </si>
  <si>
    <t>RENE</t>
  </si>
  <si>
    <t>JORGE LUNA, ADRIAN AJOYA, ANA LAURA</t>
  </si>
  <si>
    <t>ROGER</t>
  </si>
  <si>
    <t>BRUNO</t>
  </si>
  <si>
    <t>MARICELA, JORGE LUNA, BRUNO, ROGER Y MONI</t>
  </si>
  <si>
    <t>MARIA JOSE GUZMAN ZAMORA</t>
  </si>
  <si>
    <t>Ventas mensuales AGOSTO</t>
  </si>
  <si>
    <t>PATY</t>
  </si>
  <si>
    <t>ISAI</t>
  </si>
  <si>
    <t>MARCO ANTONIO HERNANDEZ RAMIREZ</t>
  </si>
  <si>
    <t>VELIA PATRICIA BERNAL RAMOS</t>
  </si>
  <si>
    <t>SANDRA CRISTINA PEDROZA CRUZ</t>
  </si>
  <si>
    <t>ANGELICA REYES CERON</t>
  </si>
  <si>
    <t>Ventas mensuales SEPTIEMBRE</t>
  </si>
  <si>
    <t>bruno</t>
  </si>
  <si>
    <t>hana</t>
  </si>
  <si>
    <t>ANA VERONICA GONZALEZ GAYTAN</t>
  </si>
  <si>
    <t>jime y vale</t>
  </si>
  <si>
    <t>rafa</t>
  </si>
  <si>
    <t>LINDA TANIA MIROSLAVA ENRIQUEZ PRECIADO</t>
  </si>
  <si>
    <t>FALTANTE PARA LA META</t>
  </si>
  <si>
    <t>Ventas mensuales OCTUBRE</t>
  </si>
  <si>
    <t>Prima Pagada vida</t>
  </si>
  <si>
    <t>Prima Pagada gmm</t>
  </si>
  <si>
    <t>LUVIA PATRICIA FIGUEROA CASTRO</t>
  </si>
  <si>
    <t>TOTAL</t>
  </si>
  <si>
    <t>anais</t>
  </si>
  <si>
    <t>desi</t>
  </si>
  <si>
    <t>moni</t>
  </si>
  <si>
    <t>Ventas mensuales DICIEMBRE</t>
  </si>
  <si>
    <t>SOFIA CAMPILLO VASCONCELOS</t>
  </si>
  <si>
    <t>GERARDO DANIEL BARAJAS TORRES</t>
  </si>
  <si>
    <t>NOVATO POLIZAS VIDA</t>
  </si>
  <si>
    <t>ADRI JOYA</t>
  </si>
  <si>
    <t>PRO POLIZAS VIDA</t>
  </si>
  <si>
    <t xml:space="preserve">MONI </t>
  </si>
  <si>
    <t>NOVATO PRIMA VIDA</t>
  </si>
  <si>
    <t>PRO PRIMA VIDA</t>
  </si>
  <si>
    <t>NOVATO POLIZAS GMM</t>
  </si>
  <si>
    <t>ANA</t>
  </si>
  <si>
    <t>PRO POLIZAS GMM</t>
  </si>
  <si>
    <t>NOVATO PRIMA GMM</t>
  </si>
  <si>
    <t xml:space="preserve">SOFI CAMPILLO </t>
  </si>
  <si>
    <t>PRO PRIMAS GMM</t>
  </si>
  <si>
    <t>Ventas mensuales ENERO</t>
  </si>
  <si>
    <t>ENRIQUE ADRIAN GUTIERREZ JIMENEZ 95148</t>
  </si>
  <si>
    <t>VI0002965387</t>
  </si>
  <si>
    <t>GABRIELA CASTAÑEDA SALAZAR 105696</t>
  </si>
  <si>
    <t>VI0002966033</t>
  </si>
  <si>
    <t>MARIA TERESA ASENCIO LOZANO 94156</t>
  </si>
  <si>
    <t>GM0000734254</t>
  </si>
  <si>
    <t>GM0000736573</t>
  </si>
  <si>
    <t>VI0002966943</t>
  </si>
  <si>
    <t>MARICELA ARREOLA LOPEZ 80925</t>
  </si>
  <si>
    <t>GM0000737049</t>
  </si>
  <si>
    <t>MONICA ANDREA AMBRIZ GOMEZ 87538</t>
  </si>
  <si>
    <t>GM0000735131</t>
  </si>
  <si>
    <t>ORLANDA JIMENA CERVANTES NUÑEZ 107488</t>
  </si>
  <si>
    <t>GM0000733629</t>
  </si>
  <si>
    <t>ANA LAURA CONTRERAS IÑIGUEZ 113450</t>
  </si>
  <si>
    <t>VI0002969135</t>
  </si>
  <si>
    <t>JORGE ANTONIO LUNA LARA 111056</t>
  </si>
  <si>
    <t>GM0000734836</t>
  </si>
  <si>
    <t>LILIANA IVETTE CASTILLO SANCHEZ 108404</t>
  </si>
  <si>
    <t>GM0000737018</t>
  </si>
  <si>
    <t>MARIA ELIZABETH LLAMAS LOPEZ 108405</t>
  </si>
  <si>
    <t>VI0002968874</t>
  </si>
  <si>
    <t>PAULINA LIZBETH SOTO MUÑIZ 104750</t>
  </si>
  <si>
    <t>AP0000684878</t>
  </si>
  <si>
    <t>VI0002963373</t>
  </si>
  <si>
    <t>PAULA ANGELICA LOMELI CAZARES</t>
  </si>
  <si>
    <t>ROGELIO TORRES ORTIZ 104718</t>
  </si>
  <si>
    <t>GM0000736280</t>
  </si>
  <si>
    <t>PAULA LOMELI</t>
  </si>
  <si>
    <t>ANA CONTRERAS</t>
  </si>
  <si>
    <t>MAYTE</t>
  </si>
  <si>
    <t>JORGE LUNA</t>
  </si>
  <si>
    <t>Columna1</t>
  </si>
  <si>
    <t>Columna2</t>
  </si>
  <si>
    <t>Columna3</t>
  </si>
  <si>
    <t>MONSE</t>
  </si>
  <si>
    <t>MONI</t>
  </si>
  <si>
    <t>monse</t>
  </si>
  <si>
    <t>ana gaytan</t>
  </si>
  <si>
    <t>JIMENA FLORES RUEDA</t>
  </si>
  <si>
    <t>pau soto</t>
  </si>
  <si>
    <t>MONSERRAT VELASCO SANTOS</t>
  </si>
  <si>
    <t>ASESOR</t>
  </si>
  <si>
    <t>FRECUENCIA</t>
  </si>
  <si>
    <t>RAMO</t>
  </si>
  <si>
    <t>MONTO ANUAL</t>
  </si>
  <si>
    <t>MONTO REAL</t>
  </si>
  <si>
    <t>ANA VERONICA GONZALEZ GAYTAN 115404</t>
  </si>
  <si>
    <t>SEMESTRAL</t>
  </si>
  <si>
    <t>GMM</t>
  </si>
  <si>
    <t>DESIREE DE LA PEÑA OROZCO 80122</t>
  </si>
  <si>
    <t>TRIMESTRAL</t>
  </si>
  <si>
    <t>VIDA</t>
  </si>
  <si>
    <t>ANUAL</t>
  </si>
  <si>
    <t>MENSUAL</t>
  </si>
  <si>
    <t>JIMENA FLORES RUEDA 117678</t>
  </si>
  <si>
    <t>JORGE ALBERTO PRECIADO GONZALEZ 104343</t>
  </si>
  <si>
    <t>MIREYA LIZETTE TORRES GARCIA 106018</t>
  </si>
  <si>
    <t>MONSERRAT VELASCO SANTOS 117440</t>
  </si>
  <si>
    <t>PAULINA RODRIGUEZ DE LA MORA 65046</t>
  </si>
  <si>
    <t>RAFAEL ALBERTO SUAREZ BAQUEDANO 47116</t>
  </si>
  <si>
    <t>HANA SOFIA LOPEZ QUIÑONEZ 114157</t>
  </si>
  <si>
    <t>SOFI CAMPILLO</t>
  </si>
  <si>
    <t xml:space="preserve">HANA SOFIA LOPEZ QUIÑONEZ </t>
  </si>
  <si>
    <t>DARINKA UREÑA CASILLAS</t>
  </si>
  <si>
    <t>DESIREE DE LA PEÑA OROZCO</t>
  </si>
  <si>
    <t xml:space="preserve">GABRIELA CASTAÑEDA SALAZAR </t>
  </si>
  <si>
    <t>=SUMAR.SI.CONJUNTO(Tabla2652[MONTO REAL],Tabla2652[ASESOR],[@Asesor],Tabla2652[RAMO],"VIDA")</t>
  </si>
  <si>
    <t xml:space="preserve">ANDREA CELESTE IBAÑEZ RINCON </t>
  </si>
  <si>
    <t xml:space="preserve">DESIREE DE LA PEÑA OROZCO </t>
  </si>
  <si>
    <t xml:space="preserve">JORGE ALBERTO PRECIADO GONZALEZ </t>
  </si>
  <si>
    <t xml:space="preserve">JORGE ANTONIO LUNA LARA </t>
  </si>
  <si>
    <t xml:space="preserve">JOSE EDUARDO EZQUERRO BARQUERA </t>
  </si>
  <si>
    <t xml:space="preserve">LUIS GUILLERMO OLGUIN FERNANDEZ </t>
  </si>
  <si>
    <t xml:space="preserve">MARIA TERESA ASENCIO LOZANO </t>
  </si>
  <si>
    <t xml:space="preserve">MONICA ANDREA AMBRIZ GOMEZ </t>
  </si>
  <si>
    <t xml:space="preserve">PAULINA LIZBETH SOTO MUÑIZ </t>
  </si>
  <si>
    <t xml:space="preserve">RAFAEL ALBERTO SUAREZ BAQUEDANO </t>
  </si>
  <si>
    <t>Columna12</t>
  </si>
  <si>
    <t>MARIO IVAN ROMERO GONZALEZ</t>
  </si>
  <si>
    <t>JOSE ANTEMIO OLIVA SANTOS</t>
  </si>
  <si>
    <t>DARINKA UREÑA CASILLAS 90355</t>
  </si>
  <si>
    <t>MARIA FERNANDA RIOS BERNAL 103982</t>
  </si>
  <si>
    <t>JOCELYN URIBE VARGAS 90177</t>
  </si>
  <si>
    <t>JOSE ANTEMIO OLIVA SANTOS 118246</t>
  </si>
  <si>
    <t>JOSE EDUARDO EZQUERRO BARQUERA 102825</t>
  </si>
  <si>
    <t>JULIANA RIASCOS VALENCIA 100677</t>
  </si>
  <si>
    <t>DARINKA</t>
  </si>
  <si>
    <t>IVAN</t>
  </si>
  <si>
    <t>FER RIOS</t>
  </si>
  <si>
    <t xml:space="preserve">ANA </t>
  </si>
  <si>
    <t>HUMBERTO EMMANUEL SANDOVAL MOLINS</t>
  </si>
  <si>
    <t>ivan</t>
  </si>
  <si>
    <t>mayte</t>
  </si>
  <si>
    <t>Ventas mensuales junio</t>
  </si>
  <si>
    <t>ANDREA CELESTE IBAÑEZ RINCON 88234</t>
  </si>
  <si>
    <t>HUMBERTO EMMANUEL SANDOVAL MOLINS 118915</t>
  </si>
  <si>
    <t>ISAI ANTONIO ROJAS MARTINEZ 109007</t>
  </si>
  <si>
    <t>JOSE RENE DE ALBA MORALES 110575</t>
  </si>
  <si>
    <t>ORLANDA JIMENA CERVANTES NUÑEZ</t>
  </si>
  <si>
    <t>GABRIELA CASTAÑEDA SALAZAR</t>
  </si>
  <si>
    <t>ANA LAURA CONTRERAS IÑIGUEZ</t>
  </si>
  <si>
    <t>ANDREA CELESTE IBAÑEZ RINCON</t>
  </si>
  <si>
    <t>HANA SOFIA LOPEZ QUIÑONEZ</t>
  </si>
  <si>
    <t>SAMUEL NUÑO RIVERA</t>
  </si>
  <si>
    <t>PAULINA LIZBETH SOTO MUÑIZ</t>
  </si>
  <si>
    <t>EVELYN CAROLINA VENEGAS IÑIGUEZ</t>
  </si>
  <si>
    <t>PRIMA VIDA</t>
  </si>
  <si>
    <t>POLIZAS VIDA</t>
  </si>
  <si>
    <t>PRIMA GMM</t>
  </si>
  <si>
    <t>POLIZAS GMM</t>
  </si>
  <si>
    <t>POLIZAS V+GMM</t>
  </si>
  <si>
    <t>PRIMA VI+GMM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</si>
</sst>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[$$-80A]#,##0.00"/>
    <numFmt numFmtId="165" formatCode="_-* #,##0.0_-;\-* #,##0.0_-;_-* &quot;-&quot;??_-;_-@_-"/>
    <numFmt numFmtId="166" formatCode="#,##0.0_ ;\-#,##0.0\ "/>
    <numFmt numFmtId="167" formatCode="#,##0.0"/>
    <numFmt numFmtId="168" formatCode="&quot;$&quot;#,##0.00"/>
    <numFmt numFmtId="169" formatCode="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indexed="8"/>
      <name val="Helvetica Neue"/>
      <family val="2"/>
    </font>
    <font>
      <sz val="12"/>
      <color indexed="8"/>
      <name val="Helvetica Neue"/>
      <family val="2"/>
    </font>
    <font>
      <sz val="10"/>
      <color rgb="FF000000"/>
      <name val="Arial"/>
      <family val="2"/>
    </font>
    <font>
      <b/>
      <sz val="10"/>
      <color indexed="8"/>
      <name val="Helvetica Neue"/>
      <family val="2"/>
    </font>
    <font>
      <sz val="10"/>
      <name val="Arial"/>
      <family val="2"/>
    </font>
    <font>
      <sz val="10"/>
      <name val="Helvetica Neue"/>
      <family val="2"/>
    </font>
    <font>
      <sz val="8"/>
      <color rgb="FF000000"/>
      <name val="Helvetica Neue"/>
      <family val="18"/>
      <charset val="1"/>
    </font>
    <font>
      <sz val="8"/>
      <color theme="1"/>
      <name val="Helvetica Neue"/>
      <family val="18"/>
      <charset val="1"/>
    </font>
    <font>
      <b/>
      <sz val="18"/>
      <color rgb="FF00000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name val="Helvetica Neue"/>
      <family val="2"/>
    </font>
    <font>
      <sz val="11"/>
      <name val="Calibri"/>
      <family val="2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88E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16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indexed="1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88EC00"/>
        <bgColor indexed="16"/>
      </patternFill>
    </fill>
    <fill>
      <patternFill patternType="solid">
        <fgColor rgb="FF00B050"/>
        <bgColor indexed="64"/>
      </patternFill>
    </fill>
    <fill>
      <patternFill patternType="solid">
        <fgColor rgb="FF17AB6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7AB6E"/>
        <bgColor indexed="16"/>
      </patternFill>
    </fill>
    <fill>
      <patternFill patternType="solid">
        <fgColor rgb="FF00B050"/>
        <bgColor indexed="16"/>
      </patternFill>
    </fill>
    <fill>
      <patternFill patternType="solid">
        <fgColor rgb="FFF7FDA7"/>
        <bgColor indexed="64"/>
      </patternFill>
    </fill>
    <fill>
      <patternFill patternType="solid">
        <fgColor rgb="FFF7FDA7"/>
        <bgColor indexed="16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Protection="0">
      <alignment vertical="top" wrapText="1"/>
    </xf>
    <xf numFmtId="0" fontId="4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25">
    <xf numFmtId="0" fontId="0" fillId="0" borderId="0" xfId="0"/>
    <xf numFmtId="0" fontId="4" fillId="0" borderId="0" xfId="3"/>
    <xf numFmtId="0" fontId="5" fillId="2" borderId="1" xfId="2" applyFont="1" applyFill="1" applyBorder="1">
      <alignment vertical="top" wrapText="1"/>
    </xf>
    <xf numFmtId="49" fontId="5" fillId="3" borderId="1" xfId="2" applyNumberFormat="1" applyFont="1" applyFill="1" applyBorder="1" applyAlignment="1">
      <alignment horizontal="center" vertical="top" wrapText="1"/>
    </xf>
    <xf numFmtId="164" fontId="5" fillId="3" borderId="1" xfId="2" applyNumberFormat="1" applyFont="1" applyFill="1" applyBorder="1" applyAlignment="1">
      <alignment horizontal="center" vertical="top" wrapText="1"/>
    </xf>
    <xf numFmtId="165" fontId="5" fillId="3" borderId="1" xfId="4" applyNumberFormat="1" applyFont="1" applyFill="1" applyBorder="1" applyAlignment="1">
      <alignment horizontal="center" vertical="top" wrapText="1"/>
    </xf>
    <xf numFmtId="164" fontId="5" fillId="3" borderId="1" xfId="4" applyNumberFormat="1" applyFont="1" applyFill="1" applyBorder="1" applyAlignment="1">
      <alignment horizontal="center" vertical="top" wrapText="1"/>
    </xf>
    <xf numFmtId="0" fontId="6" fillId="4" borderId="2" xfId="3" applyFont="1" applyFill="1" applyBorder="1" applyAlignment="1" applyProtection="1">
      <alignment vertical="center"/>
      <protection hidden="1"/>
    </xf>
    <xf numFmtId="2" fontId="2" fillId="5" borderId="2" xfId="2" applyNumberFormat="1" applyFill="1" applyBorder="1" applyAlignment="1">
      <alignment horizontal="center" vertical="top" wrapText="1"/>
    </xf>
    <xf numFmtId="166" fontId="6" fillId="5" borderId="2" xfId="3" applyNumberFormat="1" applyFont="1" applyFill="1" applyBorder="1" applyAlignment="1" applyProtection="1">
      <alignment horizontal="center" vertical="center"/>
      <protection hidden="1"/>
    </xf>
    <xf numFmtId="43" fontId="6" fillId="5" borderId="2" xfId="3" applyNumberFormat="1" applyFont="1" applyFill="1" applyBorder="1" applyAlignment="1" applyProtection="1">
      <alignment vertical="center"/>
      <protection hidden="1"/>
    </xf>
    <xf numFmtId="164" fontId="2" fillId="5" borderId="2" xfId="4" applyNumberFormat="1" applyFont="1" applyFill="1" applyBorder="1" applyAlignment="1">
      <alignment horizontal="center" vertical="top" wrapText="1"/>
    </xf>
    <xf numFmtId="3" fontId="2" fillId="6" borderId="2" xfId="2" applyNumberFormat="1" applyFill="1" applyBorder="1" applyAlignment="1">
      <alignment horizontal="center" vertical="top" wrapText="1"/>
    </xf>
    <xf numFmtId="43" fontId="2" fillId="5" borderId="2" xfId="4" applyFont="1" applyFill="1" applyBorder="1" applyAlignment="1">
      <alignment horizontal="center" vertical="top" wrapText="1"/>
    </xf>
    <xf numFmtId="3" fontId="2" fillId="5" borderId="2" xfId="2" applyNumberFormat="1" applyFill="1" applyBorder="1" applyAlignment="1">
      <alignment horizontal="center" vertical="top" wrapText="1"/>
    </xf>
    <xf numFmtId="169" fontId="2" fillId="5" borderId="2" xfId="2" applyNumberFormat="1" applyFill="1" applyBorder="1" applyAlignment="1">
      <alignment horizontal="center" vertical="top" wrapText="1"/>
    </xf>
    <xf numFmtId="165" fontId="2" fillId="5" borderId="2" xfId="4" applyNumberFormat="1" applyFont="1" applyFill="1" applyBorder="1" applyAlignment="1">
      <alignment horizontal="center" vertical="top" wrapText="1"/>
    </xf>
    <xf numFmtId="169" fontId="2" fillId="7" borderId="2" xfId="2" applyNumberFormat="1" applyFill="1" applyBorder="1" applyAlignment="1">
      <alignment horizontal="center" vertical="top" wrapText="1"/>
    </xf>
    <xf numFmtId="166" fontId="6" fillId="7" borderId="2" xfId="3" applyNumberFormat="1" applyFont="1" applyFill="1" applyBorder="1" applyAlignment="1" applyProtection="1">
      <alignment horizontal="center" vertical="center"/>
      <protection hidden="1"/>
    </xf>
    <xf numFmtId="43" fontId="6" fillId="7" borderId="2" xfId="3" applyNumberFormat="1" applyFont="1" applyFill="1" applyBorder="1" applyAlignment="1" applyProtection="1">
      <alignment vertical="center"/>
      <protection hidden="1"/>
    </xf>
    <xf numFmtId="165" fontId="2" fillId="7" borderId="2" xfId="4" applyNumberFormat="1" applyFont="1" applyFill="1" applyBorder="1" applyAlignment="1">
      <alignment horizontal="center" vertical="top" wrapText="1"/>
    </xf>
    <xf numFmtId="3" fontId="2" fillId="7" borderId="2" xfId="2" applyNumberFormat="1" applyFill="1" applyBorder="1" applyAlignment="1">
      <alignment horizontal="center" vertical="top" wrapText="1"/>
    </xf>
    <xf numFmtId="164" fontId="2" fillId="7" borderId="2" xfId="4" applyNumberFormat="1" applyFont="1" applyFill="1" applyBorder="1" applyAlignment="1">
      <alignment horizontal="center" vertical="top" wrapText="1"/>
    </xf>
    <xf numFmtId="2" fontId="2" fillId="7" borderId="2" xfId="2" applyNumberFormat="1" applyFill="1" applyBorder="1" applyAlignment="1">
      <alignment horizontal="center" vertical="top" wrapText="1"/>
    </xf>
    <xf numFmtId="166" fontId="7" fillId="7" borderId="2" xfId="2" applyNumberFormat="1" applyFont="1" applyFill="1" applyBorder="1" applyAlignment="1" applyProtection="1">
      <alignment horizontal="center" vertical="center"/>
      <protection hidden="1"/>
    </xf>
    <xf numFmtId="43" fontId="7" fillId="8" borderId="2" xfId="2" applyNumberFormat="1" applyFont="1" applyFill="1" applyBorder="1" applyAlignment="1" applyProtection="1">
      <alignment vertical="center"/>
      <protection hidden="1"/>
    </xf>
    <xf numFmtId="164" fontId="0" fillId="8" borderId="2" xfId="4" applyNumberFormat="1" applyFont="1" applyFill="1" applyBorder="1" applyAlignment="1">
      <alignment horizontal="center" vertical="top" wrapText="1"/>
    </xf>
    <xf numFmtId="169" fontId="2" fillId="9" borderId="2" xfId="2" applyNumberFormat="1" applyFill="1" applyBorder="1" applyAlignment="1">
      <alignment horizontal="center" vertical="top" wrapText="1"/>
    </xf>
    <xf numFmtId="166" fontId="6" fillId="9" borderId="2" xfId="3" applyNumberFormat="1" applyFont="1" applyFill="1" applyBorder="1" applyAlignment="1" applyProtection="1">
      <alignment horizontal="center" vertical="center"/>
      <protection hidden="1"/>
    </xf>
    <xf numFmtId="43" fontId="6" fillId="9" borderId="2" xfId="3" applyNumberFormat="1" applyFont="1" applyFill="1" applyBorder="1" applyAlignment="1" applyProtection="1">
      <alignment vertical="center"/>
      <protection hidden="1"/>
    </xf>
    <xf numFmtId="165" fontId="2" fillId="9" borderId="2" xfId="4" applyNumberFormat="1" applyFont="1" applyFill="1" applyBorder="1" applyAlignment="1">
      <alignment horizontal="center" vertical="top" wrapText="1"/>
    </xf>
    <xf numFmtId="3" fontId="2" fillId="9" borderId="2" xfId="2" applyNumberFormat="1" applyFill="1" applyBorder="1" applyAlignment="1">
      <alignment horizontal="center" vertical="top" wrapText="1"/>
    </xf>
    <xf numFmtId="164" fontId="2" fillId="9" borderId="2" xfId="4" applyNumberFormat="1" applyFont="1" applyFill="1" applyBorder="1" applyAlignment="1">
      <alignment horizontal="center" vertical="top" wrapText="1"/>
    </xf>
    <xf numFmtId="0" fontId="4" fillId="6" borderId="0" xfId="3" applyFill="1"/>
    <xf numFmtId="164" fontId="2" fillId="10" borderId="2" xfId="4" applyNumberFormat="1" applyFont="1" applyFill="1" applyBorder="1" applyAlignment="1">
      <alignment horizontal="center" vertical="top" wrapText="1"/>
    </xf>
    <xf numFmtId="165" fontId="0" fillId="9" borderId="2" xfId="4" applyNumberFormat="1" applyFont="1" applyFill="1" applyBorder="1" applyAlignment="1">
      <alignment horizontal="center" vertical="top" wrapText="1"/>
    </xf>
    <xf numFmtId="164" fontId="0" fillId="10" borderId="2" xfId="4" applyNumberFormat="1" applyFont="1" applyFill="1" applyBorder="1" applyAlignment="1">
      <alignment horizontal="center" vertical="top" wrapText="1"/>
    </xf>
    <xf numFmtId="0" fontId="6" fillId="4" borderId="0" xfId="3" applyFont="1" applyFill="1" applyAlignment="1" applyProtection="1">
      <alignment vertical="center"/>
      <protection hidden="1"/>
    </xf>
    <xf numFmtId="169" fontId="2" fillId="9" borderId="3" xfId="2" applyNumberFormat="1" applyFill="1" applyBorder="1" applyAlignment="1">
      <alignment horizontal="center" vertical="top" wrapText="1"/>
    </xf>
    <xf numFmtId="166" fontId="6" fillId="9" borderId="3" xfId="3" applyNumberFormat="1" applyFont="1" applyFill="1" applyBorder="1" applyAlignment="1" applyProtection="1">
      <alignment horizontal="center" vertical="center"/>
      <protection hidden="1"/>
    </xf>
    <xf numFmtId="43" fontId="6" fillId="9" borderId="3" xfId="3" applyNumberFormat="1" applyFont="1" applyFill="1" applyBorder="1" applyAlignment="1" applyProtection="1">
      <alignment vertical="center"/>
      <protection hidden="1"/>
    </xf>
    <xf numFmtId="164" fontId="0" fillId="10" borderId="3" xfId="4" applyNumberFormat="1" applyFont="1" applyFill="1" applyBorder="1" applyAlignment="1">
      <alignment horizontal="center" vertical="top" wrapText="1"/>
    </xf>
    <xf numFmtId="3" fontId="2" fillId="6" borderId="3" xfId="2" applyNumberFormat="1" applyFill="1" applyBorder="1" applyAlignment="1">
      <alignment horizontal="center" vertical="top" wrapText="1"/>
    </xf>
    <xf numFmtId="0" fontId="4" fillId="11" borderId="0" xfId="3" applyFill="1"/>
    <xf numFmtId="2" fontId="8" fillId="12" borderId="0" xfId="3" applyNumberFormat="1" applyFont="1" applyFill="1" applyAlignment="1">
      <alignment wrapText="1"/>
    </xf>
    <xf numFmtId="167" fontId="8" fillId="12" borderId="0" xfId="3" applyNumberFormat="1" applyFont="1" applyFill="1" applyAlignment="1">
      <alignment wrapText="1"/>
    </xf>
    <xf numFmtId="164" fontId="8" fillId="12" borderId="0" xfId="3" applyNumberFormat="1" applyFont="1" applyFill="1" applyAlignment="1">
      <alignment wrapText="1"/>
    </xf>
    <xf numFmtId="165" fontId="8" fillId="12" borderId="0" xfId="4" applyNumberFormat="1" applyFont="1" applyFill="1" applyAlignment="1">
      <alignment wrapText="1"/>
    </xf>
    <xf numFmtId="3" fontId="9" fillId="12" borderId="0" xfId="3" applyNumberFormat="1" applyFont="1" applyFill="1" applyAlignment="1">
      <alignment wrapText="1"/>
    </xf>
    <xf numFmtId="164" fontId="8" fillId="12" borderId="0" xfId="4" applyNumberFormat="1" applyFont="1" applyFill="1" applyAlignment="1">
      <alignment wrapText="1"/>
    </xf>
    <xf numFmtId="3" fontId="4" fillId="12" borderId="0" xfId="3" applyNumberFormat="1" applyFill="1"/>
    <xf numFmtId="164" fontId="4" fillId="0" borderId="0" xfId="3" applyNumberFormat="1"/>
    <xf numFmtId="165" fontId="0" fillId="0" borderId="0" xfId="4" applyNumberFormat="1" applyFont="1"/>
    <xf numFmtId="164" fontId="0" fillId="0" borderId="0" xfId="4" applyNumberFormat="1" applyFont="1"/>
    <xf numFmtId="0" fontId="6" fillId="13" borderId="4" xfId="3" applyFont="1" applyFill="1" applyBorder="1" applyAlignment="1" applyProtection="1">
      <alignment vertical="center"/>
      <protection hidden="1"/>
    </xf>
    <xf numFmtId="169" fontId="2" fillId="5" borderId="4" xfId="2" applyNumberFormat="1" applyFill="1" applyBorder="1" applyAlignment="1">
      <alignment horizontal="center" vertical="top" wrapText="1"/>
    </xf>
    <xf numFmtId="166" fontId="6" fillId="5" borderId="4" xfId="3" applyNumberFormat="1" applyFont="1" applyFill="1" applyBorder="1" applyAlignment="1" applyProtection="1">
      <alignment horizontal="center" vertical="center"/>
      <protection hidden="1"/>
    </xf>
    <xf numFmtId="43" fontId="6" fillId="5" borderId="4" xfId="3" applyNumberFormat="1" applyFont="1" applyFill="1" applyBorder="1" applyAlignment="1" applyProtection="1">
      <alignment vertical="center"/>
      <protection hidden="1"/>
    </xf>
    <xf numFmtId="164" fontId="2" fillId="5" borderId="4" xfId="4" applyNumberFormat="1" applyFont="1" applyFill="1" applyBorder="1" applyAlignment="1">
      <alignment horizontal="center" vertical="top" wrapText="1"/>
    </xf>
    <xf numFmtId="43" fontId="6" fillId="5" borderId="4" xfId="3" applyNumberFormat="1" applyFont="1" applyFill="1" applyBorder="1" applyAlignment="1" applyProtection="1">
      <alignment horizontal="center" vertical="center"/>
      <protection hidden="1"/>
    </xf>
    <xf numFmtId="169" fontId="2" fillId="7" borderId="4" xfId="2" applyNumberFormat="1" applyFill="1" applyBorder="1" applyAlignment="1">
      <alignment horizontal="center" vertical="top" wrapText="1"/>
    </xf>
    <xf numFmtId="166" fontId="6" fillId="7" borderId="4" xfId="3" applyNumberFormat="1" applyFont="1" applyFill="1" applyBorder="1" applyAlignment="1" applyProtection="1">
      <alignment horizontal="center" vertical="center"/>
      <protection hidden="1"/>
    </xf>
    <xf numFmtId="43" fontId="6" fillId="7" borderId="4" xfId="3" applyNumberFormat="1" applyFont="1" applyFill="1" applyBorder="1" applyAlignment="1" applyProtection="1">
      <alignment horizontal="center" vertical="center"/>
      <protection hidden="1"/>
    </xf>
    <xf numFmtId="4" fontId="4" fillId="0" borderId="0" xfId="3" applyNumberFormat="1"/>
    <xf numFmtId="43" fontId="6" fillId="7" borderId="4" xfId="3" applyNumberFormat="1" applyFont="1" applyFill="1" applyBorder="1" applyAlignment="1" applyProtection="1">
      <alignment vertical="center"/>
      <protection hidden="1"/>
    </xf>
    <xf numFmtId="164" fontId="0" fillId="14" borderId="4" xfId="4" applyNumberFormat="1" applyFont="1" applyFill="1" applyBorder="1" applyAlignment="1">
      <alignment horizontal="center" vertical="top" wrapText="1"/>
    </xf>
    <xf numFmtId="164" fontId="2" fillId="7" borderId="4" xfId="4" applyNumberFormat="1" applyFont="1" applyFill="1" applyBorder="1" applyAlignment="1">
      <alignment horizontal="center" vertical="top" wrapText="1"/>
    </xf>
    <xf numFmtId="43" fontId="2" fillId="7" borderId="4" xfId="4" applyFont="1" applyFill="1" applyBorder="1" applyAlignment="1">
      <alignment horizontal="center" vertical="top" wrapText="1"/>
    </xf>
    <xf numFmtId="3" fontId="2" fillId="7" borderId="4" xfId="2" applyNumberFormat="1" applyFill="1" applyBorder="1" applyAlignment="1">
      <alignment horizontal="center" vertical="top" wrapText="1"/>
    </xf>
    <xf numFmtId="165" fontId="2" fillId="7" borderId="4" xfId="4" applyNumberFormat="1" applyFont="1" applyFill="1" applyBorder="1" applyAlignment="1">
      <alignment horizontal="center" vertical="top" wrapText="1"/>
    </xf>
    <xf numFmtId="164" fontId="0" fillId="8" borderId="4" xfId="4" applyNumberFormat="1" applyFont="1" applyFill="1" applyBorder="1" applyAlignment="1">
      <alignment horizontal="center" vertical="top" wrapText="1"/>
    </xf>
    <xf numFmtId="169" fontId="2" fillId="9" borderId="4" xfId="2" applyNumberFormat="1" applyFill="1" applyBorder="1" applyAlignment="1">
      <alignment horizontal="center" vertical="top" wrapText="1"/>
    </xf>
    <xf numFmtId="166" fontId="6" fillId="9" borderId="4" xfId="3" applyNumberFormat="1" applyFont="1" applyFill="1" applyBorder="1" applyAlignment="1" applyProtection="1">
      <alignment horizontal="center" vertical="center"/>
      <protection hidden="1"/>
    </xf>
    <xf numFmtId="43" fontId="6" fillId="9" borderId="4" xfId="3" applyNumberFormat="1" applyFont="1" applyFill="1" applyBorder="1" applyAlignment="1" applyProtection="1">
      <alignment vertical="center"/>
      <protection hidden="1"/>
    </xf>
    <xf numFmtId="165" fontId="2" fillId="9" borderId="4" xfId="4" applyNumberFormat="1" applyFont="1" applyFill="1" applyBorder="1" applyAlignment="1">
      <alignment horizontal="center" vertical="top" wrapText="1"/>
    </xf>
    <xf numFmtId="3" fontId="2" fillId="9" borderId="4" xfId="2" applyNumberFormat="1" applyFill="1" applyBorder="1" applyAlignment="1">
      <alignment horizontal="center" vertical="top" wrapText="1"/>
    </xf>
    <xf numFmtId="164" fontId="2" fillId="9" borderId="4" xfId="4" applyNumberFormat="1" applyFont="1" applyFill="1" applyBorder="1" applyAlignment="1">
      <alignment horizontal="center" vertical="top" wrapText="1"/>
    </xf>
    <xf numFmtId="164" fontId="2" fillId="10" borderId="4" xfId="4" applyNumberFormat="1" applyFont="1" applyFill="1" applyBorder="1" applyAlignment="1">
      <alignment horizontal="center" vertical="top" wrapText="1"/>
    </xf>
    <xf numFmtId="165" fontId="0" fillId="9" borderId="4" xfId="4" applyNumberFormat="1" applyFont="1" applyFill="1" applyBorder="1" applyAlignment="1">
      <alignment horizontal="center" vertical="top" wrapText="1"/>
    </xf>
    <xf numFmtId="164" fontId="0" fillId="10" borderId="4" xfId="4" applyNumberFormat="1" applyFont="1" applyFill="1" applyBorder="1" applyAlignment="1">
      <alignment horizontal="center" vertical="top" wrapText="1"/>
    </xf>
    <xf numFmtId="44" fontId="8" fillId="12" borderId="0" xfId="5" applyFont="1" applyFill="1" applyAlignment="1">
      <alignment wrapText="1"/>
    </xf>
    <xf numFmtId="0" fontId="8" fillId="12" borderId="0" xfId="5" applyNumberFormat="1" applyFont="1" applyFill="1" applyAlignment="1">
      <alignment wrapText="1"/>
    </xf>
    <xf numFmtId="0" fontId="6" fillId="6" borderId="5" xfId="3" applyFont="1" applyFill="1" applyBorder="1" applyAlignment="1" applyProtection="1">
      <alignment vertical="center"/>
      <protection hidden="1"/>
    </xf>
    <xf numFmtId="169" fontId="2" fillId="7" borderId="5" xfId="2" applyNumberFormat="1" applyFill="1" applyBorder="1" applyAlignment="1">
      <alignment horizontal="center" vertical="top" wrapText="1"/>
    </xf>
    <xf numFmtId="166" fontId="6" fillId="7" borderId="5" xfId="3" applyNumberFormat="1" applyFont="1" applyFill="1" applyBorder="1" applyAlignment="1" applyProtection="1">
      <alignment horizontal="center" vertical="center"/>
      <protection hidden="1"/>
    </xf>
    <xf numFmtId="43" fontId="6" fillId="15" borderId="5" xfId="3" applyNumberFormat="1" applyFont="1" applyFill="1" applyBorder="1" applyAlignment="1" applyProtection="1">
      <alignment vertical="center"/>
      <protection hidden="1"/>
    </xf>
    <xf numFmtId="164" fontId="2" fillId="15" borderId="5" xfId="4" applyNumberFormat="1" applyFont="1" applyFill="1" applyBorder="1" applyAlignment="1">
      <alignment horizontal="center" vertical="top" wrapText="1"/>
    </xf>
    <xf numFmtId="43" fontId="6" fillId="7" borderId="5" xfId="3" applyNumberFormat="1" applyFont="1" applyFill="1" applyBorder="1" applyAlignment="1" applyProtection="1">
      <alignment vertical="center"/>
      <protection hidden="1"/>
    </xf>
    <xf numFmtId="169" fontId="2" fillId="15" borderId="5" xfId="2" applyNumberFormat="1" applyFill="1" applyBorder="1" applyAlignment="1">
      <alignment horizontal="center" vertical="top" wrapText="1"/>
    </xf>
    <xf numFmtId="166" fontId="6" fillId="15" borderId="5" xfId="3" applyNumberFormat="1" applyFont="1" applyFill="1" applyBorder="1" applyAlignment="1" applyProtection="1">
      <alignment horizontal="center" vertical="center"/>
      <protection hidden="1"/>
    </xf>
    <xf numFmtId="164" fontId="0" fillId="8" borderId="5" xfId="4" applyNumberFormat="1" applyFont="1" applyFill="1" applyBorder="1" applyAlignment="1">
      <alignment horizontal="center" vertical="top" wrapText="1"/>
    </xf>
    <xf numFmtId="164" fontId="2" fillId="7" borderId="5" xfId="4" applyNumberFormat="1" applyFont="1" applyFill="1" applyBorder="1" applyAlignment="1">
      <alignment horizontal="center" vertical="top" wrapText="1"/>
    </xf>
    <xf numFmtId="169" fontId="2" fillId="9" borderId="5" xfId="2" applyNumberFormat="1" applyFill="1" applyBorder="1" applyAlignment="1">
      <alignment horizontal="center" vertical="top" wrapText="1"/>
    </xf>
    <xf numFmtId="166" fontId="6" fillId="9" borderId="5" xfId="3" applyNumberFormat="1" applyFont="1" applyFill="1" applyBorder="1" applyAlignment="1" applyProtection="1">
      <alignment horizontal="center" vertical="center"/>
      <protection hidden="1"/>
    </xf>
    <xf numFmtId="43" fontId="6" fillId="9" borderId="5" xfId="3" applyNumberFormat="1" applyFont="1" applyFill="1" applyBorder="1" applyAlignment="1" applyProtection="1">
      <alignment vertical="center"/>
      <protection hidden="1"/>
    </xf>
    <xf numFmtId="164" fontId="0" fillId="10" borderId="5" xfId="4" applyNumberFormat="1" applyFont="1" applyFill="1" applyBorder="1" applyAlignment="1">
      <alignment horizontal="center" vertical="top" wrapText="1"/>
    </xf>
    <xf numFmtId="164" fontId="2" fillId="9" borderId="5" xfId="4" applyNumberFormat="1" applyFont="1" applyFill="1" applyBorder="1" applyAlignment="1">
      <alignment horizontal="center" vertical="top" wrapText="1"/>
    </xf>
    <xf numFmtId="165" fontId="2" fillId="9" borderId="5" xfId="4" applyNumberFormat="1" applyFont="1" applyFill="1" applyBorder="1" applyAlignment="1">
      <alignment horizontal="center" vertical="top" wrapText="1"/>
    </xf>
    <xf numFmtId="164" fontId="2" fillId="10" borderId="5" xfId="4" applyNumberFormat="1" applyFont="1" applyFill="1" applyBorder="1" applyAlignment="1">
      <alignment horizontal="center" vertical="top" wrapText="1"/>
    </xf>
    <xf numFmtId="0" fontId="6" fillId="6" borderId="4" xfId="3" applyFont="1" applyFill="1" applyBorder="1" applyAlignment="1" applyProtection="1">
      <alignment vertical="center"/>
      <protection hidden="1"/>
    </xf>
    <xf numFmtId="166" fontId="7" fillId="7" borderId="4" xfId="2" applyNumberFormat="1" applyFont="1" applyFill="1" applyBorder="1" applyAlignment="1" applyProtection="1">
      <alignment horizontal="center" vertical="center"/>
      <protection hidden="1"/>
    </xf>
    <xf numFmtId="43" fontId="6" fillId="16" borderId="4" xfId="3" applyNumberFormat="1" applyFont="1" applyFill="1" applyBorder="1" applyAlignment="1" applyProtection="1">
      <alignment vertical="center"/>
      <protection hidden="1"/>
    </xf>
    <xf numFmtId="164" fontId="2" fillId="16" borderId="4" xfId="4" applyNumberFormat="1" applyFont="1" applyFill="1" applyBorder="1" applyAlignment="1">
      <alignment horizontal="center" vertical="top" wrapText="1"/>
    </xf>
    <xf numFmtId="43" fontId="6" fillId="0" borderId="0" xfId="3" applyNumberFormat="1" applyFont="1" applyAlignment="1" applyProtection="1">
      <alignment vertical="center"/>
      <protection hidden="1"/>
    </xf>
    <xf numFmtId="166" fontId="7" fillId="16" borderId="4" xfId="2" applyNumberFormat="1" applyFont="1" applyFill="1" applyBorder="1" applyAlignment="1" applyProtection="1">
      <alignment horizontal="center" vertical="center"/>
      <protection hidden="1"/>
    </xf>
    <xf numFmtId="166" fontId="6" fillId="16" borderId="4" xfId="3" applyNumberFormat="1" applyFont="1" applyFill="1" applyBorder="1" applyAlignment="1" applyProtection="1">
      <alignment horizontal="center" vertical="center"/>
      <protection hidden="1"/>
    </xf>
    <xf numFmtId="0" fontId="4" fillId="0" borderId="4" xfId="3" applyBorder="1"/>
    <xf numFmtId="0" fontId="4" fillId="0" borderId="1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166" fontId="6" fillId="0" borderId="4" xfId="3" applyNumberFormat="1" applyFont="1" applyBorder="1" applyAlignment="1" applyProtection="1">
      <alignment horizontal="center" vertical="center"/>
      <protection hidden="1"/>
    </xf>
    <xf numFmtId="0" fontId="4" fillId="0" borderId="7" xfId="3" applyBorder="1" applyAlignment="1">
      <alignment horizontal="center" vertical="center"/>
    </xf>
    <xf numFmtId="43" fontId="6" fillId="7" borderId="4" xfId="3" applyNumberFormat="1" applyFont="1" applyFill="1" applyBorder="1" applyAlignment="1" applyProtection="1">
      <alignment horizontal="right" vertical="center"/>
      <protection hidden="1"/>
    </xf>
    <xf numFmtId="0" fontId="6" fillId="0" borderId="0" xfId="3" applyFont="1" applyAlignment="1" applyProtection="1">
      <alignment vertical="center"/>
      <protection hidden="1"/>
    </xf>
    <xf numFmtId="166" fontId="6" fillId="0" borderId="0" xfId="3" applyNumberFormat="1" applyFont="1" applyAlignment="1" applyProtection="1">
      <alignment horizontal="center" vertical="center"/>
      <protection hidden="1"/>
    </xf>
    <xf numFmtId="0" fontId="10" fillId="17" borderId="2" xfId="3" applyFont="1" applyFill="1" applyBorder="1" applyAlignment="1">
      <alignment horizontal="center"/>
    </xf>
    <xf numFmtId="0" fontId="10" fillId="17" borderId="0" xfId="3" applyFont="1" applyFill="1" applyAlignment="1">
      <alignment horizontal="center"/>
    </xf>
    <xf numFmtId="0" fontId="11" fillId="18" borderId="2" xfId="3" applyFont="1" applyFill="1" applyBorder="1" applyAlignment="1" applyProtection="1">
      <alignment horizontal="center" vertical="center"/>
      <protection hidden="1"/>
    </xf>
    <xf numFmtId="0" fontId="11" fillId="18" borderId="0" xfId="3" applyFont="1" applyFill="1" applyAlignment="1" applyProtection="1">
      <alignment horizontal="center" vertical="center"/>
      <protection hidden="1"/>
    </xf>
    <xf numFmtId="164" fontId="2" fillId="8" borderId="4" xfId="4" applyNumberFormat="1" applyFont="1" applyFill="1" applyBorder="1" applyAlignment="1">
      <alignment horizontal="center" vertical="top" wrapText="1"/>
    </xf>
    <xf numFmtId="0" fontId="4" fillId="0" borderId="2" xfId="3" applyBorder="1"/>
    <xf numFmtId="0" fontId="6" fillId="0" borderId="2" xfId="3" applyFont="1" applyBorder="1" applyAlignment="1" applyProtection="1">
      <alignment vertical="center"/>
      <protection hidden="1"/>
    </xf>
    <xf numFmtId="0" fontId="6" fillId="6" borderId="2" xfId="3" applyFont="1" applyFill="1" applyBorder="1" applyAlignment="1">
      <alignment vertical="center"/>
    </xf>
    <xf numFmtId="0" fontId="6" fillId="6" borderId="0" xfId="3" applyFont="1" applyFill="1" applyAlignment="1">
      <alignment vertical="center"/>
    </xf>
    <xf numFmtId="0" fontId="6" fillId="6" borderId="6" xfId="3" applyFont="1" applyFill="1" applyBorder="1" applyAlignment="1">
      <alignment vertical="center"/>
    </xf>
    <xf numFmtId="166" fontId="7" fillId="9" borderId="4" xfId="2" applyNumberFormat="1" applyFont="1" applyFill="1" applyBorder="1" applyAlignment="1" applyProtection="1">
      <alignment horizontal="center" vertical="center"/>
      <protection hidden="1"/>
    </xf>
    <xf numFmtId="3" fontId="2" fillId="9" borderId="4" xfId="2" applyNumberFormat="1" applyFill="1" applyBorder="1" applyAlignment="1" applyProtection="1">
      <alignment horizontal="center" vertical="top" wrapText="1"/>
      <protection hidden="1"/>
    </xf>
    <xf numFmtId="0" fontId="6" fillId="6" borderId="0" xfId="3" applyFont="1" applyFill="1" applyAlignment="1" applyProtection="1">
      <alignment vertical="center"/>
      <protection hidden="1"/>
    </xf>
    <xf numFmtId="166" fontId="7" fillId="16" borderId="2" xfId="2" applyNumberFormat="1" applyFont="1" applyFill="1" applyBorder="1" applyAlignment="1" applyProtection="1">
      <alignment horizontal="center" vertical="center"/>
      <protection hidden="1"/>
    </xf>
    <xf numFmtId="166" fontId="6" fillId="16" borderId="2" xfId="3" applyNumberFormat="1" applyFont="1" applyFill="1" applyBorder="1" applyAlignment="1" applyProtection="1">
      <alignment horizontal="center" vertical="center"/>
      <protection hidden="1"/>
    </xf>
    <xf numFmtId="43" fontId="6" fillId="16" borderId="0" xfId="3" applyNumberFormat="1" applyFont="1" applyFill="1" applyAlignment="1" applyProtection="1">
      <alignment vertical="center"/>
      <protection hidden="1"/>
    </xf>
    <xf numFmtId="43" fontId="6" fillId="16" borderId="2" xfId="3" applyNumberFormat="1" applyFont="1" applyFill="1" applyBorder="1" applyAlignment="1" applyProtection="1">
      <alignment vertical="center"/>
      <protection hidden="1"/>
    </xf>
    <xf numFmtId="164" fontId="2" fillId="16" borderId="2" xfId="4" applyNumberFormat="1" applyFont="1" applyFill="1" applyBorder="1" applyAlignment="1">
      <alignment horizontal="center" vertical="top" wrapText="1"/>
    </xf>
    <xf numFmtId="164" fontId="0" fillId="19" borderId="2" xfId="4" applyNumberFormat="1" applyFont="1" applyFill="1" applyBorder="1" applyAlignment="1">
      <alignment horizontal="center" vertical="top" wrapText="1"/>
    </xf>
    <xf numFmtId="0" fontId="4" fillId="0" borderId="1" xfId="3" applyBorder="1" applyAlignment="1">
      <alignment vertical="center"/>
    </xf>
    <xf numFmtId="4" fontId="4" fillId="7" borderId="2" xfId="3" applyNumberFormat="1" applyFill="1" applyBorder="1"/>
    <xf numFmtId="164" fontId="2" fillId="8" borderId="2" xfId="4" applyNumberFormat="1" applyFont="1" applyFill="1" applyBorder="1" applyAlignment="1">
      <alignment horizontal="center" vertical="top" wrapText="1"/>
    </xf>
    <xf numFmtId="43" fontId="6" fillId="7" borderId="0" xfId="3" applyNumberFormat="1" applyFont="1" applyFill="1" applyAlignment="1" applyProtection="1">
      <alignment vertical="center"/>
      <protection hidden="1"/>
    </xf>
    <xf numFmtId="3" fontId="2" fillId="7" borderId="2" xfId="2" applyNumberFormat="1" applyFill="1" applyBorder="1" applyAlignment="1" applyProtection="1">
      <alignment horizontal="center" vertical="top" wrapText="1"/>
      <protection hidden="1"/>
    </xf>
    <xf numFmtId="166" fontId="7" fillId="9" borderId="2" xfId="2" applyNumberFormat="1" applyFont="1" applyFill="1" applyBorder="1" applyAlignment="1" applyProtection="1">
      <alignment horizontal="center" vertical="center"/>
      <protection hidden="1"/>
    </xf>
    <xf numFmtId="3" fontId="2" fillId="9" borderId="2" xfId="2" applyNumberFormat="1" applyFill="1" applyBorder="1" applyAlignment="1" applyProtection="1">
      <alignment horizontal="center" vertical="top" wrapText="1"/>
      <protection hidden="1"/>
    </xf>
    <xf numFmtId="2" fontId="8" fillId="6" borderId="2" xfId="3" applyNumberFormat="1" applyFont="1" applyFill="1" applyBorder="1" applyAlignment="1">
      <alignment wrapText="1"/>
    </xf>
    <xf numFmtId="167" fontId="8" fillId="6" borderId="2" xfId="3" applyNumberFormat="1" applyFont="1" applyFill="1" applyBorder="1" applyAlignment="1">
      <alignment wrapText="1"/>
    </xf>
    <xf numFmtId="44" fontId="8" fillId="6" borderId="2" xfId="5" applyFont="1" applyFill="1" applyBorder="1" applyAlignment="1">
      <alignment wrapText="1"/>
    </xf>
    <xf numFmtId="0" fontId="8" fillId="6" borderId="2" xfId="5" applyNumberFormat="1" applyFont="1" applyFill="1" applyBorder="1" applyAlignment="1">
      <alignment wrapText="1"/>
    </xf>
    <xf numFmtId="43" fontId="6" fillId="15" borderId="4" xfId="3" applyNumberFormat="1" applyFont="1" applyFill="1" applyBorder="1" applyAlignment="1" applyProtection="1">
      <alignment vertical="center"/>
      <protection hidden="1"/>
    </xf>
    <xf numFmtId="164" fontId="2" fillId="15" borderId="4" xfId="4" applyNumberFormat="1" applyFont="1" applyFill="1" applyBorder="1" applyAlignment="1">
      <alignment horizontal="center" vertical="top" wrapText="1"/>
    </xf>
    <xf numFmtId="166" fontId="7" fillId="15" borderId="4" xfId="2" applyNumberFormat="1" applyFont="1" applyFill="1" applyBorder="1" applyAlignment="1" applyProtection="1">
      <alignment horizontal="center" vertical="center"/>
      <protection hidden="1"/>
    </xf>
    <xf numFmtId="166" fontId="6" fillId="15" borderId="4" xfId="3" applyNumberFormat="1" applyFont="1" applyFill="1" applyBorder="1" applyAlignment="1" applyProtection="1">
      <alignment horizontal="center" vertical="center"/>
      <protection hidden="1"/>
    </xf>
    <xf numFmtId="43" fontId="7" fillId="8" borderId="4" xfId="2" applyNumberFormat="1" applyFont="1" applyFill="1" applyBorder="1" applyAlignment="1" applyProtection="1">
      <alignment vertical="center"/>
      <protection hidden="1"/>
    </xf>
    <xf numFmtId="166" fontId="6" fillId="0" borderId="4" xfId="3" applyNumberFormat="1" applyFont="1" applyBorder="1" applyAlignment="1" applyProtection="1">
      <alignment vertical="center"/>
      <protection hidden="1"/>
    </xf>
    <xf numFmtId="3" fontId="2" fillId="7" borderId="4" xfId="2" applyNumberFormat="1" applyFill="1" applyBorder="1" applyAlignment="1" applyProtection="1">
      <alignment horizontal="center" vertical="top" wrapText="1"/>
      <protection hidden="1"/>
    </xf>
    <xf numFmtId="165" fontId="6" fillId="7" borderId="4" xfId="4" applyNumberFormat="1" applyFont="1" applyFill="1" applyBorder="1" applyAlignment="1" applyProtection="1">
      <alignment horizontal="center" vertical="top" wrapText="1"/>
      <protection hidden="1"/>
    </xf>
    <xf numFmtId="2" fontId="8" fillId="6" borderId="8" xfId="3" applyNumberFormat="1" applyFont="1" applyFill="1" applyBorder="1" applyAlignment="1">
      <alignment wrapText="1"/>
    </xf>
    <xf numFmtId="167" fontId="8" fillId="6" borderId="8" xfId="3" applyNumberFormat="1" applyFont="1" applyFill="1" applyBorder="1" applyAlignment="1">
      <alignment wrapText="1"/>
    </xf>
    <xf numFmtId="44" fontId="8" fillId="6" borderId="8" xfId="5" applyFont="1" applyFill="1" applyBorder="1" applyAlignment="1">
      <alignment wrapText="1"/>
    </xf>
    <xf numFmtId="0" fontId="8" fillId="6" borderId="8" xfId="5" applyNumberFormat="1" applyFont="1" applyFill="1" applyBorder="1" applyAlignment="1">
      <alignment wrapText="1"/>
    </xf>
    <xf numFmtId="0" fontId="6" fillId="6" borderId="9" xfId="3" applyFont="1" applyFill="1" applyBorder="1" applyAlignment="1" applyProtection="1">
      <alignment vertical="center"/>
      <protection hidden="1"/>
    </xf>
    <xf numFmtId="166" fontId="7" fillId="7" borderId="9" xfId="2" applyNumberFormat="1" applyFont="1" applyFill="1" applyBorder="1" applyAlignment="1" applyProtection="1">
      <alignment horizontal="center" vertical="center"/>
      <protection hidden="1"/>
    </xf>
    <xf numFmtId="166" fontId="6" fillId="7" borderId="9" xfId="3" applyNumberFormat="1" applyFont="1" applyFill="1" applyBorder="1" applyAlignment="1" applyProtection="1">
      <alignment horizontal="center" vertical="center"/>
      <protection hidden="1"/>
    </xf>
    <xf numFmtId="43" fontId="6" fillId="5" borderId="9" xfId="3" applyNumberFormat="1" applyFont="1" applyFill="1" applyBorder="1" applyAlignment="1" applyProtection="1">
      <alignment vertical="center"/>
      <protection hidden="1"/>
    </xf>
    <xf numFmtId="164" fontId="2" fillId="5" borderId="9" xfId="4" applyNumberFormat="1" applyFont="1" applyFill="1" applyBorder="1" applyAlignment="1">
      <alignment horizontal="center" vertical="top" wrapText="1"/>
    </xf>
    <xf numFmtId="166" fontId="7" fillId="5" borderId="9" xfId="2" applyNumberFormat="1" applyFont="1" applyFill="1" applyBorder="1" applyAlignment="1" applyProtection="1">
      <alignment horizontal="center" vertical="center"/>
      <protection hidden="1"/>
    </xf>
    <xf numFmtId="166" fontId="6" fillId="5" borderId="9" xfId="3" applyNumberFormat="1" applyFont="1" applyFill="1" applyBorder="1" applyAlignment="1" applyProtection="1">
      <alignment horizontal="center" vertical="center"/>
      <protection hidden="1"/>
    </xf>
    <xf numFmtId="164" fontId="2" fillId="14" borderId="9" xfId="4" applyNumberFormat="1" applyFont="1" applyFill="1" applyBorder="1" applyAlignment="1">
      <alignment horizontal="center" vertical="top" wrapText="1"/>
    </xf>
    <xf numFmtId="43" fontId="6" fillId="7" borderId="9" xfId="3" applyNumberFormat="1" applyFont="1" applyFill="1" applyBorder="1" applyAlignment="1" applyProtection="1">
      <alignment vertical="center"/>
      <protection hidden="1"/>
    </xf>
    <xf numFmtId="164" fontId="2" fillId="8" borderId="9" xfId="4" applyNumberFormat="1" applyFont="1" applyFill="1" applyBorder="1" applyAlignment="1">
      <alignment horizontal="center" vertical="top" wrapText="1"/>
    </xf>
    <xf numFmtId="164" fontId="2" fillId="7" borderId="9" xfId="4" applyNumberFormat="1" applyFont="1" applyFill="1" applyBorder="1" applyAlignment="1">
      <alignment horizontal="center" vertical="top" wrapText="1"/>
    </xf>
    <xf numFmtId="165" fontId="2" fillId="7" borderId="9" xfId="4" applyNumberFormat="1" applyFont="1" applyFill="1" applyBorder="1" applyAlignment="1">
      <alignment horizontal="center" vertical="top" wrapText="1"/>
    </xf>
    <xf numFmtId="3" fontId="2" fillId="7" borderId="9" xfId="2" applyNumberFormat="1" applyFill="1" applyBorder="1" applyAlignment="1" applyProtection="1">
      <alignment horizontal="center" vertical="top" wrapText="1"/>
      <protection hidden="1"/>
    </xf>
    <xf numFmtId="165" fontId="2" fillId="5" borderId="9" xfId="4" applyNumberFormat="1" applyFont="1" applyFill="1" applyBorder="1" applyAlignment="1">
      <alignment horizontal="center" vertical="top" wrapText="1"/>
    </xf>
    <xf numFmtId="165" fontId="6" fillId="7" borderId="9" xfId="4" applyNumberFormat="1" applyFont="1" applyFill="1" applyBorder="1" applyAlignment="1" applyProtection="1">
      <alignment horizontal="center" vertical="top" wrapText="1"/>
      <protection hidden="1"/>
    </xf>
    <xf numFmtId="164" fontId="0" fillId="8" borderId="9" xfId="4" applyNumberFormat="1" applyFont="1" applyFill="1" applyBorder="1" applyAlignment="1">
      <alignment horizontal="center" vertical="top" wrapText="1"/>
    </xf>
    <xf numFmtId="166" fontId="7" fillId="9" borderId="9" xfId="2" applyNumberFormat="1" applyFont="1" applyFill="1" applyBorder="1" applyAlignment="1" applyProtection="1">
      <alignment horizontal="center" vertical="center"/>
      <protection hidden="1"/>
    </xf>
    <xf numFmtId="166" fontId="6" fillId="9" borderId="9" xfId="3" applyNumberFormat="1" applyFont="1" applyFill="1" applyBorder="1" applyAlignment="1" applyProtection="1">
      <alignment horizontal="center" vertical="center"/>
      <protection hidden="1"/>
    </xf>
    <xf numFmtId="43" fontId="6" fillId="9" borderId="9" xfId="3" applyNumberFormat="1" applyFont="1" applyFill="1" applyBorder="1" applyAlignment="1" applyProtection="1">
      <alignment vertical="center"/>
      <protection hidden="1"/>
    </xf>
    <xf numFmtId="164" fontId="2" fillId="10" borderId="9" xfId="4" applyNumberFormat="1" applyFont="1" applyFill="1" applyBorder="1" applyAlignment="1">
      <alignment horizontal="center" vertical="top" wrapText="1"/>
    </xf>
    <xf numFmtId="165" fontId="2" fillId="9" borderId="9" xfId="4" applyNumberFormat="1" applyFont="1" applyFill="1" applyBorder="1" applyAlignment="1">
      <alignment horizontal="center" vertical="top" wrapText="1"/>
    </xf>
    <xf numFmtId="3" fontId="2" fillId="9" borderId="9" xfId="2" applyNumberFormat="1" applyFill="1" applyBorder="1" applyAlignment="1" applyProtection="1">
      <alignment horizontal="center" vertical="top" wrapText="1"/>
      <protection hidden="1"/>
    </xf>
    <xf numFmtId="164" fontId="2" fillId="9" borderId="9" xfId="4" applyNumberFormat="1" applyFont="1" applyFill="1" applyBorder="1" applyAlignment="1">
      <alignment horizontal="center" vertical="top" wrapText="1"/>
    </xf>
    <xf numFmtId="164" fontId="0" fillId="10" borderId="9" xfId="4" applyNumberFormat="1" applyFont="1" applyFill="1" applyBorder="1" applyAlignment="1">
      <alignment horizontal="center" vertical="top" wrapText="1"/>
    </xf>
    <xf numFmtId="164" fontId="2" fillId="20" borderId="4" xfId="4" applyNumberFormat="1" applyFont="1" applyFill="1" applyBorder="1" applyAlignment="1">
      <alignment horizontal="center" vertical="top" wrapText="1"/>
    </xf>
    <xf numFmtId="0" fontId="6" fillId="6" borderId="4" xfId="3" applyFont="1" applyFill="1" applyBorder="1" applyAlignment="1">
      <alignment vertical="center"/>
    </xf>
    <xf numFmtId="166" fontId="6" fillId="15" borderId="4" xfId="3" applyNumberFormat="1" applyFont="1" applyFill="1" applyBorder="1" applyAlignment="1">
      <alignment horizontal="center" vertical="center"/>
    </xf>
    <xf numFmtId="166" fontId="6" fillId="7" borderId="4" xfId="3" applyNumberFormat="1" applyFont="1" applyFill="1" applyBorder="1" applyAlignment="1">
      <alignment horizontal="center" vertical="center"/>
    </xf>
    <xf numFmtId="166" fontId="4" fillId="0" borderId="0" xfId="3" applyNumberFormat="1"/>
    <xf numFmtId="0" fontId="12" fillId="4" borderId="4" xfId="3" applyFont="1" applyFill="1" applyBorder="1" applyAlignment="1" applyProtection="1">
      <alignment vertical="center"/>
      <protection hidden="1"/>
    </xf>
    <xf numFmtId="166" fontId="7" fillId="21" borderId="4" xfId="2" applyNumberFormat="1" applyFont="1" applyFill="1" applyBorder="1" applyAlignment="1" applyProtection="1">
      <alignment horizontal="center" vertical="center"/>
      <protection hidden="1"/>
    </xf>
    <xf numFmtId="166" fontId="6" fillId="21" borderId="4" xfId="3" applyNumberFormat="1" applyFont="1" applyFill="1" applyBorder="1" applyAlignment="1" applyProtection="1">
      <alignment horizontal="center" vertical="center"/>
      <protection hidden="1"/>
    </xf>
    <xf numFmtId="44" fontId="6" fillId="5" borderId="4" xfId="5" applyFont="1" applyFill="1" applyBorder="1" applyAlignment="1" applyProtection="1">
      <alignment vertical="center"/>
      <protection hidden="1"/>
    </xf>
    <xf numFmtId="166" fontId="6" fillId="21" borderId="0" xfId="3" applyNumberFormat="1" applyFont="1" applyFill="1" applyAlignment="1" applyProtection="1">
      <alignment horizontal="center" vertical="center"/>
      <protection hidden="1"/>
    </xf>
    <xf numFmtId="44" fontId="6" fillId="5" borderId="0" xfId="5" applyFont="1" applyFill="1" applyBorder="1" applyAlignment="1" applyProtection="1">
      <alignment vertical="center"/>
      <protection hidden="1"/>
    </xf>
    <xf numFmtId="166" fontId="7" fillId="5" borderId="4" xfId="2" applyNumberFormat="1" applyFont="1" applyFill="1" applyBorder="1" applyAlignment="1" applyProtection="1">
      <alignment horizontal="center" vertical="center"/>
      <protection hidden="1"/>
    </xf>
    <xf numFmtId="166" fontId="6" fillId="5" borderId="0" xfId="3" applyNumberFormat="1" applyFont="1" applyFill="1" applyAlignment="1" applyProtection="1">
      <alignment horizontal="center" vertical="center"/>
      <protection hidden="1"/>
    </xf>
    <xf numFmtId="44" fontId="6" fillId="5" borderId="0" xfId="5" applyFont="1" applyFill="1" applyAlignment="1" applyProtection="1">
      <alignment vertical="center"/>
      <protection hidden="1"/>
    </xf>
    <xf numFmtId="164" fontId="2" fillId="14" borderId="4" xfId="4" applyNumberFormat="1" applyFont="1" applyFill="1" applyBorder="1" applyAlignment="1">
      <alignment horizontal="center" vertical="top" wrapText="1"/>
    </xf>
    <xf numFmtId="0" fontId="12" fillId="4" borderId="4" xfId="3" applyFont="1" applyFill="1" applyBorder="1" applyAlignment="1">
      <alignment vertical="center"/>
    </xf>
    <xf numFmtId="166" fontId="6" fillId="6" borderId="4" xfId="3" applyNumberFormat="1" applyFont="1" applyFill="1" applyBorder="1" applyAlignment="1">
      <alignment horizontal="center" vertical="center"/>
    </xf>
    <xf numFmtId="44" fontId="6" fillId="21" borderId="4" xfId="5" applyFont="1" applyFill="1" applyBorder="1" applyAlignment="1" applyProtection="1">
      <alignment vertical="center"/>
      <protection hidden="1"/>
    </xf>
    <xf numFmtId="44" fontId="6" fillId="21" borderId="0" xfId="5" applyFont="1" applyFill="1" applyBorder="1" applyAlignment="1" applyProtection="1">
      <alignment vertical="center"/>
      <protection hidden="1"/>
    </xf>
    <xf numFmtId="164" fontId="2" fillId="21" borderId="4" xfId="4" applyNumberFormat="1" applyFont="1" applyFill="1" applyBorder="1" applyAlignment="1">
      <alignment horizontal="center" vertical="top" wrapText="1"/>
    </xf>
    <xf numFmtId="164" fontId="2" fillId="22" borderId="4" xfId="4" applyNumberFormat="1" applyFont="1" applyFill="1" applyBorder="1" applyAlignment="1">
      <alignment horizontal="center" vertical="top" wrapText="1"/>
    </xf>
    <xf numFmtId="165" fontId="6" fillId="21" borderId="4" xfId="4" applyNumberFormat="1" applyFont="1" applyFill="1" applyBorder="1" applyAlignment="1" applyProtection="1">
      <alignment horizontal="center" vertical="top" wrapText="1"/>
      <protection hidden="1"/>
    </xf>
    <xf numFmtId="44" fontId="2" fillId="21" borderId="4" xfId="5" applyFont="1" applyFill="1" applyBorder="1" applyAlignment="1" applyProtection="1">
      <alignment horizontal="center" vertical="top" wrapText="1"/>
      <protection hidden="1"/>
    </xf>
    <xf numFmtId="165" fontId="2" fillId="21" borderId="0" xfId="4" applyNumberFormat="1" applyFont="1" applyFill="1" applyBorder="1" applyAlignment="1">
      <alignment horizontal="center" vertical="top" wrapText="1"/>
    </xf>
    <xf numFmtId="44" fontId="2" fillId="21" borderId="0" xfId="5" applyFont="1" applyFill="1" applyBorder="1" applyAlignment="1" applyProtection="1">
      <alignment horizontal="center" vertical="top" wrapText="1"/>
      <protection hidden="1"/>
    </xf>
    <xf numFmtId="164" fontId="0" fillId="22" borderId="4" xfId="4" applyNumberFormat="1" applyFont="1" applyFill="1" applyBorder="1" applyAlignment="1">
      <alignment horizontal="center" vertical="top" wrapText="1"/>
    </xf>
    <xf numFmtId="44" fontId="6" fillId="9" borderId="4" xfId="5" applyFont="1" applyFill="1" applyBorder="1" applyAlignment="1" applyProtection="1">
      <alignment vertical="center"/>
      <protection hidden="1"/>
    </xf>
    <xf numFmtId="166" fontId="6" fillId="9" borderId="0" xfId="3" applyNumberFormat="1" applyFont="1" applyFill="1" applyAlignment="1" applyProtection="1">
      <alignment horizontal="center" vertical="center"/>
      <protection hidden="1"/>
    </xf>
    <xf numFmtId="44" fontId="6" fillId="9" borderId="0" xfId="5" applyFont="1" applyFill="1" applyBorder="1" applyAlignment="1" applyProtection="1">
      <alignment vertical="center"/>
      <protection hidden="1"/>
    </xf>
    <xf numFmtId="44" fontId="2" fillId="9" borderId="4" xfId="5" applyFont="1" applyFill="1" applyBorder="1" applyAlignment="1" applyProtection="1">
      <alignment horizontal="center" vertical="top" wrapText="1"/>
      <protection hidden="1"/>
    </xf>
    <xf numFmtId="0" fontId="12" fillId="4" borderId="0" xfId="3" applyFont="1" applyFill="1" applyAlignment="1" applyProtection="1">
      <alignment vertical="center"/>
      <protection hidden="1"/>
    </xf>
    <xf numFmtId="165" fontId="2" fillId="9" borderId="0" xfId="4" applyNumberFormat="1" applyFont="1" applyFill="1" applyBorder="1" applyAlignment="1">
      <alignment horizontal="center" vertical="top" wrapText="1"/>
    </xf>
    <xf numFmtId="49" fontId="13" fillId="4" borderId="4" xfId="2" applyNumberFormat="1" applyFont="1" applyFill="1" applyBorder="1" applyAlignment="1" applyProtection="1">
      <alignment vertical="center"/>
      <protection hidden="1"/>
    </xf>
    <xf numFmtId="44" fontId="7" fillId="10" borderId="4" xfId="5" applyFont="1" applyFill="1" applyBorder="1" applyAlignment="1" applyProtection="1">
      <alignment vertical="center"/>
      <protection hidden="1"/>
    </xf>
    <xf numFmtId="2" fontId="8" fillId="11" borderId="8" xfId="3" applyNumberFormat="1" applyFont="1" applyFill="1" applyBorder="1" applyAlignment="1">
      <alignment wrapText="1"/>
    </xf>
    <xf numFmtId="167" fontId="8" fillId="11" borderId="8" xfId="3" applyNumberFormat="1" applyFont="1" applyFill="1" applyBorder="1" applyAlignment="1">
      <alignment wrapText="1"/>
    </xf>
    <xf numFmtId="44" fontId="8" fillId="11" borderId="8" xfId="5" applyFont="1" applyFill="1" applyBorder="1" applyAlignment="1">
      <alignment wrapText="1"/>
    </xf>
    <xf numFmtId="0" fontId="8" fillId="11" borderId="8" xfId="5" applyNumberFormat="1" applyFont="1" applyFill="1" applyBorder="1" applyAlignment="1">
      <alignment wrapText="1"/>
    </xf>
    <xf numFmtId="44" fontId="6" fillId="7" borderId="4" xfId="5" applyFont="1" applyFill="1" applyBorder="1" applyAlignment="1" applyProtection="1">
      <alignment vertical="center"/>
      <protection hidden="1"/>
    </xf>
    <xf numFmtId="44" fontId="7" fillId="8" borderId="4" xfId="5" applyFont="1" applyFill="1" applyBorder="1" applyAlignment="1" applyProtection="1">
      <alignment vertical="center"/>
      <protection hidden="1"/>
    </xf>
    <xf numFmtId="49" fontId="13" fillId="4" borderId="4" xfId="2" applyNumberFormat="1" applyFont="1" applyFill="1" applyBorder="1" applyAlignment="1">
      <alignment vertical="center"/>
    </xf>
    <xf numFmtId="44" fontId="2" fillId="7" borderId="4" xfId="5" applyFont="1" applyFill="1" applyBorder="1" applyAlignment="1" applyProtection="1">
      <alignment horizontal="center" vertical="top" wrapText="1"/>
      <protection hidden="1"/>
    </xf>
    <xf numFmtId="49" fontId="13" fillId="4" borderId="0" xfId="2" applyNumberFormat="1" applyFont="1" applyFill="1" applyBorder="1" applyAlignment="1" applyProtection="1">
      <alignment vertical="center"/>
      <protection hidden="1"/>
    </xf>
    <xf numFmtId="165" fontId="6" fillId="9" borderId="4" xfId="4" applyNumberFormat="1" applyFont="1" applyFill="1" applyBorder="1" applyAlignment="1" applyProtection="1">
      <alignment horizontal="center" vertical="top" wrapText="1"/>
      <protection hidden="1"/>
    </xf>
    <xf numFmtId="0" fontId="4" fillId="0" borderId="0" xfId="3" applyAlignment="1">
      <alignment vertical="center"/>
    </xf>
    <xf numFmtId="0" fontId="4" fillId="23" borderId="0" xfId="3" applyFill="1"/>
    <xf numFmtId="0" fontId="14" fillId="24" borderId="0" xfId="3" applyFont="1" applyFill="1" applyAlignment="1">
      <alignment horizontal="left" vertical="center"/>
    </xf>
    <xf numFmtId="0" fontId="15" fillId="24" borderId="0" xfId="3" applyFont="1" applyFill="1" applyAlignment="1">
      <alignment horizontal="center" vertical="center"/>
    </xf>
    <xf numFmtId="0" fontId="14" fillId="24" borderId="0" xfId="3" applyFont="1" applyFill="1" applyAlignment="1">
      <alignment horizontal="center" vertical="center"/>
    </xf>
    <xf numFmtId="168" fontId="14" fillId="24" borderId="0" xfId="3" applyNumberFormat="1" applyFont="1" applyFill="1" applyAlignment="1">
      <alignment horizontal="center" vertical="center"/>
    </xf>
    <xf numFmtId="168" fontId="4" fillId="0" borderId="0" xfId="3" applyNumberFormat="1"/>
    <xf numFmtId="166" fontId="6" fillId="7" borderId="0" xfId="3" applyNumberFormat="1" applyFont="1" applyFill="1" applyAlignment="1" applyProtection="1">
      <alignment horizontal="center" vertical="center"/>
      <protection hidden="1"/>
    </xf>
    <xf numFmtId="44" fontId="6" fillId="15" borderId="0" xfId="5" applyFont="1" applyFill="1" applyAlignment="1" applyProtection="1">
      <alignment vertical="center"/>
      <protection hidden="1"/>
    </xf>
    <xf numFmtId="43" fontId="6" fillId="15" borderId="0" xfId="3" applyNumberFormat="1" applyFont="1" applyFill="1" applyAlignment="1" applyProtection="1">
      <alignment vertical="center"/>
      <protection hidden="1"/>
    </xf>
    <xf numFmtId="44" fontId="0" fillId="15" borderId="4" xfId="5" applyFont="1" applyFill="1" applyBorder="1" applyAlignment="1">
      <alignment vertical="center" wrapText="1"/>
    </xf>
    <xf numFmtId="0" fontId="14" fillId="25" borderId="0" xfId="3" applyFont="1" applyFill="1" applyAlignment="1">
      <alignment horizontal="left" vertical="center"/>
    </xf>
    <xf numFmtId="0" fontId="15" fillId="25" borderId="0" xfId="3" applyFont="1" applyFill="1" applyAlignment="1">
      <alignment horizontal="center" vertical="center"/>
    </xf>
    <xf numFmtId="0" fontId="14" fillId="25" borderId="0" xfId="3" applyFont="1" applyFill="1" applyAlignment="1">
      <alignment horizontal="center" vertical="center"/>
    </xf>
    <xf numFmtId="168" fontId="14" fillId="25" borderId="0" xfId="3" applyNumberFormat="1" applyFont="1" applyFill="1" applyAlignment="1">
      <alignment horizontal="center" vertical="center"/>
    </xf>
    <xf numFmtId="44" fontId="2" fillId="15" borderId="4" xfId="5" applyFont="1" applyFill="1" applyBorder="1" applyAlignment="1">
      <alignment vertical="center" wrapText="1"/>
    </xf>
    <xf numFmtId="44" fontId="6" fillId="15" borderId="4" xfId="5" applyFont="1" applyFill="1" applyBorder="1" applyAlignment="1" applyProtection="1">
      <alignment vertical="center"/>
      <protection hidden="1"/>
    </xf>
    <xf numFmtId="44" fontId="6" fillId="7" borderId="0" xfId="5" applyFont="1" applyFill="1" applyAlignment="1" applyProtection="1">
      <alignment vertical="center"/>
      <protection hidden="1"/>
    </xf>
    <xf numFmtId="44" fontId="2" fillId="7" borderId="4" xfId="5" applyFont="1" applyFill="1" applyBorder="1" applyAlignment="1">
      <alignment vertical="center" wrapText="1"/>
    </xf>
    <xf numFmtId="44" fontId="0" fillId="7" borderId="4" xfId="5" applyFont="1" applyFill="1" applyBorder="1" applyAlignment="1">
      <alignment vertical="center" wrapText="1"/>
    </xf>
    <xf numFmtId="44" fontId="6" fillId="7" borderId="0" xfId="5" applyFont="1" applyFill="1" applyBorder="1" applyAlignment="1" applyProtection="1">
      <alignment vertical="center"/>
      <protection hidden="1"/>
    </xf>
    <xf numFmtId="44" fontId="6" fillId="9" borderId="0" xfId="5" applyFont="1" applyFill="1" applyAlignment="1" applyProtection="1">
      <alignment vertical="center"/>
      <protection hidden="1"/>
    </xf>
    <xf numFmtId="44" fontId="2" fillId="9" borderId="4" xfId="5" applyFont="1" applyFill="1" applyBorder="1" applyAlignment="1">
      <alignment vertical="center" wrapText="1"/>
    </xf>
    <xf numFmtId="43" fontId="6" fillId="9" borderId="0" xfId="3" applyNumberFormat="1" applyFont="1" applyFill="1" applyAlignment="1" applyProtection="1">
      <alignment vertical="center"/>
      <protection hidden="1"/>
    </xf>
    <xf numFmtId="44" fontId="0" fillId="9" borderId="4" xfId="5" applyFont="1" applyFill="1" applyBorder="1" applyAlignment="1">
      <alignment vertical="center" wrapText="1"/>
    </xf>
    <xf numFmtId="0" fontId="12" fillId="0" borderId="4" xfId="3" applyFont="1" applyBorder="1" applyAlignment="1" applyProtection="1">
      <alignment vertical="center"/>
      <protection hidden="1"/>
    </xf>
    <xf numFmtId="166" fontId="7" fillId="0" borderId="4" xfId="2" applyNumberFormat="1" applyFont="1" applyFill="1" applyBorder="1" applyAlignment="1" applyProtection="1">
      <alignment horizontal="center" vertical="center"/>
      <protection hidden="1"/>
    </xf>
    <xf numFmtId="44" fontId="7" fillId="0" borderId="4" xfId="5" applyFont="1" applyFill="1" applyBorder="1" applyAlignment="1" applyProtection="1">
      <alignment vertical="center"/>
      <protection hidden="1"/>
    </xf>
    <xf numFmtId="165" fontId="2" fillId="0" borderId="4" xfId="4" applyNumberFormat="1" applyFont="1" applyFill="1" applyBorder="1" applyAlignment="1">
      <alignment horizontal="center" vertical="top" wrapText="1"/>
    </xf>
    <xf numFmtId="44" fontId="2" fillId="0" borderId="4" xfId="5" applyFont="1" applyFill="1" applyBorder="1" applyAlignment="1" applyProtection="1">
      <alignment horizontal="center" vertical="top" wrapText="1"/>
      <protection hidden="1"/>
    </xf>
    <xf numFmtId="44" fontId="2" fillId="0" borderId="4" xfId="5" applyFont="1" applyFill="1" applyBorder="1" applyAlignment="1">
      <alignment vertical="center" wrapText="1"/>
    </xf>
    <xf numFmtId="44" fontId="6" fillId="0" borderId="4" xfId="5" applyFont="1" applyFill="1" applyBorder="1" applyAlignment="1" applyProtection="1">
      <alignment vertical="center"/>
      <protection hidden="1"/>
    </xf>
    <xf numFmtId="165" fontId="6" fillId="0" borderId="4" xfId="4" applyNumberFormat="1" applyFont="1" applyFill="1" applyBorder="1" applyAlignment="1" applyProtection="1">
      <alignment horizontal="center" vertical="top" wrapText="1"/>
      <protection hidden="1"/>
    </xf>
    <xf numFmtId="49" fontId="13" fillId="0" borderId="4" xfId="2" applyNumberFormat="1" applyFont="1" applyFill="1" applyBorder="1" applyAlignment="1" applyProtection="1">
      <alignment vertical="center"/>
      <protection hidden="1"/>
    </xf>
    <xf numFmtId="166" fontId="6" fillId="15" borderId="0" xfId="3" applyNumberFormat="1" applyFont="1" applyFill="1" applyAlignment="1" applyProtection="1">
      <alignment horizontal="center" vertical="center"/>
      <protection hidden="1"/>
    </xf>
    <xf numFmtId="165" fontId="2" fillId="15" borderId="4" xfId="4" applyNumberFormat="1" applyFont="1" applyFill="1" applyBorder="1" applyAlignment="1">
      <alignment horizontal="center" vertical="top" wrapText="1"/>
    </xf>
    <xf numFmtId="44" fontId="2" fillId="15" borderId="4" xfId="5" applyFont="1" applyFill="1" applyBorder="1" applyAlignment="1" applyProtection="1">
      <alignment horizontal="center" vertical="top" wrapText="1"/>
      <protection hidden="1"/>
    </xf>
    <xf numFmtId="165" fontId="2" fillId="7" borderId="0" xfId="4" applyNumberFormat="1" applyFont="1" applyFill="1" applyBorder="1" applyAlignment="1">
      <alignment horizontal="center" vertical="top" wrapText="1"/>
    </xf>
    <xf numFmtId="44" fontId="2" fillId="15" borderId="0" xfId="5" applyFont="1" applyFill="1" applyBorder="1" applyAlignment="1" applyProtection="1">
      <alignment horizontal="center" vertical="top" wrapText="1"/>
      <protection hidden="1"/>
    </xf>
    <xf numFmtId="166" fontId="7" fillId="7" borderId="0" xfId="2" applyNumberFormat="1" applyFont="1" applyFill="1" applyBorder="1" applyAlignment="1" applyProtection="1">
      <alignment horizontal="center" vertical="center"/>
      <protection hidden="1"/>
    </xf>
    <xf numFmtId="44" fontId="7" fillId="7" borderId="0" xfId="5" applyFont="1" applyFill="1" applyBorder="1" applyAlignment="1" applyProtection="1">
      <alignment vertical="center"/>
      <protection hidden="1"/>
    </xf>
    <xf numFmtId="0" fontId="4" fillId="0" borderId="4" xfId="3" applyBorder="1" applyAlignment="1">
      <alignment vertical="center"/>
    </xf>
    <xf numFmtId="0" fontId="14" fillId="6" borderId="0" xfId="3" applyFont="1" applyFill="1" applyAlignment="1">
      <alignment horizontal="left" vertical="center"/>
    </xf>
    <xf numFmtId="0" fontId="14" fillId="6" borderId="0" xfId="3" applyFont="1" applyFill="1" applyAlignment="1">
      <alignment horizontal="center" vertical="center"/>
    </xf>
    <xf numFmtId="0" fontId="15" fillId="6" borderId="0" xfId="3" applyFont="1" applyFill="1" applyAlignment="1">
      <alignment horizontal="center" vertical="center"/>
    </xf>
    <xf numFmtId="168" fontId="14" fillId="6" borderId="0" xfId="3" applyNumberFormat="1" applyFont="1" applyFill="1" applyAlignment="1">
      <alignment horizontal="center" vertical="center"/>
    </xf>
    <xf numFmtId="44" fontId="6" fillId="0" borderId="2" xfId="5" applyFont="1" applyFill="1" applyBorder="1" applyAlignment="1" applyProtection="1">
      <alignment vertical="center"/>
      <protection hidden="1"/>
    </xf>
    <xf numFmtId="44" fontId="6" fillId="0" borderId="0" xfId="5" applyFont="1" applyFill="1" applyBorder="1" applyAlignment="1" applyProtection="1">
      <alignment vertical="center"/>
      <protection hidden="1"/>
    </xf>
    <xf numFmtId="44" fontId="6" fillId="0" borderId="0" xfId="5" applyFont="1" applyFill="1" applyAlignment="1" applyProtection="1">
      <alignment vertical="center"/>
      <protection hidden="1"/>
    </xf>
    <xf numFmtId="0" fontId="14" fillId="0" borderId="0" xfId="3" applyFont="1" applyAlignment="1">
      <alignment horizontal="left" vertical="center"/>
    </xf>
    <xf numFmtId="44" fontId="2" fillId="0" borderId="0" xfId="5" applyFont="1" applyFill="1" applyBorder="1" applyAlignment="1" applyProtection="1">
      <alignment horizontal="center" vertical="top" wrapText="1"/>
      <protection hidden="1"/>
    </xf>
    <xf numFmtId="44" fontId="6" fillId="0" borderId="0" xfId="5" applyFont="1" applyFill="1" applyBorder="1" applyAlignment="1">
      <alignment vertical="center"/>
    </xf>
    <xf numFmtId="44" fontId="6" fillId="0" borderId="10" xfId="5" applyFont="1" applyFill="1" applyBorder="1" applyAlignment="1" applyProtection="1">
      <alignment vertical="center"/>
      <protection hidden="1"/>
    </xf>
    <xf numFmtId="166" fontId="6" fillId="0" borderId="4" xfId="4" applyNumberFormat="1" applyFont="1" applyFill="1" applyBorder="1" applyAlignment="1" applyProtection="1">
      <alignment horizontal="center" vertical="top" wrapText="1"/>
      <protection hidden="1"/>
    </xf>
    <xf numFmtId="44" fontId="4" fillId="0" borderId="0" xfId="5" applyFont="1" applyFill="1" applyBorder="1"/>
    <xf numFmtId="44" fontId="0" fillId="0" borderId="4" xfId="5" applyFont="1" applyFill="1" applyBorder="1" applyAlignment="1">
      <alignment vertical="center" wrapText="1"/>
    </xf>
    <xf numFmtId="166" fontId="7" fillId="0" borderId="11" xfId="2" applyNumberFormat="1" applyFont="1" applyFill="1" applyBorder="1" applyAlignment="1" applyProtection="1">
      <alignment horizontal="center" vertical="center"/>
      <protection hidden="1"/>
    </xf>
    <xf numFmtId="0" fontId="14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168" fontId="14" fillId="0" borderId="0" xfId="3" applyNumberFormat="1" applyFont="1" applyAlignment="1">
      <alignment horizontal="center" vertical="center"/>
    </xf>
    <xf numFmtId="166" fontId="7" fillId="0" borderId="12" xfId="2" applyNumberFormat="1" applyFont="1" applyFill="1" applyBorder="1" applyAlignment="1" applyProtection="1">
      <alignment horizontal="center" vertical="center"/>
      <protection hidden="1"/>
    </xf>
    <xf numFmtId="166" fontId="7" fillId="0" borderId="1" xfId="2" applyNumberFormat="1" applyFont="1" applyFill="1" applyBorder="1" applyAlignment="1" applyProtection="1">
      <alignment horizontal="center" vertical="center"/>
      <protection hidden="1"/>
    </xf>
    <xf numFmtId="43" fontId="6" fillId="0" borderId="1" xfId="5" applyNumberFormat="1" applyFont="1" applyFill="1" applyBorder="1" applyAlignment="1" applyProtection="1">
      <alignment vertical="center"/>
      <protection hidden="1"/>
    </xf>
    <xf numFmtId="166" fontId="6" fillId="0" borderId="1" xfId="4" applyNumberFormat="1" applyFont="1" applyFill="1" applyBorder="1" applyAlignment="1" applyProtection="1">
      <alignment horizontal="center" vertical="top" wrapText="1"/>
      <protection hidden="1"/>
    </xf>
    <xf numFmtId="44" fontId="2" fillId="0" borderId="1" xfId="5" applyFont="1" applyFill="1" applyBorder="1" applyAlignment="1" applyProtection="1">
      <alignment horizontal="center" vertical="top" wrapText="1"/>
      <protection hidden="1"/>
    </xf>
    <xf numFmtId="44" fontId="2" fillId="0" borderId="1" xfId="5" applyFont="1" applyFill="1" applyBorder="1" applyAlignment="1">
      <alignment vertical="center" wrapText="1"/>
    </xf>
    <xf numFmtId="43" fontId="8" fillId="11" borderId="8" xfId="4" applyFont="1" applyFill="1" applyBorder="1" applyAlignment="1">
      <alignment wrapText="1"/>
    </xf>
    <xf numFmtId="0" fontId="14" fillId="0" borderId="2" xfId="3" applyFont="1" applyBorder="1" applyAlignment="1">
      <alignment horizontal="left" vertical="center"/>
    </xf>
    <xf numFmtId="0" fontId="14" fillId="0" borderId="2" xfId="3" applyFont="1" applyBorder="1" applyAlignment="1">
      <alignment horizontal="center" vertical="center"/>
    </xf>
    <xf numFmtId="0" fontId="15" fillId="0" borderId="2" xfId="3" applyFont="1" applyBorder="1" applyAlignment="1">
      <alignment horizontal="center" vertical="center"/>
    </xf>
    <xf numFmtId="168" fontId="14" fillId="0" borderId="2" xfId="3" applyNumberFormat="1" applyFont="1" applyBorder="1" applyAlignment="1">
      <alignment horizontal="center" vertical="center"/>
    </xf>
    <xf numFmtId="164" fontId="0" fillId="0" borderId="0" xfId="4" applyNumberFormat="1" applyFont="1" applyBorder="1"/>
    <xf numFmtId="0" fontId="0" fillId="0" borderId="4" xfId="0" applyBorder="1"/>
    <xf numFmtId="44" fontId="0" fillId="0" borderId="4" xfId="1" applyFont="1" applyBorder="1"/>
    <xf numFmtId="44" fontId="0" fillId="0" borderId="0" xfId="1" applyFont="1" applyBorder="1"/>
    <xf numFmtId="44" fontId="15" fillId="0" borderId="0" xfId="3" applyNumberFormat="1" applyFont="1" applyAlignment="1">
      <alignment horizontal="center" vertical="center"/>
    </xf>
    <xf numFmtId="0" fontId="6" fillId="0" borderId="0" xfId="0" applyFont="1" applyAlignment="1" applyProtection="1">
      <alignment vertical="center"/>
      <protection hidden="1"/>
    </xf>
    <xf numFmtId="166" fontId="6" fillId="0" borderId="0" xfId="0" applyNumberFormat="1" applyFont="1" applyAlignment="1" applyProtection="1">
      <alignment horizontal="center" vertical="center"/>
      <protection hidden="1"/>
    </xf>
    <xf numFmtId="43" fontId="6" fillId="0" borderId="0" xfId="0" applyNumberFormat="1" applyFont="1" applyAlignment="1" applyProtection="1">
      <alignment vertical="center"/>
      <protection hidden="1"/>
    </xf>
    <xf numFmtId="0" fontId="14" fillId="0" borderId="0" xfId="0" applyFont="1" applyAlignment="1">
      <alignment horizontal="left" vertical="center"/>
    </xf>
    <xf numFmtId="168" fontId="0" fillId="0" borderId="0" xfId="4" applyNumberFormat="1" applyFont="1"/>
    <xf numFmtId="0" fontId="14" fillId="6" borderId="0" xfId="0" applyFont="1" applyFill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68" fontId="14" fillId="0" borderId="0" xfId="0" applyNumberFormat="1" applyFont="1" applyAlignment="1">
      <alignment horizontal="center" vertical="center"/>
    </xf>
    <xf numFmtId="44" fontId="0" fillId="0" borderId="0" xfId="1" applyFont="1"/>
    <xf numFmtId="44" fontId="0" fillId="0" borderId="0" xfId="0" applyNumberFormat="1"/>
    <xf numFmtId="43" fontId="0" fillId="0" borderId="0" xfId="6" applyFont="1"/>
    <xf numFmtId="43" fontId="0" fillId="0" borderId="13" xfId="6" applyFont="1" applyBorder="1"/>
    <xf numFmtId="0" fontId="0" fillId="18" borderId="0" xfId="0" applyFill="1"/>
    <xf numFmtId="0" fontId="0" fillId="18" borderId="13" xfId="0" applyFill="1" applyBorder="1"/>
    <xf numFmtId="0" fontId="4" fillId="18" borderId="4" xfId="3" applyFill="1" applyBorder="1"/>
    <xf numFmtId="0" fontId="4" fillId="18" borderId="4" xfId="3" applyFill="1" applyBorder="1" applyAlignment="1">
      <alignment vertical="center"/>
    </xf>
    <xf numFmtId="44" fontId="16" fillId="26" borderId="0" xfId="1" applyFont="1" applyFill="1" applyAlignment="1">
      <alignment horizontal="center"/>
    </xf>
    <xf numFmtId="0" fontId="17" fillId="26" borderId="14" xfId="3" applyFont="1" applyFill="1" applyBorder="1" applyAlignment="1">
      <alignment horizontal="center"/>
    </xf>
    <xf numFmtId="0" fontId="17" fillId="26" borderId="11" xfId="3" applyFont="1" applyFill="1" applyBorder="1" applyAlignment="1">
      <alignment horizontal="center"/>
    </xf>
    <xf numFmtId="0" fontId="3" fillId="0" borderId="0" xfId="2" applyFont="1" applyAlignment="1">
      <alignment horizontal="center" vertical="center"/>
    </xf>
    <xf numFmtId="0" fontId="4" fillId="0" borderId="1" xfId="3" applyBorder="1" applyAlignment="1">
      <alignment horizontal="center" vertical="center"/>
    </xf>
    <xf numFmtId="0" fontId="4" fillId="0" borderId="6" xfId="3" applyBorder="1" applyAlignment="1">
      <alignment horizontal="center" vertical="center"/>
    </xf>
    <xf numFmtId="0" fontId="4" fillId="0" borderId="7" xfId="3" applyBorder="1" applyAlignment="1">
      <alignment horizontal="center" vertical="center"/>
    </xf>
    <xf numFmtId="8" fontId="0" fillId="0" borderId="0" xfId="0" applyNumberFormat="1"/>
  </cellXfs>
  <cellStyles count="7">
    <cellStyle name="Millares" xfId="6" builtinId="3"/>
    <cellStyle name="Millares 2" xfId="4" xr:uid="{48858A32-7852-384F-A8B3-AA9C09E0BD57}"/>
    <cellStyle name="Moneda" xfId="1" builtinId="4"/>
    <cellStyle name="Moneda 2" xfId="5" xr:uid="{EBBDD4CE-160B-EC4F-B1BA-1F7BEC0C548D}"/>
    <cellStyle name="Normal" xfId="0" builtinId="0"/>
    <cellStyle name="Normal 2" xfId="2" xr:uid="{F63B9914-B2D4-7D4D-9CD6-7DBBD71171A6}"/>
    <cellStyle name="Normal 3" xfId="3" xr:uid="{963792A0-C671-3D4A-AFED-553B11C96BC3}"/>
  </cellStyles>
  <dxfs count="1462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00B0F0"/>
      </font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rgb="FF00FF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rgb="FFFF0000"/>
        </top>
      </border>
    </dxf>
    <dxf>
      <fill>
        <patternFill patternType="solid">
          <fgColor rgb="FF000000"/>
          <bgColor rgb="FFFFFFFF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rgb="FF00FF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8" formatCode="&quot;$&quot;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5" formatCode="_-* #,##0.00_-;\-* #,##0.00_-;_-* &quot;-&quot;??_-;_-@_-"/>
      <alignment horizontal="general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#,##0.0_ ;\-#,##0.0\ "/>
      <alignment horizontal="center" vertical="center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center" textRotation="0" wrapText="0" indent="0" justifyLastLine="0" shrinkToFit="0" readingOrder="0"/>
      <protection locked="1" hidden="1"/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#,##0.0_ ;\-#,##0.0\ 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fill>
        <patternFill patternType="none">
          <fgColor indexed="16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none">
          <fgColor indexed="16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auto="1"/>
        <family val="2"/>
      </font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2" tint="-0.249977111117893"/>
        </left>
        <right style="thin">
          <color theme="2" tint="-0.249977111117893"/>
        </right>
        <top style="thin">
          <color theme="2" tint="-0.249977111117893"/>
        </top>
        <bottom style="thin">
          <color theme="2" tint="-0.249977111117893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theme="1"/>
        </right>
        <top style="thin">
          <color indexed="64"/>
        </top>
        <bottom style="thin">
          <color indexed="64"/>
        </bottom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name val="Helvetica Neue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numFmt numFmtId="169" formatCode="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  <horizontal style="thin">
          <color theme="6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numFmt numFmtId="169" formatCode="0.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6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numFmt numFmtId="164" formatCode="[$$-80A]#,##0.00"/>
      <fill>
        <patternFill patternType="solid">
          <fgColor indexed="16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3" formatCode="#,##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165" formatCode="_-* #,##0.0_-;\-* #,##0.0_-;_-* &quot;-&quot;??_-;_-@_-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auto="1"/>
        <family val="2"/>
      </font>
      <numFmt numFmtId="35" formatCode="_-* #,##0.00_-;\-* #,##0.00_-;_-* &quot;-&quot;??_-;_-@_-"/>
      <fill>
        <patternFill patternType="solid">
          <fgColor indexed="16"/>
          <bgColor theme="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  <protection locked="1" hidden="1"/>
    </dxf>
    <dxf>
      <font>
        <color auto="1"/>
        <family val="2"/>
      </font>
      <numFmt numFmtId="166" formatCode="#,##0.0_ ;\-#,##0.0\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  <protection locked="1" hidden="1"/>
    </dxf>
    <dxf>
      <numFmt numFmtId="2" formatCode="0.00"/>
      <fill>
        <patternFill patternType="solid">
          <fgColor indexed="64"/>
          <bgColor theme="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Helvetica Neue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  <protection locked="1" hidden="1"/>
    </dxf>
    <dxf>
      <border outline="0">
        <top style="thin">
          <color indexed="10"/>
        </top>
      </border>
    </dxf>
    <dxf>
      <fill>
        <patternFill patternType="solid">
          <fgColor indexed="64"/>
          <bgColor indexed="16"/>
        </patternFill>
      </fill>
      <alignment horizontal="center" vertical="top" textRotation="0" wrapText="1" indent="0" justifyLastLine="0" shrinkToFit="0" readingOrder="0"/>
    </dxf>
    <dxf>
      <border outline="0">
        <bottom style="thin">
          <color indexed="1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scheme val="none"/>
      </font>
      <numFmt numFmtId="30" formatCode="@"/>
      <fill>
        <patternFill patternType="solid">
          <fgColor indexed="64"/>
          <bgColor indexed="12"/>
        </patternFill>
      </fill>
      <alignment horizontal="center" vertical="top" textRotation="0" wrapText="1" indent="0" justifyLastLine="0" shrinkToFit="0" readingOrder="0"/>
      <border diagonalUp="0" diagonalDown="0" outline="0">
        <left style="thin">
          <color indexed="10"/>
        </left>
        <right style="thin">
          <color indexed="10"/>
        </right>
        <top/>
        <bottom/>
      </border>
    </dxf>
    <dxf>
      <font>
        <strike val="0"/>
      </font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</dxfs>
  <tableStyles count="1" defaultTableStyle="TableStyleMedium9" defaultPivotStyle="PivotStyleMedium4">
    <tableStyle name="Estilo de tabla 1" pivot="0" count="1" xr9:uid="{422983DB-AA94-4E40-BF3F-8B10666925C8}">
      <tableStyleElement type="wholeTable" dxfId="146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META MENSUAL 53 POLIZAS VIDA C 1:1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37092183068052692"/>
          <c:y val="0.10339770777425866"/>
          <c:w val="0.25815633863894616"/>
          <c:h val="0.44137364965374792"/>
        </c:manualLayout>
      </c:layout>
      <c:pieChart>
        <c:varyColors val="1"/>
        <c:ser>
          <c:idx val="0"/>
          <c:order val="0"/>
          <c:spPr>
            <a:ln w="3175">
              <a:solidFill>
                <a:schemeClr val="tx1"/>
              </a:solidFill>
            </a:ln>
          </c:spPr>
          <c:explosion val="24"/>
          <c:dPt>
            <c:idx val="0"/>
            <c:bubble3D val="0"/>
            <c:spPr>
              <a:solidFill>
                <a:schemeClr val="accent1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F1-8E4A-BCBC-9244AFF517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F1-8E4A-BCBC-9244AFF517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F1-8E4A-BCBC-9244AFF517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F1-8E4A-BCBC-9244AFF517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F1-8E4A-BCBC-9244AFF517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F1-8E4A-BCBC-9244AFF517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F1-8E4A-BCBC-9244AFF517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F1-8E4A-BCBC-9244AFF517F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F1-8E4A-BCBC-9244AFF517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F1-8E4A-BCBC-9244AFF517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F1-8E4A-BCBC-9244AFF517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7F1-8E4A-BCBC-9244AFF517F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7F1-8E4A-BCBC-9244AFF517F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7F1-8E4A-BCBC-9244AFF517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7F1-8E4A-BCBC-9244AFF517F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7F1-8E4A-BCBC-9244AFF517F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7F1-8E4A-BCBC-9244AFF517F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7F1-8E4A-BCBC-9244AFF517FF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7F1-8E4A-BCBC-9244AFF517FF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7F1-8E4A-BCBC-9244AFF517FF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7F1-8E4A-BCBC-9244AFF517FF}"/>
              </c:ext>
            </c:extLst>
          </c:dPt>
          <c:dPt>
            <c:idx val="21"/>
            <c:bubble3D val="0"/>
            <c:spPr>
              <a:noFill/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7F1-8E4A-BCBC-9244AFF517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1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'!$I$374:$I$395</c:f>
              <c:strCache>
                <c:ptCount val="22"/>
                <c:pt idx="0">
                  <c:v>JIME Y VALE</c:v>
                </c:pt>
                <c:pt idx="1">
                  <c:v>RAFAEL ALBERTO SUAREZ BAQUEDANO</c:v>
                </c:pt>
                <c:pt idx="2">
                  <c:v>MONI Y CARLOS</c:v>
                </c:pt>
                <c:pt idx="3">
                  <c:v>JULIANA RIASCOS VALENCIA</c:v>
                </c:pt>
                <c:pt idx="4">
                  <c:v>HANA SOFIA LOPEZ QUIÐONEZ</c:v>
                </c:pt>
                <c:pt idx="5">
                  <c:v>ANA VERONICA GONZALEZ GAYTAN</c:v>
                </c:pt>
                <c:pt idx="6">
                  <c:v>DESIREE DE LA PEÐA OROZCO</c:v>
                </c:pt>
                <c:pt idx="7">
                  <c:v>VELIA PATRICIA BERNAL RAMOS</c:v>
                </c:pt>
                <c:pt idx="8">
                  <c:v>DARINKA UREÐA CASILLAS</c:v>
                </c:pt>
                <c:pt idx="9">
                  <c:v>ADRIANA ALEJANDRA JOYA MARTINEZ</c:v>
                </c:pt>
                <c:pt idx="10">
                  <c:v>MARIA JOSE GUZMAN ZAMORA</c:v>
                </c:pt>
                <c:pt idx="11">
                  <c:v>ROGELIO TORRES ORTIZ</c:v>
                </c:pt>
                <c:pt idx="12">
                  <c:v>JORGE Y LULY</c:v>
                </c:pt>
                <c:pt idx="13">
                  <c:v>GABRIELA CASTAÐEDA SALAZAR</c:v>
                </c:pt>
                <c:pt idx="14">
                  <c:v>ANA LAURA CONTRERAS IÐIGUEZ</c:v>
                </c:pt>
                <c:pt idx="15">
                  <c:v>LINDA TANIA MIROSLAVA ENRIQUEZ PRECIADO</c:v>
                </c:pt>
                <c:pt idx="16">
                  <c:v>MARIA ELIZABETH LLAMAS LOPEZ</c:v>
                </c:pt>
                <c:pt idx="17">
                  <c:v>ANAIS LUA MORENO</c:v>
                </c:pt>
                <c:pt idx="18">
                  <c:v>LILIANA IVETTE CASTILLO SANCHEZ</c:v>
                </c:pt>
                <c:pt idx="19">
                  <c:v>MARIA FERNANDA CARLOS VAZQUEZ</c:v>
                </c:pt>
                <c:pt idx="20">
                  <c:v>PAULINA RODRIGUEZ DE LA MORA</c:v>
                </c:pt>
                <c:pt idx="21">
                  <c:v>FALTANTE PARA LA META</c:v>
                </c:pt>
              </c:strCache>
            </c:strRef>
          </c:cat>
          <c:val>
            <c:numRef>
              <c:f>'Ventas Mensuales '!$K$374:$K$395</c:f>
              <c:numCache>
                <c:formatCode>#,##0.0_ ;\-#,##0.0\ </c:formatCode>
                <c:ptCount val="22"/>
                <c:pt idx="0">
                  <c:v>6</c:v>
                </c:pt>
                <c:pt idx="1">
                  <c:v>6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1.5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0.5</c:v>
                </c:pt>
                <c:pt idx="2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7F1-8E4A-BCBC-9244AFF5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META MENSUAL 53 POLIZAS VIDA C 1:1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24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E96-AA4A-8815-A17E080FFD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E96-AA4A-8815-A17E080FFD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96-AA4A-8815-A17E080FFD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96-AA4A-8815-A17E080FFD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E96-AA4A-8815-A17E080FFD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E96-AA4A-8815-A17E080FFD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E96-AA4A-8815-A17E080FFD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E96-AA4A-8815-A17E080FFD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E96-AA4A-8815-A17E080FFD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E96-AA4A-8815-A17E080FFD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E96-AA4A-8815-A17E080FFD3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AE96-AA4A-8815-A17E080FFD3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AE96-AA4A-8815-A17E080FFD3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AE96-AA4A-8815-A17E080FFD3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AE96-AA4A-8815-A17E080FFD3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AE96-AA4A-8815-A17E080FFD3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AE96-AA4A-8815-A17E080FFD3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AE96-AA4A-8815-A17E080FFD3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AE96-AA4A-8815-A17E080FFD3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AE96-AA4A-8815-A17E080FFD3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AE96-AA4A-8815-A17E080FFD3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AE96-AA4A-8815-A17E080FFD39}"/>
              </c:ext>
            </c:extLst>
          </c:dPt>
          <c:dPt>
            <c:idx val="22"/>
            <c:bubble3D val="0"/>
            <c:spPr>
              <a:noFill/>
              <a:ln w="317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AE96-AA4A-8815-A17E080FFD39}"/>
              </c:ext>
            </c:extLst>
          </c:dPt>
          <c:dLbls>
            <c:dLbl>
              <c:idx val="7"/>
              <c:layout>
                <c:manualLayout>
                  <c:x val="-3.3663855543769141E-3"/>
                  <c:y val="-2.1537951075587813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E96-AA4A-8815-A17E080FFD39}"/>
                </c:ext>
              </c:extLst>
            </c:dLbl>
            <c:dLbl>
              <c:idx val="8"/>
              <c:layout>
                <c:manualLayout>
                  <c:x val="1.1053672900406031E-2"/>
                  <c:y val="2.3045191860317656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E96-AA4A-8815-A17E080FFD39}"/>
                </c:ext>
              </c:extLst>
            </c:dLbl>
            <c:dLbl>
              <c:idx val="16"/>
              <c:layout>
                <c:manualLayout>
                  <c:x val="2.9080824680607705E-3"/>
                  <c:y val="3.462495899265589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E96-AA4A-8815-A17E080FFD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'!$I$419:$I$441</c:f>
              <c:strCache>
                <c:ptCount val="23"/>
                <c:pt idx="0">
                  <c:v>ANAIS LUA MORENO</c:v>
                </c:pt>
                <c:pt idx="1">
                  <c:v>RAFAEL ALBERTO SUAREZ BAQUEDANO</c:v>
                </c:pt>
                <c:pt idx="2">
                  <c:v>MONICA ANDREA AMBRIZ GOMEZ</c:v>
                </c:pt>
                <c:pt idx="3">
                  <c:v>ORLANDA JIMENA CERVANTES NUÐEZ</c:v>
                </c:pt>
                <c:pt idx="4">
                  <c:v>PAULINA LIZBETH SOTO MUÐIZ</c:v>
                </c:pt>
                <c:pt idx="5">
                  <c:v>DESIREE DE LA PEÐA OROZCO</c:v>
                </c:pt>
                <c:pt idx="6">
                  <c:v>MIREYA LIZETTE TORRES GARCIA</c:v>
                </c:pt>
                <c:pt idx="7">
                  <c:v>ANA VERONICA GONZALEZ GAYTAN</c:v>
                </c:pt>
                <c:pt idx="8">
                  <c:v>JORGE ALBERTO PRECIADO GONZALEZ</c:v>
                </c:pt>
                <c:pt idx="9">
                  <c:v>LINDA TANIA MIROSLAVA ENRIQUEZ PRECIADO</c:v>
                </c:pt>
                <c:pt idx="10">
                  <c:v>JOSE RENE DE ALBA MORALES</c:v>
                </c:pt>
                <c:pt idx="11">
                  <c:v>MARIA JOSE GUZMAN ZAMORA</c:v>
                </c:pt>
                <c:pt idx="12">
                  <c:v>JORGE ANTONIO LUNA LARA</c:v>
                </c:pt>
                <c:pt idx="13">
                  <c:v>VELIA PATRICIA BERNAL RAMOS</c:v>
                </c:pt>
                <c:pt idx="14">
                  <c:v>ROGELIO TORRES ORTIZ</c:v>
                </c:pt>
                <c:pt idx="15">
                  <c:v>EVELYN CAROLINA VENEGAS IÐIGUEZ</c:v>
                </c:pt>
                <c:pt idx="16">
                  <c:v>JULIANA RIASCOS VALENCIA</c:v>
                </c:pt>
                <c:pt idx="17">
                  <c:v>LUVIA PATRICIA FIGUEROA CASTRO</c:v>
                </c:pt>
                <c:pt idx="18">
                  <c:v>ADRIANA ALEJANDRA JOYA MARTINEZ</c:v>
                </c:pt>
                <c:pt idx="19">
                  <c:v>SAMUEL NUÐO RIVERA</c:v>
                </c:pt>
                <c:pt idx="20">
                  <c:v>MARIA ELIZABETH LLAMAS LOPEZ</c:v>
                </c:pt>
                <c:pt idx="21">
                  <c:v>LILIANA IVETTE CASTILLO SANCHEZ</c:v>
                </c:pt>
                <c:pt idx="22">
                  <c:v>FALTANTE PARA LA META</c:v>
                </c:pt>
              </c:strCache>
            </c:strRef>
          </c:cat>
          <c:val>
            <c:numRef>
              <c:f>'Ventas Mensuales '!$K$419:$K$441</c:f>
              <c:numCache>
                <c:formatCode>#,##0.0_ ;\-#,##0.0\ </c:formatCode>
                <c:ptCount val="23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AE96-AA4A-8815-A17E080FF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MX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META MENSUAL 53 POLIZAS VIDA C 1:1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24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93-D745-9857-ADA536E786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393-D745-9857-ADA536E786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393-D745-9857-ADA536E7863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393-D745-9857-ADA536E7863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393-D745-9857-ADA536E7863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393-D745-9857-ADA536E7863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393-D745-9857-ADA536E7863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393-D745-9857-ADA536E7863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393-D745-9857-ADA536E7863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393-D745-9857-ADA536E7863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393-D745-9857-ADA536E7863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393-D745-9857-ADA536E7863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393-D745-9857-ADA536E7863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393-D745-9857-ADA536E7863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393-D745-9857-ADA536E7863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393-D745-9857-ADA536E7863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393-D745-9857-ADA536E7863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9393-D745-9857-ADA536E7863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9393-D745-9857-ADA536E7863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9393-D745-9857-ADA536E7863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9393-D745-9857-ADA536E7863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9393-D745-9857-ADA536E7863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9393-D745-9857-ADA536E7863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9393-D745-9857-ADA536E7863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9393-D745-9857-ADA536E7863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9393-D745-9857-ADA536E7863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9393-D745-9857-ADA536E7863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9393-D745-9857-ADA536E78639}"/>
              </c:ext>
            </c:extLst>
          </c:dPt>
          <c:dPt>
            <c:idx val="28"/>
            <c:bubble3D val="0"/>
            <c:spPr>
              <a:solidFill>
                <a:schemeClr val="bg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9393-D745-9857-ADA536E78639}"/>
              </c:ext>
            </c:extLst>
          </c:dPt>
          <c:dLbls>
            <c:dLbl>
              <c:idx val="28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9393-D745-9857-ADA536E786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'Ventas Mensuales '!$I$471:$I$499</c:f>
              <c:strCache>
                <c:ptCount val="29"/>
                <c:pt idx="0">
                  <c:v>RAFAEL ALBERTO SUAREZ BAQUEDANO</c:v>
                </c:pt>
                <c:pt idx="1">
                  <c:v>DESIREE DE LA PEÐA OROZCO</c:v>
                </c:pt>
                <c:pt idx="2">
                  <c:v>MONICA ANDREA AMBRIZ GOMEZ</c:v>
                </c:pt>
                <c:pt idx="3">
                  <c:v>JULIANA RIASCOS VALENCIA</c:v>
                </c:pt>
                <c:pt idx="4">
                  <c:v>EVELYN CAROLINA VENEGAS IÐIGUEZ</c:v>
                </c:pt>
                <c:pt idx="5">
                  <c:v>JOSE RENE DE ALBA MORALES</c:v>
                </c:pt>
                <c:pt idx="6">
                  <c:v>ORLANDA JIMENA CERVANTES NUÐEZ</c:v>
                </c:pt>
                <c:pt idx="7">
                  <c:v>ROGELIO TORRES ORTIZ</c:v>
                </c:pt>
                <c:pt idx="8">
                  <c:v>ADRIANA ALEJANDRA JOYA MARTINEZ</c:v>
                </c:pt>
                <c:pt idx="9">
                  <c:v>JOSE ALBERTO CORONADO ROSAS</c:v>
                </c:pt>
                <c:pt idx="10">
                  <c:v>KAREN MUÐOZ GARCIA</c:v>
                </c:pt>
                <c:pt idx="11">
                  <c:v>HANA SOFIA LOPEZ QUIÐONEZ</c:v>
                </c:pt>
                <c:pt idx="12">
                  <c:v>ANA VERONICA GONZALEZ GAYTAN</c:v>
                </c:pt>
                <c:pt idx="13">
                  <c:v>SOFIA CAMPILLO VASCONCELOS</c:v>
                </c:pt>
                <c:pt idx="14">
                  <c:v>MARICELA ARREOLA LOPEZ</c:v>
                </c:pt>
                <c:pt idx="15">
                  <c:v>LUVIA PATRICIA FIGUEROA CASTRO</c:v>
                </c:pt>
                <c:pt idx="16">
                  <c:v>VELIA PATRICIA BERNAL RAMOS</c:v>
                </c:pt>
                <c:pt idx="17">
                  <c:v>GABRIELA CASTAÐEDA SALAZAR</c:v>
                </c:pt>
                <c:pt idx="18">
                  <c:v>MIREYA LIZETTE TORRES GARCIA</c:v>
                </c:pt>
                <c:pt idx="19">
                  <c:v>ANA LAURA CONTRERAS IÐIGUEZ</c:v>
                </c:pt>
                <c:pt idx="20">
                  <c:v>ANDREA CELESTE IBAÐEZ RINCON</c:v>
                </c:pt>
                <c:pt idx="21">
                  <c:v>MARIA ELIZABETH LLAMAS LOPEZ</c:v>
                </c:pt>
                <c:pt idx="22">
                  <c:v>GERARDO DANIEL BARAJAS TORRES</c:v>
                </c:pt>
                <c:pt idx="28">
                  <c:v>FALTANTE PARA LA META</c:v>
                </c:pt>
              </c:strCache>
            </c:strRef>
          </c:cat>
          <c:val>
            <c:numRef>
              <c:f>'Ventas Mensuales '!$K$471:$K$499</c:f>
              <c:numCache>
                <c:formatCode>#,##0.0_ ;\-#,##0.0\ </c:formatCode>
                <c:ptCount val="29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8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A-9393-D745-9857-ADA536E78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360016</xdr:colOff>
      <xdr:row>371</xdr:row>
      <xdr:rowOff>150136</xdr:rowOff>
    </xdr:from>
    <xdr:to>
      <xdr:col>15</xdr:col>
      <xdr:colOff>2407920</xdr:colOff>
      <xdr:row>401</xdr:row>
      <xdr:rowOff>121920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32BB0A4-6F4F-F641-8744-C506F93EBD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846776</xdr:colOff>
      <xdr:row>380</xdr:row>
      <xdr:rowOff>64784</xdr:rowOff>
    </xdr:from>
    <xdr:to>
      <xdr:col>13</xdr:col>
      <xdr:colOff>1354776</xdr:colOff>
      <xdr:row>383</xdr:row>
      <xdr:rowOff>85104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886705A8-9EEC-9445-937D-D1C36EACF841}"/>
            </a:ext>
          </a:extLst>
        </xdr:cNvPr>
        <xdr:cNvSpPr txBox="1"/>
      </xdr:nvSpPr>
      <xdr:spPr>
        <a:xfrm>
          <a:off x="18639476" y="65330084"/>
          <a:ext cx="508000" cy="515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2400"/>
            <a:t>45</a:t>
          </a:r>
        </a:p>
      </xdr:txBody>
    </xdr:sp>
    <xdr:clientData/>
  </xdr:twoCellAnchor>
  <xdr:twoCellAnchor>
    <xdr:from>
      <xdr:col>11</xdr:col>
      <xdr:colOff>533946</xdr:colOff>
      <xdr:row>418</xdr:row>
      <xdr:rowOff>151034</xdr:rowOff>
    </xdr:from>
    <xdr:to>
      <xdr:col>15</xdr:col>
      <xdr:colOff>1333500</xdr:colOff>
      <xdr:row>448</xdr:row>
      <xdr:rowOff>117928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C756109-B261-3246-8629-AA37C13F6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533946</xdr:colOff>
      <xdr:row>470</xdr:row>
      <xdr:rowOff>151034</xdr:rowOff>
    </xdr:from>
    <xdr:to>
      <xdr:col>15</xdr:col>
      <xdr:colOff>1333500</xdr:colOff>
      <xdr:row>506</xdr:row>
      <xdr:rowOff>117928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6E4EE26-F0E4-1242-95BB-6063893648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0.4661</cdr:x>
      <cdr:y>0.35453</cdr:y>
    </cdr:from>
    <cdr:to>
      <cdr:x>0.5431</cdr:x>
      <cdr:y>0.47308</cdr:y>
    </cdr:to>
    <cdr:sp macro="" textlink="">
      <cdr:nvSpPr>
        <cdr:cNvPr id="2" name="CuadroTexto 2">
          <a:extLst xmlns:a="http://schemas.openxmlformats.org/drawingml/2006/main">
            <a:ext uri="{FF2B5EF4-FFF2-40B4-BE49-F238E27FC236}">
              <a16:creationId xmlns:a16="http://schemas.microsoft.com/office/drawing/2014/main" id="{CA5983C0-A717-4965-1E87-49273C297E79}"/>
            </a:ext>
          </a:extLst>
        </cdr:cNvPr>
        <cdr:cNvSpPr txBox="1"/>
      </cdr:nvSpPr>
      <cdr:spPr>
        <a:xfrm xmlns:a="http://schemas.openxmlformats.org/drawingml/2006/main">
          <a:off x="3300974" y="1781300"/>
          <a:ext cx="545323" cy="59564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2400" b="1"/>
            <a:t>46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0.4661</cdr:x>
      <cdr:y>0.35453</cdr:y>
    </cdr:from>
    <cdr:to>
      <cdr:x>0.5431</cdr:x>
      <cdr:y>0.47308</cdr:y>
    </cdr:to>
    <cdr:sp macro="" textlink="">
      <cdr:nvSpPr>
        <cdr:cNvPr id="2" name="CuadroTexto 2">
          <a:extLst xmlns:a="http://schemas.openxmlformats.org/drawingml/2006/main">
            <a:ext uri="{FF2B5EF4-FFF2-40B4-BE49-F238E27FC236}">
              <a16:creationId xmlns:a16="http://schemas.microsoft.com/office/drawing/2014/main" id="{CA5983C0-A717-4965-1E87-49273C297E79}"/>
            </a:ext>
          </a:extLst>
        </cdr:cNvPr>
        <cdr:cNvSpPr txBox="1"/>
      </cdr:nvSpPr>
      <cdr:spPr>
        <a:xfrm xmlns:a="http://schemas.openxmlformats.org/drawingml/2006/main">
          <a:off x="3300974" y="1781300"/>
          <a:ext cx="545323" cy="59564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MX" sz="2400" b="1"/>
            <a:t>35</a:t>
          </a:r>
        </a:p>
        <a:p xmlns:a="http://schemas.openxmlformats.org/drawingml/2006/main">
          <a:endParaRPr lang="es-MX" sz="2400" b="1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ae7a8bc52004978/Documentos/asesores%20y%20campa&#241;as%202025.xlsx" TargetMode="External"/><Relationship Id="rId1" Type="http://schemas.openxmlformats.org/officeDocument/2006/relationships/externalLinkPath" Target="https://d.docs.live.net/aae7a8bc52004978/Documentos/asesores%20y%20campa&#241;as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puestas de formulario 1"/>
      <sheetName val="Asesores"/>
      <sheetName val="BD PROACTIVOS"/>
      <sheetName val="PROACTIVOS"/>
      <sheetName val="Ventas Mensuales"/>
      <sheetName val="MDRT"/>
      <sheetName val="FANFEST"/>
      <sheetName val="VIVE TU PASION"/>
      <sheetName val="BD LEGION"/>
      <sheetName val="LEGIÓN CENTURIÓN "/>
      <sheetName val="BD CONV"/>
      <sheetName val="CONVENCIONES X2"/>
      <sheetName val="CONVENCIONES"/>
      <sheetName val="BD CC"/>
      <sheetName val="CAMINO A LA CUMBRE"/>
      <sheetName val="Avance a graduación "/>
      <sheetName val="TRAINNING A"/>
      <sheetName val="BONOS MIOS"/>
      <sheetName val="asesores y campañas 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0D62CF-C578-A34E-94AB-B3766998ECC0}" name="Tabla9" displayName="Tabla9" ref="A2:H43" totalsRowShown="0" headerRowDxfId="1460" dataDxfId="1458" headerRowBorderDxfId="1459" tableBorderDxfId="1457" headerRowCellStyle="Normal 2" dataCellStyle="Normal 2">
  <autoFilter ref="A2:H43" xr:uid="{EE5256C5-5526-4562-8C06-31403E003E28}"/>
  <sortState xmlns:xlrd2="http://schemas.microsoft.com/office/spreadsheetml/2017/richdata2" ref="A3:H43">
    <sortCondition descending="1" ref="G2:G43"/>
  </sortState>
  <tableColumns count="8">
    <tableColumn id="1" xr3:uid="{7E7DEF03-661E-8345-B016-653DDE0C8776}" name="Asesor" dataDxfId="1456" dataCellStyle="Normal 2"/>
    <tableColumn id="2" xr3:uid="{6BDCE3B9-F0D3-B448-B8B6-F787F131C45A}" name="Pólizas " dataDxfId="1455" dataCellStyle="Normal 2">
      <calculatedColumnFormula>SUM(Tabla9[[#This Row],[Vida]],Tabla9[[#This Row],[Gmm]])</calculatedColumnFormula>
    </tableColumn>
    <tableColumn id="3" xr3:uid="{DAC358B2-9129-F14E-87C5-8491BAB1DCE7}" name="Vida" dataDxfId="1454" dataCellStyle="Normal 2"/>
    <tableColumn id="4" xr3:uid="{B01DB8F7-DD63-6845-AA0B-0134E2F624A1}" name="Prima vida" dataDxfId="1453" dataCellStyle="Normal 2"/>
    <tableColumn id="5" xr3:uid="{DFA81B23-983F-0144-B49E-1D5473932C32}" name="Gmm" dataDxfId="1452"/>
    <tableColumn id="6" xr3:uid="{CDB732D1-9FD2-2842-85CD-1AC3315E60E7}" name="Prima gmm" dataDxfId="1451" dataCellStyle="Normal 2"/>
    <tableColumn id="7" xr3:uid="{7EB76BE6-9CCC-5B49-9F87-22D29D5BD44C}" name="Prima total" dataDxfId="1450">
      <calculatedColumnFormula>SUM(Tabla9[[#This Row],[Prima vida]],Tabla9[[#This Row],[Prima gmm]])</calculatedColumnFormula>
    </tableColumn>
    <tableColumn id="8" xr3:uid="{F5D8B440-7450-7741-A8E2-B77621325D97}" name="Colectivo " dataDxfId="1449" dataCellStyle="Normal 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6DFD40-CDE2-754D-9773-07BFCFB5DC9F}" name="Tabla936" displayName="Tabla936" ref="A49:G89" totalsRowShown="0" headerRowDxfId="1448" dataDxfId="1446" headerRowBorderDxfId="1447" tableBorderDxfId="1445" headerRowCellStyle="Normal 2" dataCellStyle="Normal 2">
  <autoFilter ref="A49:G89" xr:uid="{437042EC-15EF-6E40-BCE4-503DBA96F528}"/>
  <sortState xmlns:xlrd2="http://schemas.microsoft.com/office/spreadsheetml/2017/richdata2" ref="A50:G89">
    <sortCondition descending="1" ref="G49:G89"/>
  </sortState>
  <tableColumns count="7">
    <tableColumn id="1" xr3:uid="{7E1B8840-0CB8-E942-BFCB-9BE0B3E539CF}" name="Asesor" dataDxfId="1444" dataCellStyle="Normal 2"/>
    <tableColumn id="2" xr3:uid="{6F19CC6E-10CD-714B-A01F-BAE891D278EF}" name="Pólizas " dataDxfId="1443" dataCellStyle="Normal 2">
      <calculatedColumnFormula>SUM(Tabla936[[#This Row],[Vida]],Tabla936[[#This Row],[Gmm]])</calculatedColumnFormula>
    </tableColumn>
    <tableColumn id="3" xr3:uid="{40E5C11B-0CB8-5647-8BBD-084528589CA0}" name="Vida" dataDxfId="1442" dataCellStyle="Normal 2"/>
    <tableColumn id="4" xr3:uid="{AF64BC37-F184-2A49-8B01-A1F3F3C3DCE8}" name="Prima vida" dataDxfId="1441" dataCellStyle="Normal 2"/>
    <tableColumn id="5" xr3:uid="{73C66B21-4271-9D47-9059-48E20F242B8B}" name="Gmm" dataDxfId="1440"/>
    <tableColumn id="6" xr3:uid="{94D0655B-BF31-C64E-96C7-F0B220FBECB8}" name="Prima gmm" dataDxfId="1439" dataCellStyle="Normal 2"/>
    <tableColumn id="7" xr3:uid="{8FF84675-0F5B-E544-B60A-5A9D692D4E00}" name="Prima total" dataDxfId="1438">
      <calculatedColumnFormula>SUM(Tabla936[[#This Row],[Prima vida]],Tabla936[[#This Row],[Prima gmm]])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13674A-FA78-8F44-977B-4B1DF7068E89}" name="Tabla93617" displayName="Tabla93617" ref="A95:G129" totalsRowShown="0" headerRowDxfId="1437" dataDxfId="1435" headerRowBorderDxfId="1436" tableBorderDxfId="1434" headerRowCellStyle="Normal 2" dataCellStyle="Normal 2">
  <autoFilter ref="A95:G129" xr:uid="{FB8C1FEF-61E3-0348-BBC4-3ACB248AC470}"/>
  <sortState xmlns:xlrd2="http://schemas.microsoft.com/office/spreadsheetml/2017/richdata2" ref="A96:G129">
    <sortCondition descending="1" ref="G95:G129"/>
  </sortState>
  <tableColumns count="7">
    <tableColumn id="1" xr3:uid="{C2B8AE53-6E47-C044-BB4E-A9420CD79ABD}" name="Asesor" dataDxfId="1433" dataCellStyle="Normal 2"/>
    <tableColumn id="2" xr3:uid="{CA16841F-B858-D343-9B0C-065841971E72}" name="Pólizas " dataDxfId="1432" dataCellStyle="Normal 2">
      <calculatedColumnFormula>SUM(Tabla93617[[#This Row],[Vida]],Tabla93617[[#This Row],[Gmm]])</calculatedColumnFormula>
    </tableColumn>
    <tableColumn id="3" xr3:uid="{753D2A0D-ADD2-CA4D-BD91-BE39B974836E}" name="Vida" dataDxfId="1431" dataCellStyle="Normal 2"/>
    <tableColumn id="4" xr3:uid="{143957C4-487B-F847-8F67-3DEF304A3D7E}" name="Prima vida" dataDxfId="1430" dataCellStyle="Normal 2"/>
    <tableColumn id="5" xr3:uid="{5A3E704A-21E9-CF40-9744-9C6CEDB96E40}" name="Gmm" dataDxfId="1429"/>
    <tableColumn id="6" xr3:uid="{8183C41D-F94C-6740-88DF-DBDE85DF0B61}" name="Prima gmm" dataDxfId="1428" dataCellStyle="Normal 2"/>
    <tableColumn id="7" xr3:uid="{8F42C8B1-F668-BB48-8C73-0F4AAEE6D42C}" name="Prima total" dataDxfId="1427">
      <calculatedColumnFormula>SUM(Tabla93617[[#This Row],[Prima vida]],Tabla93617[[#This Row],[Prima gmm]])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A4AA4B-DC92-8A4C-AC47-61C5B7403AAB}" name="Tabla9361730" displayName="Tabla9361730" ref="A135:G167" totalsRowShown="0" headerRowDxfId="1426" dataDxfId="1424" headerRowBorderDxfId="1425" tableBorderDxfId="1423" headerRowCellStyle="Normal 2" dataCellStyle="Normal 2">
  <autoFilter ref="A135:G167" xr:uid="{826458BF-0F84-4949-8ECC-3AB8D0F444E0}"/>
  <sortState xmlns:xlrd2="http://schemas.microsoft.com/office/spreadsheetml/2017/richdata2" ref="A136:G167">
    <sortCondition descending="1" ref="G135:G167"/>
  </sortState>
  <tableColumns count="7">
    <tableColumn id="1" xr3:uid="{15C30299-FE0E-664B-B520-F7970F5D3FF5}" name="Asesor" dataDxfId="1422" dataCellStyle="Normal 2"/>
    <tableColumn id="2" xr3:uid="{7E6C0425-DADD-7C46-9B39-73973CD8080E}" name="Pólizas " dataDxfId="1421" dataCellStyle="Normal 2">
      <calculatedColumnFormula>SUM(Tabla9361730[[#This Row],[Vida]],Tabla9361730[[#This Row],[Gmm]])</calculatedColumnFormula>
    </tableColumn>
    <tableColumn id="3" xr3:uid="{3D8B6C8C-EB47-0A48-B1FC-B0AA43600E07}" name="Vida" dataDxfId="1420" dataCellStyle="Normal 2"/>
    <tableColumn id="4" xr3:uid="{79E4E465-2068-5B41-BD5C-9BCD26EC164A}" name="Prima vida" dataDxfId="1419" dataCellStyle="Normal 2"/>
    <tableColumn id="5" xr3:uid="{F49D4FE4-2A24-1A47-96E2-30D0AC7F318E}" name="Gmm" dataDxfId="1418"/>
    <tableColumn id="6" xr3:uid="{19D4C2A5-840A-504F-9EE2-124EE6A91736}" name="Prima gmm" dataDxfId="1417" dataCellStyle="Normal 2"/>
    <tableColumn id="7" xr3:uid="{72BCDD84-C688-A948-8BA6-E8A7ACAA4145}" name="Prima total" dataDxfId="1416">
      <calculatedColumnFormula>SUM(Tabla9361730[[#This Row],[Prima vida]],Tabla9361730[[#This Row],[Prima gmm]])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019CDC-A15C-B244-9F04-71DE01155330}" name="Tabla936173055" displayName="Tabla936173055" ref="A173:G206" totalsRowShown="0" headerRowDxfId="1415" dataDxfId="1413" headerRowBorderDxfId="1414" tableBorderDxfId="1412" headerRowCellStyle="Normal 2" dataCellStyle="Normal 2">
  <autoFilter ref="A173:G206" xr:uid="{DD7236A7-8ADD-C947-8042-0DD6A2CB8AD5}"/>
  <sortState xmlns:xlrd2="http://schemas.microsoft.com/office/spreadsheetml/2017/richdata2" ref="A174:G206">
    <sortCondition descending="1" ref="G173:G206"/>
  </sortState>
  <tableColumns count="7">
    <tableColumn id="1" xr3:uid="{2A6723B2-633F-4046-957D-5DFD13D812C9}" name="Asesor" dataDxfId="1411" dataCellStyle="Normal 2"/>
    <tableColumn id="2" xr3:uid="{D17ABA95-2508-8948-B734-71D782707F03}" name="Pólizas " dataDxfId="1410" dataCellStyle="Normal 2">
      <calculatedColumnFormula>SUM(Tabla936173055[[#This Row],[Vida]],Tabla936173055[[#This Row],[Gmm]])</calculatedColumnFormula>
    </tableColumn>
    <tableColumn id="3" xr3:uid="{E3E97F75-29E8-5E44-9A29-283F38CE4B6E}" name="Vida" dataDxfId="1409" dataCellStyle="Normal 2"/>
    <tableColumn id="4" xr3:uid="{EF291F55-E70A-2A40-BEA0-CB7FF1F65FE3}" name="Prima Recibo vida" dataDxfId="1408" dataCellStyle="Normal 2"/>
    <tableColumn id="5" xr3:uid="{3F91B218-11AA-A241-9999-A1FDA3832350}" name="Gmm" dataDxfId="1407"/>
    <tableColumn id="6" xr3:uid="{FDE091EE-E39D-4D45-AA50-119B3B34D855}" name="Prima Recibo gmm" dataDxfId="1406" dataCellStyle="Normal 2"/>
    <tableColumn id="7" xr3:uid="{AD542643-7A72-2246-90C4-C530A2C78B9B}" name="Prima total" dataDxfId="1405">
      <calculatedColumnFormula>SUM(Tabla936173055[[#This Row],[Prima Recibo vida]],Tabla936173055[[#This Row],[Prima Recibo gmm]])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2CEF15-63F9-7640-A2DB-E2BF15CEA132}" name="Tabla93617305523" displayName="Tabla93617305523" ref="A213:G249" totalsRowShown="0" headerRowDxfId="1404" dataDxfId="1402" headerRowBorderDxfId="1403" tableBorderDxfId="1401" headerRowCellStyle="Normal 2" dataCellStyle="Normal 2">
  <autoFilter ref="A213:G249" xr:uid="{288933BA-E599-784D-BB6D-98230C064EFE}"/>
  <sortState xmlns:xlrd2="http://schemas.microsoft.com/office/spreadsheetml/2017/richdata2" ref="A214:G249">
    <sortCondition descending="1" ref="G213:G249"/>
  </sortState>
  <tableColumns count="7">
    <tableColumn id="1" xr3:uid="{60386B9C-0180-E34E-A39F-AB3251869CF8}" name="Asesor" dataDxfId="1400" dataCellStyle="Normal 2"/>
    <tableColumn id="2" xr3:uid="{90011E6C-578A-B24C-96E7-DBAAD940826F}" name="Pólizas " dataDxfId="1399" dataCellStyle="Normal 2">
      <calculatedColumnFormula>SUM(Tabla93617305523[[#This Row],[Vida]],Tabla93617305523[[#This Row],[Gmm]])</calculatedColumnFormula>
    </tableColumn>
    <tableColumn id="3" xr3:uid="{B9FA402F-3D5F-A140-993E-936B0BE1BEFF}" name="Vida" dataDxfId="1398" dataCellStyle="Normal 2"/>
    <tableColumn id="4" xr3:uid="{E6E62A83-FEA5-0842-98B8-1D0A33A279E9}" name="Prima Recibo vida" dataDxfId="1397" dataCellStyle="Normal 2"/>
    <tableColumn id="5" xr3:uid="{41E26F15-9F90-3642-9386-69B026F2D82D}" name="Gmm" dataDxfId="1396"/>
    <tableColumn id="6" xr3:uid="{CCA1DB05-D320-4541-8A34-99DC0C7D1CA2}" name="Prima Recibo gmm" dataDxfId="1395" dataCellStyle="Normal 2"/>
    <tableColumn id="7" xr3:uid="{CBC82886-1D23-D341-8B6C-386E29D2213E}" name="Prima total" dataDxfId="1394">
      <calculatedColumnFormula>SUM(Tabla93617305523[[#This Row],[Prima Recibo vida]],Tabla93617305523[[#This Row],[Prima Recibo gmm]])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145A6EB-9FAC-D14D-9A14-5EB4E3B0D2B0}" name="Tabla9361730552357" displayName="Tabla9361730552357" ref="A255:G295" totalsRowShown="0" headerRowDxfId="1393" dataDxfId="1391" headerRowBorderDxfId="1392" tableBorderDxfId="1390" headerRowCellStyle="Normal 2" dataCellStyle="Normal 2">
  <autoFilter ref="A255:G295" xr:uid="{03E23CBB-6A21-4545-8FB1-BB3681CBBC7C}"/>
  <sortState xmlns:xlrd2="http://schemas.microsoft.com/office/spreadsheetml/2017/richdata2" ref="A256:G295">
    <sortCondition descending="1" ref="G255:G295"/>
  </sortState>
  <tableColumns count="7">
    <tableColumn id="1" xr3:uid="{650037F2-A266-9745-8028-C155994E31CC}" name="Asesor" dataDxfId="1389" dataCellStyle="Normal 2"/>
    <tableColumn id="2" xr3:uid="{AA264C28-FBEA-E645-A57B-2B0333D76831}" name="Pólizas " dataDxfId="1388" dataCellStyle="Normal 2">
      <calculatedColumnFormula>SUM(Tabla9361730552357[[#This Row],[Vida]],Tabla9361730552357[[#This Row],[Gmm]])</calculatedColumnFormula>
    </tableColumn>
    <tableColumn id="3" xr3:uid="{647AE7B7-E88F-A84A-976D-31FA8F0A2E37}" name="Vida" dataDxfId="1387" dataCellStyle="Normal 2"/>
    <tableColumn id="4" xr3:uid="{0F2C790C-31C8-B449-986D-B30AF5EB7B6A}" name="Prima Recibo vida" dataDxfId="1386" dataCellStyle="Normal 2"/>
    <tableColumn id="5" xr3:uid="{B4E6C55D-4B60-5E48-99A4-E137D3F52806}" name="Gmm" dataDxfId="1385"/>
    <tableColumn id="6" xr3:uid="{8CBE9662-EAFC-9645-8D4F-A37CC680BD8F}" name="Prima Recibo gmm" dataDxfId="1384" dataCellStyle="Normal 2"/>
    <tableColumn id="7" xr3:uid="{A6135261-18EF-B14B-93C1-CC0D98C8D217}" name="Prima total" dataDxfId="1383">
      <calculatedColumnFormula>SUM(Tabla9361730552357[[#This Row],[Prima Recibo vida]],Tabla9361730552357[[#This Row],[Prima Recibo gmm]])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F4B8887-74E9-5847-8006-49BA6C450AE9}" name="Tabla936173055235763" displayName="Tabla936173055235763" ref="A303:G347" totalsRowShown="0" headerRowDxfId="1382" dataDxfId="1380" headerRowBorderDxfId="1381" tableBorderDxfId="1379" headerRowCellStyle="Normal 2" dataCellStyle="Normal 2">
  <autoFilter ref="A303:G347" xr:uid="{5A6BFC8F-2AFC-5744-85BC-8FDBDEC2CF24}"/>
  <sortState xmlns:xlrd2="http://schemas.microsoft.com/office/spreadsheetml/2017/richdata2" ref="A304:G347">
    <sortCondition descending="1" ref="G303:G347"/>
  </sortState>
  <tableColumns count="7">
    <tableColumn id="1" xr3:uid="{1EB3D9BC-B8CE-364D-A6EB-416972854B4B}" name="Asesor" dataDxfId="1378" dataCellStyle="Normal 2"/>
    <tableColumn id="2" xr3:uid="{C2E06B83-7862-FA45-8033-FDFED80E8DCB}" name="Pólizas " dataDxfId="1377" dataCellStyle="Normal 2">
      <calculatedColumnFormula>SUM(Tabla936173055235763[[#This Row],[Vida]],Tabla936173055235763[[#This Row],[Gmm]])</calculatedColumnFormula>
    </tableColumn>
    <tableColumn id="3" xr3:uid="{F19D16EC-B29C-9C48-BAE0-91B5FD41FCA6}" name="Vida" dataDxfId="1376" dataCellStyle="Normal 2"/>
    <tableColumn id="4" xr3:uid="{BC151964-D0FD-4945-AF61-9B5423DCA2DA}" name="Prima Recibo vida" dataDxfId="1375" dataCellStyle="Normal 2"/>
    <tableColumn id="5" xr3:uid="{6B9B138B-E95D-F547-85CA-9960F29CAEF4}" name="Gmm" dataDxfId="1374"/>
    <tableColumn id="6" xr3:uid="{E22E44E5-AC9F-1B44-AA87-F00B6B1AFC43}" name="Prima Recibo gmm" dataDxfId="1373" dataCellStyle="Normal 2"/>
    <tableColumn id="7" xr3:uid="{85D560D3-AFCA-CD4D-AC7C-BDE191C71EDF}" name="Prima total" dataDxfId="1372">
      <calculatedColumnFormula>SUM(Tabla936173055235763[[#This Row],[Prima Recibo vida]],Tabla936173055235763[[#This Row],[Prima Recibo gmm]])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767DDDD-B76F-E346-BAFB-3739A4B411D6}" name="Tabla93617305523576390" displayName="Tabla93617305523576390" ref="A354:G394" totalsRowShown="0" headerRowDxfId="1371" dataDxfId="1369" headerRowBorderDxfId="1370" tableBorderDxfId="1368" headerRowCellStyle="Normal 2" dataCellStyle="Normal 2">
  <autoFilter ref="A354:G394" xr:uid="{D7D38FB3-A539-E74B-8D2F-D557AA298B2A}"/>
  <sortState xmlns:xlrd2="http://schemas.microsoft.com/office/spreadsheetml/2017/richdata2" ref="A355:G394">
    <sortCondition descending="1" ref="G354:G394"/>
  </sortState>
  <tableColumns count="7">
    <tableColumn id="1" xr3:uid="{8F975C3A-C8EF-2B42-BC79-27D4C3E38765}" name="Asesor" dataDxfId="1367" dataCellStyle="Normal 2"/>
    <tableColumn id="2" xr3:uid="{7BAE6FCB-E2A0-004D-A567-E3A014C9FDA8}" name="Pólizas " dataDxfId="1366" dataCellStyle="Normal 2">
      <calculatedColumnFormula>SUM(Tabla93617305523576390[[#This Row],[Vida]],Tabla93617305523576390[[#This Row],[Gmm]])</calculatedColumnFormula>
    </tableColumn>
    <tableColumn id="3" xr3:uid="{BC9240D3-5BA7-E24D-B02F-AA6EAD4DD682}" name="Vida" dataDxfId="1365" dataCellStyle="Normal 2"/>
    <tableColumn id="4" xr3:uid="{82013B3E-534F-9042-A905-54484783053A}" name="Prima Recibo vida" dataDxfId="1364" dataCellStyle="Normal 2"/>
    <tableColumn id="5" xr3:uid="{6DC9AFA4-06E1-2D45-BFE3-B4A82C95B532}" name="Gmm" dataDxfId="1363"/>
    <tableColumn id="6" xr3:uid="{3BD0699F-1730-3641-A153-5100FF3F1969}" name="Prima Recibo gmm" dataDxfId="1362" dataCellStyle="Normal 2"/>
    <tableColumn id="7" xr3:uid="{82157A74-6553-7245-9589-BCFD64278E32}" name="Prima total" dataDxfId="1361">
      <calculatedColumnFormula>SUM(Tabla93617305523576390[[#This Row],[Prima Recibo vida]],Tabla93617305523576390[[#This Row],[Prima Recibo gmm]])</calculatedColumnFormula>
    </tableColumn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6FE7C3D-F8BD-6947-AC33-78BECB25C5A3}" name="Tabla9361730552357639093" displayName="Tabla9361730552357639093" ref="A412:G451" totalsRowShown="0" headerRowDxfId="1360" dataDxfId="1358" headerRowBorderDxfId="1359" tableBorderDxfId="1357" headerRowCellStyle="Normal 2" dataCellStyle="Normal 2">
  <autoFilter ref="A412:G451" xr:uid="{05B8BB73-0566-3244-ABDB-80C5E35168D7}"/>
  <sortState xmlns:xlrd2="http://schemas.microsoft.com/office/spreadsheetml/2017/richdata2" ref="A413:G451">
    <sortCondition descending="1" ref="G412:G451"/>
  </sortState>
  <tableColumns count="7">
    <tableColumn id="1" xr3:uid="{31A978F2-5098-924C-9D21-C72704638EDD}" name="Asesor" dataDxfId="1356" dataCellStyle="Normal 2"/>
    <tableColumn id="2" xr3:uid="{DA0BDFFA-0784-FA46-B2FE-1413B1193FED}" name="Pólizas " dataDxfId="1355" dataCellStyle="Normal 2">
      <calculatedColumnFormula>SUM(Tabla9361730552357639093[[#This Row],[Vida]],Tabla9361730552357639093[[#This Row],[Gmm]])</calculatedColumnFormula>
    </tableColumn>
    <tableColumn id="3" xr3:uid="{2626E897-62EC-D541-B538-94533604B15C}" name="Vida" dataDxfId="1354" dataCellStyle="Normal 2"/>
    <tableColumn id="4" xr3:uid="{EF113432-3AF4-6442-83F1-FA3A39C16C81}" name="Prima Pagada vida" dataDxfId="1353" dataCellStyle="Moneda"/>
    <tableColumn id="5" xr3:uid="{5724B943-FFC9-D641-84A1-81BEA6F8BCC6}" name="Gmm" dataDxfId="1352"/>
    <tableColumn id="6" xr3:uid="{ABC63A24-5565-EB41-B9C8-D18FCAE0051B}" name="Prima Pagada gmm" dataDxfId="1351" dataCellStyle="Moneda"/>
    <tableColumn id="7" xr3:uid="{3B82D185-CC10-344E-A2E2-1BB5796131A8}" name="Prima total" dataDxfId="1350">
      <calculatedColumnFormula>SUM(Tabla9361730552357639093[[#This Row],[Prima Pagada vida]],Tabla9361730552357639093[[#This Row],[Prima Pagada gmm]])</calculatedColumnFormula>
    </tableColumn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136A8DF-F0E9-674C-8AF9-572DA898EFB3}" name="Tabla936173055235763909354" displayName="Tabla936173055235763909354" ref="A464:G518" totalsRowShown="0" headerRowDxfId="1349" dataDxfId="1347" headerRowBorderDxfId="1348" tableBorderDxfId="1346" headerRowCellStyle="Normal 2" dataCellStyle="Normal 2">
  <autoFilter ref="A464:G518" xr:uid="{D0788BFF-C49F-7043-8B61-21D1B0EB2F4B}"/>
  <sortState xmlns:xlrd2="http://schemas.microsoft.com/office/spreadsheetml/2017/richdata2" ref="A465:G518">
    <sortCondition descending="1" ref="G464:G518"/>
  </sortState>
  <tableColumns count="7">
    <tableColumn id="1" xr3:uid="{5758FC17-990B-1C4E-B353-1C3787EAA0C6}" name="Asesor" dataDxfId="1345" dataCellStyle="Normal 2"/>
    <tableColumn id="2" xr3:uid="{23C2F39A-4357-7540-9B3B-26CE05B33284}" name="Pólizas " dataDxfId="1344" dataCellStyle="Normal 2">
      <calculatedColumnFormula>SUM(Tabla936173055235763909354[[#This Row],[Vida]],Tabla936173055235763909354[[#This Row],[Gmm]])</calculatedColumnFormula>
    </tableColumn>
    <tableColumn id="3" xr3:uid="{4D9A81C3-F694-E54B-AA45-091087E1A3E2}" name="Vida" dataDxfId="1343" dataCellStyle="Normal 2"/>
    <tableColumn id="4" xr3:uid="{CBFFA9C2-C564-BC44-9EC8-325D6B4DEEDA}" name="Prima Pagada vida" dataDxfId="1342" dataCellStyle="Moneda"/>
    <tableColumn id="5" xr3:uid="{97C6F4EF-DFE4-984D-B631-0E8A753757A3}" name="Gmm" dataDxfId="1341"/>
    <tableColumn id="6" xr3:uid="{3ADDC097-7874-2648-83B5-93E048D1395B}" name="Prima Pagada gmm" dataDxfId="1340" dataCellStyle="Moneda"/>
    <tableColumn id="7" xr3:uid="{E173D81C-EB67-D044-BE67-F3CDE049EA3A}" name="Prima total" dataDxfId="1339">
      <calculatedColumnFormula>SUM(Tabla936173055235763909354[[#This Row],[Prima Pagada vida]],Tabla936173055235763909354[[#This Row],[Prima Pagada gmm]])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90E139B-44F6-DD46-BAE9-BAECC66CC4B0}" name="Tabla93617305523576390935466" displayName="Tabla93617305523576390935466" ref="A529:G578" totalsRowShown="0" headerRowDxfId="1338" dataDxfId="1336" headerRowBorderDxfId="1337" tableBorderDxfId="1335" headerRowCellStyle="Normal 2" dataCellStyle="Normal 2">
  <autoFilter ref="A529:G578" xr:uid="{BEAD97A2-C00B-A94D-AFC2-4214C62AF99B}"/>
  <sortState xmlns:xlrd2="http://schemas.microsoft.com/office/spreadsheetml/2017/richdata2" ref="A530:G578">
    <sortCondition descending="1" ref="G529:G578"/>
  </sortState>
  <tableColumns count="7">
    <tableColumn id="1" xr3:uid="{8D43DD0C-353E-0244-888F-995CEEE9D036}" name="Asesor" dataDxfId="1334" dataCellStyle="Normal 2"/>
    <tableColumn id="2" xr3:uid="{29240702-5162-8D42-8939-F5DC2262E385}" name="Pólizas " dataDxfId="1333" dataCellStyle="Normal 2">
      <calculatedColumnFormula>SUM(Tabla93617305523576390935466[[#This Row],[Vida]],Tabla93617305523576390935466[[#This Row],[Gmm]])</calculatedColumnFormula>
    </tableColumn>
    <tableColumn id="3" xr3:uid="{20AC14E6-0E71-D44A-869F-097B6BCA6E3B}" name="Vida" dataDxfId="1332" dataCellStyle="Normal 2"/>
    <tableColumn id="4" xr3:uid="{E4526F90-2784-7143-9B2C-73095099BF73}" name="Prima Pagada vida" dataDxfId="1331" dataCellStyle="Moneda"/>
    <tableColumn id="5" xr3:uid="{BC91338F-BE94-6145-BDE6-E71A7A309846}" name="Gmm" dataDxfId="1330"/>
    <tableColumn id="6" xr3:uid="{8573D42E-CF9D-E944-A4D2-9929443A9EB9}" name="Prima Pagada gmm" dataDxfId="1329" dataCellStyle="Moneda"/>
    <tableColumn id="7" xr3:uid="{7655328E-C1C7-1C44-B9BC-6A16737D2CEE}" name="Prima total" dataDxfId="1328" dataCellStyle="Moneda">
      <calculatedColumnFormula>SUM(Tabla93617305523576390935466[[#This Row],[Prima Pagada vida]],Tabla93617305523576390935466[[#This Row],[Prima Pagada gmm]])</calculatedColumnFormula>
    </tableColumn>
  </tableColumns>
  <tableStyleInfo name="Estilo de tabla 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792191-480E-EE48-9B6C-A1BD024414FB}" name="Tabla9361730552357639093546634" displayName="Tabla9361730552357639093546634" ref="A586:G618" totalsRowShown="0" headerRowDxfId="1327" dataDxfId="1325" headerRowBorderDxfId="1326" tableBorderDxfId="1324" headerRowCellStyle="Normal 2" dataCellStyle="Normal 2">
  <autoFilter ref="A586:G618" xr:uid="{0CFC59E8-F5F2-8B40-AADC-2D3B3B468408}"/>
  <sortState xmlns:xlrd2="http://schemas.microsoft.com/office/spreadsheetml/2017/richdata2" ref="A587:G618">
    <sortCondition descending="1" ref="G586:G618"/>
  </sortState>
  <tableColumns count="7">
    <tableColumn id="1" xr3:uid="{C2368800-E123-8E41-8FE8-372551C4E454}" name="Asesor" dataDxfId="1323" dataCellStyle="Normal 2"/>
    <tableColumn id="2" xr3:uid="{DE727342-227E-1F4C-A7C7-89CC600A8493}" name="Pólizas " dataDxfId="1322" dataCellStyle="Normal 2">
      <calculatedColumnFormula>SUM(Tabla9361730552357639093546634[[#This Row],[Vida]],Tabla9361730552357639093546634[[#This Row],[Gmm]])</calculatedColumnFormula>
    </tableColumn>
    <tableColumn id="3" xr3:uid="{5E37463D-FFF2-864A-B304-39B976F01E37}" name="Vida" dataDxfId="1321" dataCellStyle="Normal 2"/>
    <tableColumn id="4" xr3:uid="{06411B40-8FFE-EE4F-B80F-A8B5CE82333D}" name="Prima Pagada vida" dataDxfId="1320" dataCellStyle="Moneda"/>
    <tableColumn id="5" xr3:uid="{C1AAF229-4A74-FB4D-B59D-A0549DE81C47}" name="Gmm" dataDxfId="1319">
      <calculatedColumnFormula>_xlfn.XLOOKUP(Tabla9361730552357639093546634[[#This Row],[Asesor]],[1]!Tabla48[Columna1],[1]!Tabla48[Columna2],0)</calculatedColumnFormula>
    </tableColumn>
    <tableColumn id="6" xr3:uid="{5F1760E6-476D-8B43-9BC7-250CF2D9C1BA}" name="Prima Pagada gmm" dataDxfId="1318" dataCellStyle="Moneda">
      <calculatedColumnFormula>_xlfn.XLOOKUP(Tabla9361730552357639093546634[[#This Row],[Asesor]],Tabla48[Columna1],Tabla48[Columna3],0)</calculatedColumnFormula>
    </tableColumn>
    <tableColumn id="7" xr3:uid="{D0BDC03B-AB12-8549-9603-CE3C44CCDCD2}" name="Prima total" dataDxfId="1317" dataCellStyle="Moneda">
      <calculatedColumnFormula>SUM(Tabla9361730552357639093546634[[#This Row],[Prima Pagada vida]],Tabla9361730552357639093546634[[#This Row],[Prima Pagada gmm]])</calculatedColumnFormula>
    </tableColumn>
  </tableColumns>
  <tableStyleInfo name="Estilo de tabla 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3D10B8F-76B2-294E-9B3C-8F7CE9C8F5C7}" name="Tabla48" displayName="Tabla48" ref="I587:K596" totalsRowShown="0">
  <autoFilter ref="I587:K596" xr:uid="{F38028FB-0D57-7B4C-AB26-22D26667CEFD}"/>
  <tableColumns count="3">
    <tableColumn id="1" xr3:uid="{555C9C8E-AE6C-5140-9626-F3DA3D2538E2}" name="Columna1" dataDxfId="1316"/>
    <tableColumn id="2" xr3:uid="{3FBC879A-2E06-524D-9580-09FB4162AA0E}" name="Columna2" dataDxfId="1315"/>
    <tableColumn id="3" xr3:uid="{B574ECFB-E985-604F-80E9-EA4236F7BB1C}" name="Columna3" dataDxfId="1314"/>
  </tableColumns>
  <tableStyleInfo name="Estilo de tabla 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BEE76A8-9D2E-CF4E-BACC-B7D3BFCD1569}" name="Tabla26" displayName="Tabla26" ref="I622:M656" totalsRowShown="0" headerRowDxfId="1313">
  <autoFilter ref="I622:M656" xr:uid="{73EA208B-3EC9-864A-B527-F6660079D7F1}"/>
  <tableColumns count="5">
    <tableColumn id="1" xr3:uid="{4E93E8E4-9F16-0440-A6A8-D520A15740D8}" name="ASESOR" dataDxfId="1312"/>
    <tableColumn id="2" xr3:uid="{0868CF34-DB86-AF40-8C9C-4B9FC1B0814F}" name="FRECUENCIA" dataDxfId="1311"/>
    <tableColumn id="3" xr3:uid="{388D336B-F801-254D-9D56-C43419B7BDB2}" name="RAMO" dataDxfId="1310"/>
    <tableColumn id="4" xr3:uid="{3A67DAF6-E322-7D40-9053-CC2A4E8AD162}" name="MONTO ANUAL" dataDxfId="1309"/>
    <tableColumn id="5" xr3:uid="{26E3723E-6195-7F42-BB89-6451B30C003C}" name="MONTO REAL" dataDxfId="1308">
      <calculatedColumnFormula array="1">L623/_xlfn.IFS(J623="MENSUAL",12,J623="TRIMESTRAL",4,J623="SEMESTRAL",2,J623="ANUAL",1)</calculatedColumnFormula>
    </tableColumn>
  </tableColumns>
  <tableStyleInfo name="Estilo de tabla 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A26BD2F-0BC4-094A-A56D-DFC8ACF06D65}" name="Tabla936173055235763909354663447" displayName="Tabla936173055235763909354663447" ref="A668:G702" totalsRowShown="0" headerRowDxfId="1307" dataDxfId="1305" headerRowBorderDxfId="1306" tableBorderDxfId="1304" headerRowCellStyle="Normal 2" dataCellStyle="Normal 2">
  <autoFilter ref="A668:G702" xr:uid="{F01E433A-519B-A646-A07B-350231F971AB}"/>
  <sortState xmlns:xlrd2="http://schemas.microsoft.com/office/spreadsheetml/2017/richdata2" ref="A669:G702">
    <sortCondition descending="1" ref="F668:F702"/>
  </sortState>
  <tableColumns count="7">
    <tableColumn id="1" xr3:uid="{903778FF-E076-5545-B605-662D4470DA38}" name="Asesor" dataDxfId="1303" dataCellStyle="Normal 2"/>
    <tableColumn id="2" xr3:uid="{4F23148A-40AF-B941-B4B5-417748755589}" name="Pólizas " dataDxfId="1302" dataCellStyle="Normal 2">
      <calculatedColumnFormula>SUM(Tabla936173055235763909354663447[[#This Row],[Vida]],Tabla936173055235763909354663447[[#This Row],[Gmm]])</calculatedColumnFormula>
    </tableColumn>
    <tableColumn id="3" xr3:uid="{6A9DD029-A590-FA43-9711-56B74CD59EF3}" name="Vida" dataDxfId="1301" dataCellStyle="Normal 2"/>
    <tableColumn id="4" xr3:uid="{0191996A-1AD8-6348-8FA2-5D1C95D0D070}" name="Prima Pagada vida" dataDxfId="1300" dataCellStyle="Moneda"/>
    <tableColumn id="5" xr3:uid="{26831695-DE57-E04A-818B-9A6AC34337B8}" name="Gmm" dataDxfId="1299">
      <calculatedColumnFormula>_xlfn.XLOOKUP(Tabla936173055235763909354663447[[#This Row],[Asesor]],[1]!Tabla48[Columna1],[1]!Tabla48[Columna2],0)</calculatedColumnFormula>
    </tableColumn>
    <tableColumn id="6" xr3:uid="{9A224F4C-88AB-764B-82AD-A893C838302F}" name="Prima Pagada gmm" dataDxfId="1298" dataCellStyle="Moneda">
      <calculatedColumnFormula>_xlfn.XLOOKUP(Tabla936173055235763909354663447[[#This Row],[Asesor]],[1]!Tabla4851[Columna1],[1]!Tabla4851[Columna3],0)</calculatedColumnFormula>
    </tableColumn>
    <tableColumn id="7" xr3:uid="{87F5689E-9B32-FC4E-A4E2-9B4D66EE741F}" name="Prima total" dataDxfId="1297" dataCellStyle="Moneda">
      <calculatedColumnFormula>SUM(Tabla936173055235763909354663447[[#This Row],[Prima Pagada vida]],Tabla936173055235763909354663447[[#This Row],[Prima Pagada gmm]])</calculatedColumnFormula>
    </tableColumn>
  </tableColumns>
  <tableStyleInfo name="Estilo de tabla 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7DD9BD7-3DD4-8841-98D6-C4F1D20FAB50}" name="Tabla4851" displayName="Tabla4851" ref="I669:K694" totalsRowShown="0">
  <autoFilter ref="I669:K694" xr:uid="{E02F794F-683A-F141-B4F7-2CF9FEF087B1}"/>
  <sortState xmlns:xlrd2="http://schemas.microsoft.com/office/spreadsheetml/2017/richdata2" ref="I670:K694">
    <sortCondition descending="1" ref="J669:J694"/>
  </sortState>
  <tableColumns count="3">
    <tableColumn id="1" xr3:uid="{008CB0B8-4E3A-F344-BBC1-D953E8A64CC2}" name="Columna1" dataDxfId="1296"/>
    <tableColumn id="2" xr3:uid="{1D644ED5-0554-064D-B644-782B93D4CB3F}" name="Columna2" dataDxfId="1295"/>
    <tableColumn id="3" xr3:uid="{F062424B-87C0-BE47-85D8-D6DE50449552}" name="Columna3" dataDxfId="1294"/>
  </tableColumns>
  <tableStyleInfo name="Estilo de tabla 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213DCB-4B2A-C045-AF3C-6F98FEF04E02}" name="Tabla2652" displayName="Tabla2652" ref="A709:E744" totalsRowShown="0" headerRowDxfId="1293">
  <autoFilter ref="A709:E744" xr:uid="{B40FF28E-AFC1-874F-9CB3-AC09592D1F97}"/>
  <tableColumns count="5">
    <tableColumn id="1" xr3:uid="{1938763E-ACE2-8040-A2E4-F628F0772339}" name="ASESOR" dataDxfId="1292"/>
    <tableColumn id="2" xr3:uid="{8CCB0E65-767B-7E46-89B5-45D1F1FD39BC}" name="FRECUENCIA" dataDxfId="1291"/>
    <tableColumn id="3" xr3:uid="{FC28A34A-861D-5944-BDA5-B938CBF508BE}" name="RAMO" dataDxfId="1290"/>
    <tableColumn id="4" xr3:uid="{11ED2793-4FFD-9647-A32A-5F83C52F2014}" name="MONTO ANUAL" dataDxfId="1289"/>
    <tableColumn id="5" xr3:uid="{99A6FE81-C60B-1F47-8A5B-0CCB40933873}" name="MONTO REAL" dataDxfId="1288">
      <calculatedColumnFormula array="1">D710/_xlfn.IFS(B710="MENSUAL",12,B710="TRIMESTRAL",4,B710="SEMESTRAL",2,B710="ANUAL",1)</calculatedColumnFormula>
    </tableColumn>
  </tableColumns>
  <tableStyleInfo name="Estilo de tabla 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5A800C8-6662-BA49-A22B-EB4630CDCF3A}" name="Tabla93617305523576390935466344773" displayName="Tabla93617305523576390935466344773" ref="A753:G799" totalsRowShown="0" headerRowDxfId="1287" dataDxfId="1285" headerRowBorderDxfId="1286" tableBorderDxfId="1284" headerRowCellStyle="Normal 2" dataCellStyle="Normal 2">
  <autoFilter ref="A753:G799" xr:uid="{576CA864-09A9-6744-8E53-EF1F12CB276F}"/>
  <sortState xmlns:xlrd2="http://schemas.microsoft.com/office/spreadsheetml/2017/richdata2" ref="A754:G787">
    <sortCondition descending="1" ref="F668:F702"/>
  </sortState>
  <tableColumns count="7">
    <tableColumn id="1" xr3:uid="{9882B17D-41CA-5548-859F-CD6CD4D24DC0}" name="Asesor" dataDxfId="1283" dataCellStyle="Normal 2"/>
    <tableColumn id="2" xr3:uid="{B5E7ECEA-5768-DD4C-BB69-524B371987E7}" name="Pólizas " dataDxfId="1282" dataCellStyle="Normal 2">
      <calculatedColumnFormula>SUM(Tabla93617305523576390935466344773[[#This Row],[Vida]],Tabla93617305523576390935466344773[[#This Row],[Gmm]])</calculatedColumnFormula>
    </tableColumn>
    <tableColumn id="3" xr3:uid="{A7BB7305-C329-1B45-BCAF-9B9E2B64D18F}" name="Vida" dataDxfId="1281" dataCellStyle="Normal 2"/>
    <tableColumn id="4" xr3:uid="{EC81E900-AB61-D543-8BCD-E976B5901AA3}" name="Prima Pagada vida" dataDxfId="1280" dataCellStyle="Moneda"/>
    <tableColumn id="5" xr3:uid="{AAD62FFA-A10D-AB4C-B76C-04C956BE21EC}" name="Gmm" dataDxfId="1279">
      <calculatedColumnFormula>_xlfn.XLOOKUP(Tabla93617305523576390935466344773[[#This Row],[Asesor]],Tabla485189[Columna1],Tabla485189[Columna12],0)</calculatedColumnFormula>
    </tableColumn>
    <tableColumn id="6" xr3:uid="{05BF5658-C11C-A741-8978-0D9C46E6A5CF}" name="Prima Pagada gmm" dataDxfId="1278" dataCellStyle="Moneda">
      <calculatedColumnFormula>_xlfn.XLOOKUP(Tabla93617305523576390935466344773[[#This Row],[Asesor]],Tabla485189[Columna1],Tabla485189[Columna3],0)</calculatedColumnFormula>
    </tableColumn>
    <tableColumn id="7" xr3:uid="{B87EB0B0-0995-E44B-8B7D-B696DB6A324E}" name="Prima total" dataDxfId="1277" dataCellStyle="Moneda">
      <calculatedColumnFormula>SUM(Tabla93617305523576390935466344773[[#This Row],[Prima Pagada vida]],Tabla93617305523576390935466344773[[#This Row],[Prima Pagada gmm]])</calculatedColumnFormula>
    </tableColumn>
  </tableColumns>
  <tableStyleInfo name="Estilo de tabla 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5DD02C-07DF-774B-A554-745E872A1AE8}" name="Tabla485189" displayName="Tabla485189" ref="I754:L779" totalsRowShown="0">
  <autoFilter ref="I754:L779" xr:uid="{ABB0BD87-ABDC-A94D-89B7-C7CD0609FDA7}"/>
  <sortState xmlns:xlrd2="http://schemas.microsoft.com/office/spreadsheetml/2017/richdata2" ref="I755:L779">
    <sortCondition descending="1" ref="K669:K694"/>
  </sortState>
  <tableColumns count="4">
    <tableColumn id="1" xr3:uid="{FF804543-4F46-DC4F-8B64-304ABC0176BD}" name="Columna1" dataDxfId="1276"/>
    <tableColumn id="4" xr3:uid="{FFDC07A5-0DF1-9E49-9522-1D37C5EE7D74}" name="Columna12" dataDxfId="1275">
      <calculatedColumnFormula>Tabla485189[[#This Row],[Columna2]]/2</calculatedColumnFormula>
    </tableColumn>
    <tableColumn id="2" xr3:uid="{823BF06A-A8B5-D141-93A8-728CA0816A14}" name="Columna2" dataDxfId="1274"/>
    <tableColumn id="3" xr3:uid="{6AA5E43A-FCC8-0642-8870-4D6A0077FCE0}" name="Columna3" dataDxfId="1273"/>
  </tableColumns>
  <tableStyleInfo name="Estilo de tabla 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0756506-A5AB-BA46-AAD5-1020B9C343C9}" name="Tabla265291" displayName="Tabla265291" ref="A806:E841" totalsRowShown="0" headerRowDxfId="1272">
  <autoFilter ref="A806:E841" xr:uid="{328D586A-D547-9F44-AE3F-746D14D24376}">
    <filterColumn colId="2">
      <filters>
        <filter val="GMM"/>
      </filters>
    </filterColumn>
  </autoFilter>
  <tableColumns count="5">
    <tableColumn id="1" xr3:uid="{338E2BB3-F265-2140-8DF8-B7B9FDAD2674}" name="ASESOR" dataDxfId="1271"/>
    <tableColumn id="2" xr3:uid="{8A4CD70C-1309-784C-9095-1BCA94F1FDDB}" name="FRECUENCIA" dataDxfId="1270"/>
    <tableColumn id="3" xr3:uid="{8D4C4A09-1CCB-0A48-81C5-2AA00DC37176}" name="RAMO" dataDxfId="1269"/>
    <tableColumn id="4" xr3:uid="{BF35250D-F0F0-2142-A4FE-CA639B50DD00}" name="MONTO ANUAL" dataDxfId="1268"/>
    <tableColumn id="5" xr3:uid="{42BBDF9F-19C2-1340-943A-CDA6CA1322E5}" name="MONTO REAL" dataDxfId="1267">
      <calculatedColumnFormula array="1">D807/_xlfn.IFS(B807="MENSUAL",12,B807="TRIMESTRAL",4,B807="SEMESTRAL",2,B807="ANUAL",1)</calculatedColumnFormula>
    </tableColumn>
  </tableColumns>
  <tableStyleInfo name="Estilo de tabla 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F8CB8A2D-35F6-B54A-8535-F1560C4438BD}" name="Tabla9361730552357639093546634477341" displayName="Tabla9361730552357639093546634477341" ref="A5:G51" totalsRowShown="0" headerRowDxfId="1266" dataDxfId="1264" headerRowBorderDxfId="1265" tableBorderDxfId="1263" headerRowCellStyle="Normal 2" dataCellStyle="Normal 2">
  <autoFilter ref="A5:G51" xr:uid="{576CA864-09A9-6744-8E53-EF1F12CB276F}"/>
  <tableColumns count="7">
    <tableColumn id="1" xr3:uid="{3CEFA6B7-4FB2-0D47-85AC-F619921CA5E0}" name="Asesor" dataDxfId="1262" dataCellStyle="Normal 2"/>
    <tableColumn id="2" xr3:uid="{0FD84028-9F81-3844-9B1C-19568DD63E73}" name="Pólizas " dataDxfId="1261" dataCellStyle="Normal 2">
      <calculatedColumnFormula>SUM(Tabla9361730552357639093546634477341[[#This Row],[Vida]],Tabla9361730552357639093546634477341[[#This Row],[Gmm]])</calculatedColumnFormula>
    </tableColumn>
    <tableColumn id="3" xr3:uid="{F8932B56-FFD7-FF4F-8C01-3358852470BB}" name="Vida" dataDxfId="1260" dataCellStyle="Normal 2"/>
    <tableColumn id="4" xr3:uid="{E619A0C8-207E-6545-87D1-D644F017B82A}" name="Prima Pagada vida" dataDxfId="1259" dataCellStyle="Moneda"/>
    <tableColumn id="5" xr3:uid="{054B2F28-C0AA-CA48-9F5A-D8F63E635F13}" name="Gmm" dataDxfId="1258">
      <calculatedColumnFormula>_xlfn.XLOOKUP(Tabla9361730552357639093546634477341[[#This Row],[Asesor]],Tabla48518942[Columna1],Tabla48518942[Columna12],0)</calculatedColumnFormula>
    </tableColumn>
    <tableColumn id="6" xr3:uid="{A222FAFA-CEC9-544B-AA83-226BB3B9C8E8}" name="Prima Pagada gmm" dataDxfId="1257" dataCellStyle="Moneda">
      <calculatedColumnFormula>_xlfn.XLOOKUP(Tabla9361730552357639093546634477341[[#This Row],[Asesor]],Tabla48518942[Columna1],Tabla48518942[Columna3],0)</calculatedColumnFormula>
    </tableColumn>
    <tableColumn id="7" xr3:uid="{CD2F478A-576D-2247-9210-42E92B5BC98D}" name="Prima total" dataDxfId="1256" dataCellStyle="Moneda">
      <calculatedColumnFormula>SUM(Tabla9361730552357639093546634477341[[#This Row],[Prima Pagada vida]],Tabla9361730552357639093546634477341[[#This Row],[Prima Pagada gmm]])</calculatedColumnFormula>
    </tableColumn>
  </tableColumns>
  <tableStyleInfo name="Estilo de tabla 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9B7EFD4C-488E-7144-8917-403D3B32A688}" name="Tabla48518942" displayName="Tabla48518942" ref="I6:L31" totalsRowShown="0">
  <autoFilter ref="I6:L31" xr:uid="{ABB0BD87-ABDC-A94D-89B7-C7CD0609FDA7}"/>
  <tableColumns count="4">
    <tableColumn id="1" xr3:uid="{F6C8E992-001E-524A-9888-0368DE6347D7}" name="Columna1" dataDxfId="1255"/>
    <tableColumn id="4" xr3:uid="{B5AB7A89-E6F5-0949-A325-6D12B7819C6C}" name="Columna12" dataDxfId="1254">
      <calculatedColumnFormula>Tabla48518942[[#This Row],[Columna2]]/2</calculatedColumnFormula>
    </tableColumn>
    <tableColumn id="2" xr3:uid="{E9EAF918-7EEC-CE41-A893-7A5D3C5620BA}" name="Columna2" dataDxfId="1253"/>
    <tableColumn id="3" xr3:uid="{24A228AD-1BC6-A648-A3F1-EDF4AA33901C}" name="Columna3" dataDxfId="1252"/>
  </tableColumns>
  <tableStyleInfo name="Estilo de tabla 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C3A157E-BAAA-A04E-985B-F6B21DBEFB02}" name="Tabla26529143" displayName="Tabla26529143" ref="A58:E92" totalsRowShown="0" headerRowDxfId="1251">
  <autoFilter ref="A58:E92" xr:uid="{328D586A-D547-9F44-AE3F-746D14D24376}"/>
  <tableColumns count="5">
    <tableColumn id="1" xr3:uid="{7DB2C0E0-F054-3447-AE3E-AC909E9B45B3}" name="ASESOR" dataDxfId="1250"/>
    <tableColumn id="2" xr3:uid="{D6BAECA3-70D0-8345-A74F-FB844F060630}" name="FRECUENCIA" dataDxfId="1249"/>
    <tableColumn id="3" xr3:uid="{84A9D40B-B010-B64E-81C6-8B962DB529F2}" name="RAMO" dataDxfId="1248"/>
    <tableColumn id="4" xr3:uid="{B9FFD898-FB3D-4440-82F6-15B02A9E11F3}" name="MONTO ANUAL" dataDxfId="1247"/>
    <tableColumn id="5" xr3:uid="{624E31BC-2C8D-054C-9D30-D59507A26418}" name="MONTO REAL" dataDxfId="1246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3E5112F-FBB4-184D-8F63-BCC7EBDC0270}" name="Tabla936173055235763909354663447734123" displayName="Tabla936173055235763909354663447734123" ref="A5:G51" totalsRowShown="0" headerRowDxfId="1245" dataDxfId="1243" headerRowBorderDxfId="1244" tableBorderDxfId="1242" headerRowCellStyle="Normal 2" dataCellStyle="Normal 2">
  <autoFilter ref="A5:G51" xr:uid="{576CA864-09A9-6744-8E53-EF1F12CB276F}"/>
  <sortState xmlns:xlrd2="http://schemas.microsoft.com/office/spreadsheetml/2017/richdata2" ref="A6:G51">
    <sortCondition descending="1" ref="F5:F51"/>
  </sortState>
  <tableColumns count="7">
    <tableColumn id="1" xr3:uid="{0FCAB76E-1996-F949-BB39-1184518F18AD}" name="Asesor" dataDxfId="1241" dataCellStyle="Normal 2"/>
    <tableColumn id="2" xr3:uid="{DDE1555C-3C86-0B47-882B-442883C39E69}" name="Pólizas " dataDxfId="1240" dataCellStyle="Normal 2">
      <calculatedColumnFormula>SUM(Tabla936173055235763909354663447734123[[#This Row],[Vida]],Tabla936173055235763909354663447734123[[#This Row],[Gmm]])</calculatedColumnFormula>
    </tableColumn>
    <tableColumn id="3" xr3:uid="{AE4FD4CB-87C0-B540-8064-E983E5F7EB3C}" name="Vida" dataDxfId="1239" dataCellStyle="Normal 2"/>
    <tableColumn id="4" xr3:uid="{C07B35AB-B8B2-004E-81A7-4CB0F4127606}" name="Prima Pagada vida" dataDxfId="1238" dataCellStyle="Moneda"/>
    <tableColumn id="5" xr3:uid="{06AD6703-2E02-E14E-B5CD-E06581921BFE}" name="Gmm" dataDxfId="1237">
      <calculatedColumnFormula>_xlfn.XLOOKUP(Tabla936173055235763909354663447734123[[#This Row],[Asesor]],Tabla4851894224[Columna1],Tabla4851894224[Columna12],0)</calculatedColumnFormula>
    </tableColumn>
    <tableColumn id="6" xr3:uid="{E56057F5-7AF3-4043-9E10-F460898B481C}" name="Prima Pagada gmm" dataDxfId="1236" dataCellStyle="Moneda">
      <calculatedColumnFormula>_xlfn.XLOOKUP(Tabla936173055235763909354663447734123[[#This Row],[Asesor]],Tabla4851894224[Columna1],Tabla4851894224[Columna3],0)</calculatedColumnFormula>
    </tableColumn>
    <tableColumn id="7" xr3:uid="{82428B37-8A55-1A4A-8ADA-F280BEF61B1D}" name="Prima total" dataDxfId="1235" dataCellStyle="Moneda">
      <calculatedColumnFormula>SUM(Tabla936173055235763909354663447734123[[#This Row],[Prima Pagada vida]],Tabla936173055235763909354663447734123[[#This Row],[Prima Pagada gmm]])</calculatedColumnFormula>
    </tableColumn>
  </tableColumns>
  <tableStyleInfo name="Estilo de tabla 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C44EBCC-2050-C045-A9E5-255BD45CC4C7}" name="Tabla4851894224" displayName="Tabla4851894224" ref="I6:L31" totalsRowShown="0">
  <autoFilter ref="I6:L31" xr:uid="{ABB0BD87-ABDC-A94D-89B7-C7CD0609FDA7}"/>
  <tableColumns count="4">
    <tableColumn id="1" xr3:uid="{E921D47D-81A4-9D45-AB76-A84C9F943B01}" name="Columna1" dataDxfId="1234"/>
    <tableColumn id="4" xr3:uid="{A27DFCE3-27E1-8741-B85B-709F257C95C4}" name="Columna12" dataDxfId="1233">
      <calculatedColumnFormula>Tabla4851894224[[#This Row],[Columna2]]/2</calculatedColumnFormula>
    </tableColumn>
    <tableColumn id="2" xr3:uid="{D6F72B3B-6B14-B940-BFA9-AD0181B13383}" name="Columna2" dataDxfId="1232"/>
    <tableColumn id="3" xr3:uid="{8D900369-2129-A84C-A44E-D4B9DA4101D3}" name="Columna3" dataDxfId="1231"/>
  </tableColumns>
  <tableStyleInfo name="Estilo de tabla 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474D39B-1B5A-7445-9ADC-801A1E6194E7}" name="Tabla2652914325" displayName="Tabla2652914325" ref="A58:E105" totalsRowShown="0" headerRowDxfId="1230">
  <autoFilter ref="A58:E105" xr:uid="{328D586A-D547-9F44-AE3F-746D14D24376}">
    <filterColumn colId="0">
      <filters>
        <filter val="MONICA ANDREA AMBRIZ GOMEZ 87538"/>
      </filters>
    </filterColumn>
  </autoFilter>
  <tableColumns count="5">
    <tableColumn id="1" xr3:uid="{2189AF56-95DE-D94A-ACD3-1A2E4012A97F}" name="ASESOR" dataDxfId="1229"/>
    <tableColumn id="2" xr3:uid="{A56184F9-9F87-A841-915F-29476E1F734D}" name="FRECUENCIA" dataDxfId="1228"/>
    <tableColumn id="3" xr3:uid="{D0A5AC08-F446-584F-A959-2F861F09CE37}" name="RAMO" dataDxfId="1227"/>
    <tableColumn id="4" xr3:uid="{EBB03215-617C-2A44-9C23-246E7430AC06}" name="MONTO ANUAL" dataDxfId="1226"/>
    <tableColumn id="5" xr3:uid="{30CD4120-3DA5-4F42-8F87-537C1030116E}" name="MONTO REAL" dataDxfId="1225">
      <calculatedColumnFormula array="1">D59/_xlfn.IFS(B59="MENSUAL",12,B59="TRIMESTRAL",4,B59="SEMESTRAL",2,B59="ANUAL",1)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" Type="http://schemas.openxmlformats.org/officeDocument/2006/relationships/drawing" Target="../drawings/drawing1.x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table" Target="../tables/table21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5FE60-0572-D747-B6E6-7B86C4406C5C}">
  <dimension ref="A1:XFD841"/>
  <sheetViews>
    <sheetView showGridLines="0" topLeftCell="A854" zoomScale="75" zoomScaleNormal="131" workbookViewId="0">
      <selection activeCell="A752" sqref="A752:H800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1" spans="1:8" ht="42" customHeight="1" x14ac:dyDescent="0.15">
      <c r="A1" s="320" t="s">
        <v>0</v>
      </c>
      <c r="B1" s="320"/>
      <c r="C1" s="320"/>
      <c r="D1" s="320"/>
      <c r="E1" s="320"/>
      <c r="F1" s="320"/>
      <c r="G1" s="320"/>
      <c r="H1" s="320"/>
    </row>
    <row r="2" spans="1:8" ht="14" x14ac:dyDescent="0.15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 t="s">
        <v>7</v>
      </c>
      <c r="H2" s="3" t="s">
        <v>8</v>
      </c>
    </row>
    <row r="3" spans="1:8" ht="13" x14ac:dyDescent="0.15">
      <c r="A3" s="7" t="s">
        <v>9</v>
      </c>
      <c r="B3" s="8">
        <f>SUM(Tabla9[[#This Row],[Vida]],Tabla9[[#This Row],[Gmm]])</f>
        <v>7.5</v>
      </c>
      <c r="C3" s="9">
        <v>5</v>
      </c>
      <c r="D3" s="10">
        <v>296401.15000000002</v>
      </c>
      <c r="E3" s="9">
        <v>2.5</v>
      </c>
      <c r="F3" s="10">
        <v>39751.589999999997</v>
      </c>
      <c r="G3" s="11">
        <f>SUM(Tabla9[[#This Row],[Prima vida]],Tabla9[[#This Row],[Prima gmm]])</f>
        <v>336152.74</v>
      </c>
      <c r="H3" s="12"/>
    </row>
    <row r="4" spans="1:8" ht="13" x14ac:dyDescent="0.15">
      <c r="A4" s="7" t="s">
        <v>10</v>
      </c>
      <c r="B4" s="8">
        <f>SUM(Tabla9[[#This Row],[Vida]],Tabla9[[#This Row],[Gmm]])</f>
        <v>5</v>
      </c>
      <c r="C4" s="9">
        <v>5</v>
      </c>
      <c r="D4" s="10">
        <v>232195.61</v>
      </c>
      <c r="E4" s="13"/>
      <c r="F4" s="14"/>
      <c r="G4" s="11">
        <f>SUM(Tabla9[[#This Row],[Prima vida]],Tabla9[[#This Row],[Prima gmm]])</f>
        <v>232195.61</v>
      </c>
      <c r="H4" s="12"/>
    </row>
    <row r="5" spans="1:8" ht="13" x14ac:dyDescent="0.15">
      <c r="A5" s="7" t="s">
        <v>11</v>
      </c>
      <c r="B5" s="15">
        <f>SUM(Tabla9[[#This Row],[Vida]],Tabla9[[#This Row],[Gmm]])</f>
        <v>4</v>
      </c>
      <c r="C5" s="9">
        <v>4</v>
      </c>
      <c r="D5" s="10">
        <v>88263.09</v>
      </c>
      <c r="E5" s="16"/>
      <c r="F5" s="14"/>
      <c r="G5" s="11">
        <f>SUM(Tabla9[[#This Row],[Prima vida]],Tabla9[[#This Row],[Prima gmm]])</f>
        <v>88263.09</v>
      </c>
      <c r="H5" s="12"/>
    </row>
    <row r="6" spans="1:8" ht="13" x14ac:dyDescent="0.15">
      <c r="A6" s="7" t="s">
        <v>12</v>
      </c>
      <c r="B6" s="15">
        <f>SUM(Tabla9[[#This Row],[Vida]],Tabla9[[#This Row],[Gmm]])</f>
        <v>5.5</v>
      </c>
      <c r="C6" s="9">
        <v>5</v>
      </c>
      <c r="D6" s="10">
        <v>74510.95</v>
      </c>
      <c r="E6" s="9">
        <v>0.5</v>
      </c>
      <c r="F6" s="10">
        <v>6585.66</v>
      </c>
      <c r="G6" s="11">
        <f>SUM(Tabla9[[#This Row],[Prima vida]],Tabla9[[#This Row],[Prima gmm]])</f>
        <v>81096.61</v>
      </c>
      <c r="H6" s="12"/>
    </row>
    <row r="7" spans="1:8" ht="13" x14ac:dyDescent="0.15">
      <c r="A7" s="7" t="s">
        <v>13</v>
      </c>
      <c r="B7" s="15">
        <f>SUM(Tabla9[[#This Row],[Vida]],Tabla9[[#This Row],[Gmm]])</f>
        <v>4.5</v>
      </c>
      <c r="C7" s="9">
        <v>2</v>
      </c>
      <c r="D7" s="10">
        <v>2448.02</v>
      </c>
      <c r="E7" s="9">
        <v>2.5</v>
      </c>
      <c r="F7" s="10">
        <v>52227.519999999997</v>
      </c>
      <c r="G7" s="11">
        <f>SUM(Tabla9[[#This Row],[Prima vida]],Tabla9[[#This Row],[Prima gmm]])</f>
        <v>54675.539999999994</v>
      </c>
      <c r="H7" s="12"/>
    </row>
    <row r="8" spans="1:8" ht="13" x14ac:dyDescent="0.15">
      <c r="A8" s="7" t="s">
        <v>14</v>
      </c>
      <c r="B8" s="17">
        <f>SUM(Tabla9[[#This Row],[Vida]],Tabla9[[#This Row],[Gmm]])</f>
        <v>2</v>
      </c>
      <c r="C8" s="18">
        <v>2</v>
      </c>
      <c r="D8" s="19">
        <v>33754.29</v>
      </c>
      <c r="E8" s="20"/>
      <c r="F8" s="21"/>
      <c r="G8" s="22">
        <f>SUM(Tabla9[[#This Row],[Prima vida]],Tabla9[[#This Row],[Prima gmm]])</f>
        <v>33754.29</v>
      </c>
      <c r="H8" s="12"/>
    </row>
    <row r="9" spans="1:8" ht="13" x14ac:dyDescent="0.15">
      <c r="A9" s="7" t="s">
        <v>15</v>
      </c>
      <c r="B9" s="17">
        <f>SUM(Tabla9[[#This Row],[Vida]],Tabla9[[#This Row],[Gmm]])</f>
        <v>2.5</v>
      </c>
      <c r="C9" s="18">
        <v>2</v>
      </c>
      <c r="D9" s="19">
        <v>13863.25</v>
      </c>
      <c r="E9" s="18">
        <v>0.5</v>
      </c>
      <c r="F9" s="19">
        <v>19274.75</v>
      </c>
      <c r="G9" s="22">
        <f>SUM(Tabla9[[#This Row],[Prima vida]],Tabla9[[#This Row],[Prima gmm]])</f>
        <v>33138</v>
      </c>
      <c r="H9" s="12"/>
    </row>
    <row r="10" spans="1:8" ht="13" x14ac:dyDescent="0.15">
      <c r="A10" s="7" t="s">
        <v>16</v>
      </c>
      <c r="B10" s="17">
        <f>SUM(Tabla9[[#This Row],[Vida]],Tabla9[[#This Row],[Gmm]])</f>
        <v>2</v>
      </c>
      <c r="C10" s="18">
        <v>2</v>
      </c>
      <c r="D10" s="19">
        <v>27504.29</v>
      </c>
      <c r="E10" s="20"/>
      <c r="F10" s="21"/>
      <c r="G10" s="22">
        <f>SUM(Tabla9[[#This Row],[Prima vida]],Tabla9[[#This Row],[Prima gmm]])</f>
        <v>27504.29</v>
      </c>
      <c r="H10" s="12"/>
    </row>
    <row r="11" spans="1:8" ht="13" x14ac:dyDescent="0.15">
      <c r="A11" s="7" t="s">
        <v>17</v>
      </c>
      <c r="B11" s="17">
        <f>SUM(Tabla9[[#This Row],[Vida]],Tabla9[[#This Row],[Gmm]])</f>
        <v>1.5</v>
      </c>
      <c r="C11" s="18">
        <v>1</v>
      </c>
      <c r="D11" s="19">
        <v>1604.8</v>
      </c>
      <c r="E11" s="18">
        <v>0.5</v>
      </c>
      <c r="F11" s="19">
        <v>22081.86</v>
      </c>
      <c r="G11" s="22">
        <f>SUM(Tabla9[[#This Row],[Prima vida]],Tabla9[[#This Row],[Prima gmm]])</f>
        <v>23686.66</v>
      </c>
      <c r="H11" s="12"/>
    </row>
    <row r="12" spans="1:8" ht="13" x14ac:dyDescent="0.15">
      <c r="A12" s="7" t="s">
        <v>18</v>
      </c>
      <c r="B12" s="17">
        <f>SUM(Tabla9[[#This Row],[Vida]],Tabla9[[#This Row],[Gmm]])</f>
        <v>0.5</v>
      </c>
      <c r="C12" s="18">
        <v>0</v>
      </c>
      <c r="D12" s="19">
        <v>0</v>
      </c>
      <c r="E12" s="18">
        <v>0.5</v>
      </c>
      <c r="F12" s="19">
        <v>21005.83</v>
      </c>
      <c r="G12" s="22">
        <f>SUM(Tabla9[[#This Row],[Prima vida]],Tabla9[[#This Row],[Prima gmm]])</f>
        <v>21005.83</v>
      </c>
      <c r="H12" s="12"/>
    </row>
    <row r="13" spans="1:8" x14ac:dyDescent="0.15">
      <c r="A13" s="7" t="s">
        <v>19</v>
      </c>
      <c r="B13" s="23">
        <f>SUM(Tabla9[[#This Row],[Vida]],Tabla9[[#This Row],[Gmm]])</f>
        <v>0.5</v>
      </c>
      <c r="C13" s="24"/>
      <c r="D13" s="25"/>
      <c r="E13" s="18">
        <v>0.5</v>
      </c>
      <c r="F13" s="19">
        <v>17118.91</v>
      </c>
      <c r="G13" s="26">
        <f>SUM(Tabla9[[#This Row],[Prima vida]],Tabla9[[#This Row],[Prima gmm]])</f>
        <v>17118.91</v>
      </c>
      <c r="H13" s="12"/>
    </row>
    <row r="14" spans="1:8" ht="13" x14ac:dyDescent="0.15">
      <c r="A14" s="7" t="s">
        <v>20</v>
      </c>
      <c r="B14" s="17">
        <f>SUM(Tabla9[[#This Row],[Vida]],Tabla9[[#This Row],[Gmm]])</f>
        <v>1.5</v>
      </c>
      <c r="C14" s="18">
        <v>1</v>
      </c>
      <c r="D14" s="19">
        <v>12328.19</v>
      </c>
      <c r="E14" s="18">
        <v>0.5</v>
      </c>
      <c r="F14" s="19">
        <v>2160.37</v>
      </c>
      <c r="G14" s="22">
        <f>SUM(Tabla9[[#This Row],[Prima vida]],Tabla9[[#This Row],[Prima gmm]])</f>
        <v>14488.560000000001</v>
      </c>
      <c r="H14" s="12"/>
    </row>
    <row r="15" spans="1:8" ht="13" x14ac:dyDescent="0.15">
      <c r="A15" s="7" t="s">
        <v>21</v>
      </c>
      <c r="B15" s="17">
        <f>SUM(Tabla9[[#This Row],[Vida]],Tabla9[[#This Row],[Gmm]])</f>
        <v>0.5</v>
      </c>
      <c r="C15" s="18">
        <v>0</v>
      </c>
      <c r="D15" s="19">
        <v>0</v>
      </c>
      <c r="E15" s="18">
        <v>0.5</v>
      </c>
      <c r="F15" s="19">
        <v>12912.28</v>
      </c>
      <c r="G15" s="22">
        <f>SUM(Tabla9[[#This Row],[Prima vida]],Tabla9[[#This Row],[Prima gmm]])</f>
        <v>12912.28</v>
      </c>
      <c r="H15" s="12"/>
    </row>
    <row r="16" spans="1:8" ht="13" x14ac:dyDescent="0.15">
      <c r="A16" s="7" t="s">
        <v>22</v>
      </c>
      <c r="B16" s="17">
        <f>SUM(Tabla9[[#This Row],[Vida]],Tabla9[[#This Row],[Gmm]])</f>
        <v>0.5</v>
      </c>
      <c r="C16" s="18">
        <v>0</v>
      </c>
      <c r="D16" s="19">
        <v>0</v>
      </c>
      <c r="E16" s="18">
        <v>0.5</v>
      </c>
      <c r="F16" s="19">
        <v>12912.28</v>
      </c>
      <c r="G16" s="22">
        <f>SUM(Tabla9[[#This Row],[Prima vida]],Tabla9[[#This Row],[Prima gmm]])</f>
        <v>12912.28</v>
      </c>
      <c r="H16" s="12"/>
    </row>
    <row r="17" spans="1:8" ht="13" x14ac:dyDescent="0.15">
      <c r="A17" s="7" t="s">
        <v>23</v>
      </c>
      <c r="B17" s="17">
        <f>SUM(Tabla9[[#This Row],[Vida]],Tabla9[[#This Row],[Gmm]])</f>
        <v>1</v>
      </c>
      <c r="C17" s="18">
        <v>1</v>
      </c>
      <c r="D17" s="19">
        <v>9612.49</v>
      </c>
      <c r="E17" s="20"/>
      <c r="F17" s="21"/>
      <c r="G17" s="22">
        <f>SUM(Tabla9[[#This Row],[Prima vida]],Tabla9[[#This Row],[Prima gmm]])</f>
        <v>9612.49</v>
      </c>
      <c r="H17" s="12"/>
    </row>
    <row r="18" spans="1:8" ht="13" x14ac:dyDescent="0.15">
      <c r="A18" s="7" t="s">
        <v>24</v>
      </c>
      <c r="B18" s="23">
        <f>SUM(Tabla9[[#This Row],[Vida]],Tabla9[[#This Row],[Gmm]])</f>
        <v>1</v>
      </c>
      <c r="C18" s="18">
        <v>1</v>
      </c>
      <c r="D18" s="19">
        <v>6309.57</v>
      </c>
      <c r="E18" s="20"/>
      <c r="F18" s="21"/>
      <c r="G18" s="22">
        <f>SUM(Tabla9[[#This Row],[Prima vida]],Tabla9[[#This Row],[Prima gmm]])</f>
        <v>6309.57</v>
      </c>
      <c r="H18" s="12"/>
    </row>
    <row r="19" spans="1:8" ht="13" x14ac:dyDescent="0.15">
      <c r="A19" s="7" t="s">
        <v>25</v>
      </c>
      <c r="B19" s="17">
        <f>SUM(Tabla9[[#This Row],[Vida]],Tabla9[[#This Row],[Gmm]])</f>
        <v>2</v>
      </c>
      <c r="C19" s="18">
        <v>2</v>
      </c>
      <c r="D19" s="19">
        <v>5817.46</v>
      </c>
      <c r="E19" s="20"/>
      <c r="F19" s="21"/>
      <c r="G19" s="22">
        <f>SUM(Tabla9[[#This Row],[Prima vida]],Tabla9[[#This Row],[Prima gmm]])</f>
        <v>5817.46</v>
      </c>
      <c r="H19" s="12"/>
    </row>
    <row r="20" spans="1:8" x14ac:dyDescent="0.15">
      <c r="A20" s="7" t="s">
        <v>26</v>
      </c>
      <c r="B20" s="17">
        <f>SUM(Tabla9[[#This Row],[Vida]],Tabla9[[#This Row],[Gmm]])</f>
        <v>0.5</v>
      </c>
      <c r="C20" s="18">
        <v>0</v>
      </c>
      <c r="D20" s="19">
        <v>0</v>
      </c>
      <c r="E20" s="18">
        <v>0.5</v>
      </c>
      <c r="F20" s="19">
        <v>5080.8</v>
      </c>
      <c r="G20" s="26">
        <f>SUM(Tabla9[[#This Row],[Prima vida]],Tabla9[[#This Row],[Prima gmm]])</f>
        <v>5080.8</v>
      </c>
      <c r="H20" s="12"/>
    </row>
    <row r="21" spans="1:8" ht="13" x14ac:dyDescent="0.15">
      <c r="A21" s="7" t="s">
        <v>27</v>
      </c>
      <c r="B21" s="17">
        <f>SUM(Tabla9[[#This Row],[Vida]],Tabla9[[#This Row],[Gmm]])</f>
        <v>2</v>
      </c>
      <c r="C21" s="18">
        <v>2</v>
      </c>
      <c r="D21" s="19">
        <v>2835.76</v>
      </c>
      <c r="E21" s="20"/>
      <c r="F21" s="21"/>
      <c r="G21" s="22">
        <f>SUM(Tabla9[[#This Row],[Prima vida]],Tabla9[[#This Row],[Prima gmm]])</f>
        <v>2835.76</v>
      </c>
      <c r="H21" s="12"/>
    </row>
    <row r="22" spans="1:8" ht="13" x14ac:dyDescent="0.15">
      <c r="A22" s="7" t="s">
        <v>28</v>
      </c>
      <c r="B22" s="17">
        <f>SUM(Tabla9[[#This Row],[Vida]],Tabla9[[#This Row],[Gmm]])</f>
        <v>1</v>
      </c>
      <c r="C22" s="18">
        <v>1</v>
      </c>
      <c r="D22" s="19">
        <v>2408.08</v>
      </c>
      <c r="E22" s="20"/>
      <c r="F22" s="21"/>
      <c r="G22" s="22">
        <f>SUM(Tabla9[[#This Row],[Prima vida]],Tabla9[[#This Row],[Prima gmm]])</f>
        <v>2408.08</v>
      </c>
      <c r="H22" s="12"/>
    </row>
    <row r="23" spans="1:8" x14ac:dyDescent="0.15">
      <c r="A23" s="7" t="s">
        <v>29</v>
      </c>
      <c r="B23" s="17">
        <f>SUM(Tabla9[[#This Row],[Vida]],Tabla9[[#This Row],[Gmm]])</f>
        <v>0.5</v>
      </c>
      <c r="C23" s="18">
        <v>0</v>
      </c>
      <c r="D23" s="19">
        <v>0</v>
      </c>
      <c r="E23" s="18">
        <v>0.5</v>
      </c>
      <c r="F23" s="19">
        <v>1117.5</v>
      </c>
      <c r="G23" s="26">
        <f>SUM(Tabla9[[#This Row],[Prima vida]],Tabla9[[#This Row],[Prima gmm]])</f>
        <v>1117.5</v>
      </c>
      <c r="H23" s="12"/>
    </row>
    <row r="24" spans="1:8" ht="13" x14ac:dyDescent="0.15">
      <c r="A24" s="7" t="s">
        <v>30</v>
      </c>
      <c r="B24" s="17">
        <f>SUM(Tabla9[[#This Row],[Vida]],Tabla9[[#This Row],[Gmm]])</f>
        <v>2</v>
      </c>
      <c r="C24" s="18">
        <v>2</v>
      </c>
      <c r="D24" s="19">
        <v>732.62</v>
      </c>
      <c r="E24" s="20"/>
      <c r="F24" s="21"/>
      <c r="G24" s="22">
        <f>SUM(Tabla9[[#This Row],[Prima vida]],Tabla9[[#This Row],[Prima gmm]])</f>
        <v>732.62</v>
      </c>
      <c r="H24" s="12"/>
    </row>
    <row r="25" spans="1:8" ht="13" x14ac:dyDescent="0.15">
      <c r="A25" s="7" t="s">
        <v>31</v>
      </c>
      <c r="B25" s="27">
        <f>SUM(Tabla9[[#This Row],[Vida]],Tabla9[[#This Row],[Gmm]])</f>
        <v>0</v>
      </c>
      <c r="C25" s="28">
        <v>0</v>
      </c>
      <c r="D25" s="29">
        <v>0</v>
      </c>
      <c r="E25" s="30"/>
      <c r="F25" s="31"/>
      <c r="G25" s="32">
        <f>SUM(Tabla9[[#This Row],[Prima vida]],Tabla9[[#This Row],[Prima gmm]])</f>
        <v>0</v>
      </c>
      <c r="H25" s="12"/>
    </row>
    <row r="26" spans="1:8" ht="13" x14ac:dyDescent="0.15">
      <c r="A26" s="7" t="s">
        <v>32</v>
      </c>
      <c r="B26" s="27">
        <f>SUM(Tabla9[[#This Row],[Vida]],Tabla9[[#This Row],[Gmm]])</f>
        <v>0</v>
      </c>
      <c r="C26" s="28">
        <v>0</v>
      </c>
      <c r="D26" s="29">
        <v>0</v>
      </c>
      <c r="E26" s="30"/>
      <c r="F26" s="31"/>
      <c r="G26" s="32">
        <f>SUM(Tabla9[[#This Row],[Prima vida]],Tabla9[[#This Row],[Prima gmm]])</f>
        <v>0</v>
      </c>
      <c r="H26" s="12"/>
    </row>
    <row r="27" spans="1:8" ht="13" x14ac:dyDescent="0.15">
      <c r="A27" s="7" t="s">
        <v>33</v>
      </c>
      <c r="B27" s="27">
        <f>SUM(Tabla9[[#This Row],[Vida]],Tabla9[[#This Row],[Gmm]])</f>
        <v>0</v>
      </c>
      <c r="C27" s="28">
        <v>0</v>
      </c>
      <c r="D27" s="29">
        <v>0</v>
      </c>
      <c r="E27" s="30"/>
      <c r="F27" s="31"/>
      <c r="G27" s="32">
        <f>SUM(Tabla9[[#This Row],[Prima vida]],Tabla9[[#This Row],[Prima gmm]])</f>
        <v>0</v>
      </c>
      <c r="H27" s="12"/>
    </row>
    <row r="28" spans="1:8" ht="13" x14ac:dyDescent="0.15">
      <c r="A28" s="7" t="s">
        <v>34</v>
      </c>
      <c r="B28" s="27">
        <f>SUM(Tabla9[[#This Row],[Vida]],Tabla9[[#This Row],[Gmm]])</f>
        <v>0</v>
      </c>
      <c r="C28" s="28">
        <v>0</v>
      </c>
      <c r="D28" s="29">
        <v>0</v>
      </c>
      <c r="E28" s="30"/>
      <c r="F28" s="31"/>
      <c r="G28" s="32">
        <f>SUM(Tabla9[[#This Row],[Prima vida]],Tabla9[[#This Row],[Prima gmm]])</f>
        <v>0</v>
      </c>
      <c r="H28" s="12"/>
    </row>
    <row r="29" spans="1:8" ht="13" x14ac:dyDescent="0.15">
      <c r="A29" s="7" t="s">
        <v>35</v>
      </c>
      <c r="B29" s="27">
        <f>SUM(Tabla9[[#This Row],[Vida]],Tabla9[[#This Row],[Gmm]])</f>
        <v>0</v>
      </c>
      <c r="C29" s="28">
        <v>0</v>
      </c>
      <c r="D29" s="29">
        <v>0</v>
      </c>
      <c r="E29" s="30"/>
      <c r="F29" s="31"/>
      <c r="G29" s="32">
        <f>SUM(Tabla9[[#This Row],[Prima vida]],Tabla9[[#This Row],[Prima gmm]])</f>
        <v>0</v>
      </c>
      <c r="H29" s="12"/>
    </row>
    <row r="30" spans="1:8" ht="13" x14ac:dyDescent="0.15">
      <c r="A30" s="7" t="s">
        <v>36</v>
      </c>
      <c r="B30" s="27">
        <f>SUM(Tabla9[[#This Row],[Vida]],Tabla9[[#This Row],[Gmm]])</f>
        <v>0</v>
      </c>
      <c r="C30" s="28">
        <v>0</v>
      </c>
      <c r="D30" s="29">
        <v>0</v>
      </c>
      <c r="E30" s="30"/>
      <c r="F30" s="31"/>
      <c r="G30" s="32">
        <f>SUM(Tabla9[[#This Row],[Prima vida]],Tabla9[[#This Row],[Prima gmm]])</f>
        <v>0</v>
      </c>
      <c r="H30" s="12"/>
    </row>
    <row r="31" spans="1:8" ht="13" x14ac:dyDescent="0.15">
      <c r="A31" s="7" t="s">
        <v>37</v>
      </c>
      <c r="B31" s="27">
        <f>SUM(Tabla9[[#This Row],[Vida]],Tabla9[[#This Row],[Gmm]])</f>
        <v>0</v>
      </c>
      <c r="C31" s="28">
        <v>0</v>
      </c>
      <c r="D31" s="29">
        <v>0</v>
      </c>
      <c r="E31" s="30"/>
      <c r="F31" s="31"/>
      <c r="G31" s="32">
        <f>SUM(Tabla9[[#This Row],[Prima vida]],Tabla9[[#This Row],[Prima gmm]])</f>
        <v>0</v>
      </c>
      <c r="H31" s="12"/>
    </row>
    <row r="32" spans="1:8" ht="13" x14ac:dyDescent="0.15">
      <c r="A32" s="7" t="s">
        <v>38</v>
      </c>
      <c r="B32" s="27">
        <f>SUM(Tabla9[[#This Row],[Vida]],Tabla9[[#This Row],[Gmm]])</f>
        <v>0</v>
      </c>
      <c r="C32" s="28">
        <v>0</v>
      </c>
      <c r="D32" s="29">
        <v>0</v>
      </c>
      <c r="E32" s="30"/>
      <c r="F32" s="31"/>
      <c r="G32" s="32">
        <f>SUM(Tabla9[[#This Row],[Prima vida]],Tabla9[[#This Row],[Prima gmm]])</f>
        <v>0</v>
      </c>
      <c r="H32" s="12"/>
    </row>
    <row r="33" spans="1:8" ht="13" x14ac:dyDescent="0.15">
      <c r="A33" s="7" t="s">
        <v>39</v>
      </c>
      <c r="B33" s="27">
        <f>SUM(Tabla9[[#This Row],[Vida]],Tabla9[[#This Row],[Gmm]])</f>
        <v>0</v>
      </c>
      <c r="C33" s="28">
        <v>0</v>
      </c>
      <c r="D33" s="29">
        <v>0</v>
      </c>
      <c r="E33" s="30"/>
      <c r="F33" s="31"/>
      <c r="G33" s="32">
        <f>SUM(Tabla9[[#This Row],[Prima vida]],Tabla9[[#This Row],[Prima gmm]])</f>
        <v>0</v>
      </c>
      <c r="H33" s="12"/>
    </row>
    <row r="34" spans="1:8" s="33" customFormat="1" ht="13" x14ac:dyDescent="0.15">
      <c r="A34" s="7" t="s">
        <v>40</v>
      </c>
      <c r="B34" s="27">
        <f>SUM(Tabla9[[#This Row],[Vida]],Tabla9[[#This Row],[Gmm]])</f>
        <v>0</v>
      </c>
      <c r="C34" s="28">
        <v>0</v>
      </c>
      <c r="D34" s="29">
        <v>0</v>
      </c>
      <c r="E34" s="30"/>
      <c r="F34" s="31"/>
      <c r="G34" s="32">
        <f>SUM(Tabla9[[#This Row],[Prima vida]],Tabla9[[#This Row],[Prima gmm]])</f>
        <v>0</v>
      </c>
      <c r="H34" s="12"/>
    </row>
    <row r="35" spans="1:8" ht="13" x14ac:dyDescent="0.15">
      <c r="A35" s="7" t="s">
        <v>41</v>
      </c>
      <c r="B35" s="27">
        <f>SUM(Tabla9[[#This Row],[Vida]],Tabla9[[#This Row],[Gmm]])</f>
        <v>0</v>
      </c>
      <c r="C35" s="28">
        <v>0</v>
      </c>
      <c r="D35" s="29">
        <v>0</v>
      </c>
      <c r="E35" s="30"/>
      <c r="F35" s="31"/>
      <c r="G35" s="32">
        <f>SUM(Tabla9[[#This Row],[Prima vida]],Tabla9[[#This Row],[Prima gmm]])</f>
        <v>0</v>
      </c>
      <c r="H35" s="12"/>
    </row>
    <row r="36" spans="1:8" ht="13" x14ac:dyDescent="0.15">
      <c r="A36" s="7" t="s">
        <v>42</v>
      </c>
      <c r="B36" s="27">
        <f>SUM(Tabla9[[#This Row],[Vida]],Tabla9[[#This Row],[Gmm]])</f>
        <v>0</v>
      </c>
      <c r="C36" s="28">
        <v>0</v>
      </c>
      <c r="D36" s="29">
        <v>0</v>
      </c>
      <c r="E36" s="30"/>
      <c r="F36" s="31"/>
      <c r="G36" s="32">
        <f>SUM(Tabla9[[#This Row],[Prima vida]],Tabla9[[#This Row],[Prima gmm]])</f>
        <v>0</v>
      </c>
      <c r="H36" s="12"/>
    </row>
    <row r="37" spans="1:8" ht="16" customHeight="1" x14ac:dyDescent="0.15">
      <c r="A37" s="7" t="s">
        <v>43</v>
      </c>
      <c r="B37" s="27">
        <f>SUM(Tabla9[[#This Row],[Vida]],Tabla9[[#This Row],[Gmm]])</f>
        <v>0</v>
      </c>
      <c r="C37" s="28">
        <v>0</v>
      </c>
      <c r="D37" s="29">
        <v>0</v>
      </c>
      <c r="E37" s="30"/>
      <c r="F37" s="31"/>
      <c r="G37" s="34">
        <f>SUM(Tabla9[[#This Row],[Prima vida]],Tabla9[[#This Row],[Prima gmm]])</f>
        <v>0</v>
      </c>
      <c r="H37" s="12"/>
    </row>
    <row r="38" spans="1:8" x14ac:dyDescent="0.15">
      <c r="A38" s="7" t="s">
        <v>44</v>
      </c>
      <c r="B38" s="27">
        <f>SUM(Tabla9[[#This Row],[Vida]],Tabla9[[#This Row],[Gmm]])</f>
        <v>0</v>
      </c>
      <c r="C38" s="28">
        <v>0</v>
      </c>
      <c r="D38" s="29">
        <v>0</v>
      </c>
      <c r="E38" s="35"/>
      <c r="F38" s="31"/>
      <c r="G38" s="36">
        <f>SUM(Tabla9[[#This Row],[Prima vida]],Tabla9[[#This Row],[Prima gmm]])</f>
        <v>0</v>
      </c>
      <c r="H38" s="12"/>
    </row>
    <row r="39" spans="1:8" x14ac:dyDescent="0.15">
      <c r="A39" s="7" t="s">
        <v>45</v>
      </c>
      <c r="B39" s="27">
        <f>SUM(Tabla9[[#This Row],[Vida]],Tabla9[[#This Row],[Gmm]])</f>
        <v>0</v>
      </c>
      <c r="C39" s="28">
        <v>0</v>
      </c>
      <c r="D39" s="29">
        <v>0</v>
      </c>
      <c r="E39" s="35"/>
      <c r="F39" s="31"/>
      <c r="G39" s="36">
        <f>SUM(Tabla9[[#This Row],[Prima vida]],Tabla9[[#This Row],[Prima gmm]])</f>
        <v>0</v>
      </c>
      <c r="H39" s="12"/>
    </row>
    <row r="40" spans="1:8" x14ac:dyDescent="0.15">
      <c r="A40" s="7" t="s">
        <v>46</v>
      </c>
      <c r="B40" s="27">
        <f>SUM(Tabla9[[#This Row],[Vida]],Tabla9[[#This Row],[Gmm]])</f>
        <v>0</v>
      </c>
      <c r="C40" s="28">
        <v>0</v>
      </c>
      <c r="D40" s="29">
        <v>0</v>
      </c>
      <c r="E40" s="35"/>
      <c r="F40" s="31"/>
      <c r="G40" s="36">
        <f>SUM(Tabla9[[#This Row],[Prima vida]],Tabla9[[#This Row],[Prima gmm]])</f>
        <v>0</v>
      </c>
      <c r="H40" s="12"/>
    </row>
    <row r="41" spans="1:8" x14ac:dyDescent="0.15">
      <c r="A41" s="7" t="s">
        <v>47</v>
      </c>
      <c r="B41" s="27">
        <f>SUM(Tabla9[[#This Row],[Vida]],Tabla9[[#This Row],[Gmm]])</f>
        <v>0</v>
      </c>
      <c r="C41" s="28">
        <v>0</v>
      </c>
      <c r="D41" s="29">
        <v>0</v>
      </c>
      <c r="E41" s="35"/>
      <c r="F41" s="31"/>
      <c r="G41" s="36">
        <f>SUM(Tabla9[[#This Row],[Prima vida]],Tabla9[[#This Row],[Prima gmm]])</f>
        <v>0</v>
      </c>
      <c r="H41" s="12"/>
    </row>
    <row r="42" spans="1:8" x14ac:dyDescent="0.15">
      <c r="A42" s="7" t="s">
        <v>48</v>
      </c>
      <c r="B42" s="27">
        <f>SUM(Tabla9[[#This Row],[Vida]],Tabla9[[#This Row],[Gmm]])</f>
        <v>0</v>
      </c>
      <c r="C42" s="28">
        <v>0</v>
      </c>
      <c r="D42" s="29">
        <v>0</v>
      </c>
      <c r="E42" s="35"/>
      <c r="F42" s="31"/>
      <c r="G42" s="36">
        <f>SUM(Tabla9[[#This Row],[Prima vida]],Tabla9[[#This Row],[Prima gmm]])</f>
        <v>0</v>
      </c>
      <c r="H42" s="12"/>
    </row>
    <row r="43" spans="1:8" x14ac:dyDescent="0.15">
      <c r="A43" s="37" t="s">
        <v>49</v>
      </c>
      <c r="B43" s="38">
        <f>SUM(Tabla9[[#This Row],[Vida]],Tabla9[[#This Row],[Gmm]])</f>
        <v>0</v>
      </c>
      <c r="C43" s="39">
        <v>0</v>
      </c>
      <c r="D43" s="40">
        <v>0</v>
      </c>
      <c r="E43" s="35"/>
      <c r="F43" s="31"/>
      <c r="G43" s="41">
        <f>SUM(Tabla9[[#This Row],[Prima vida]],Tabla9[[#This Row],[Prima gmm]])</f>
        <v>0</v>
      </c>
      <c r="H43" s="42"/>
    </row>
    <row r="45" spans="1:8" ht="13" x14ac:dyDescent="0.15">
      <c r="A45" s="43" t="s">
        <v>50</v>
      </c>
      <c r="B45" s="44">
        <f>SUM(Tabla9[[Pólizas ]])</f>
        <v>48</v>
      </c>
      <c r="C45" s="45">
        <f>SUM(Tabla9[Vida])</f>
        <v>38</v>
      </c>
      <c r="D45" s="46">
        <v>411858</v>
      </c>
      <c r="E45" s="47">
        <v>11</v>
      </c>
      <c r="F45" s="48">
        <v>216725</v>
      </c>
      <c r="G45" s="49">
        <v>628583</v>
      </c>
      <c r="H45" s="50" t="e">
        <f>SUM(#REF!)</f>
        <v>#REF!</v>
      </c>
    </row>
    <row r="47" spans="1:8" ht="18" customHeight="1" x14ac:dyDescent="0.2"/>
    <row r="48" spans="1:8" ht="30.75" customHeight="1" x14ac:dyDescent="0.15">
      <c r="A48" s="320" t="s">
        <v>51</v>
      </c>
      <c r="B48" s="320"/>
      <c r="C48" s="320"/>
      <c r="D48" s="320"/>
      <c r="E48" s="320"/>
      <c r="F48" s="320"/>
      <c r="G48" s="320"/>
      <c r="H48" s="320"/>
    </row>
    <row r="49" spans="1:16" ht="14" x14ac:dyDescent="0.15">
      <c r="A49" s="2" t="s">
        <v>1</v>
      </c>
      <c r="B49" s="3" t="s">
        <v>2</v>
      </c>
      <c r="C49" s="3" t="s">
        <v>3</v>
      </c>
      <c r="D49" s="4" t="s">
        <v>4</v>
      </c>
      <c r="E49" s="5" t="s">
        <v>5</v>
      </c>
      <c r="F49" s="3" t="s">
        <v>6</v>
      </c>
      <c r="G49" s="6" t="s">
        <v>7</v>
      </c>
    </row>
    <row r="50" spans="1:16" ht="13" x14ac:dyDescent="0.15">
      <c r="A50" s="54" t="s">
        <v>52</v>
      </c>
      <c r="B50" s="55">
        <f>SUM(Tabla936[[#This Row],[Vida]],Tabla936[[#This Row],[Gmm]])</f>
        <v>3.5</v>
      </c>
      <c r="C50" s="56">
        <v>1</v>
      </c>
      <c r="D50" s="57">
        <v>199988.27</v>
      </c>
      <c r="E50" s="56">
        <v>2.5</v>
      </c>
      <c r="F50" s="57">
        <v>56714.86</v>
      </c>
      <c r="G50" s="58">
        <f>SUM(Tabla936[[#This Row],[Prima vida]],Tabla936[[#This Row],[Prima gmm]])</f>
        <v>256703.13</v>
      </c>
    </row>
    <row r="51" spans="1:16" ht="13" x14ac:dyDescent="0.15">
      <c r="A51" s="54" t="s">
        <v>11</v>
      </c>
      <c r="B51" s="55">
        <f>SUM(Tabla936[[#This Row],[Vida]],Tabla936[[#This Row],[Gmm]])</f>
        <v>3</v>
      </c>
      <c r="C51" s="56">
        <v>3</v>
      </c>
      <c r="D51" s="57">
        <v>226000</v>
      </c>
      <c r="E51" s="56"/>
      <c r="F51" s="59"/>
      <c r="G51" s="58">
        <f>SUM(Tabla936[[#This Row],[Prima vida]],Tabla936[[#This Row],[Prima gmm]])</f>
        <v>226000</v>
      </c>
    </row>
    <row r="52" spans="1:16" ht="13" x14ac:dyDescent="0.15">
      <c r="A52" s="54" t="s">
        <v>10</v>
      </c>
      <c r="B52" s="55">
        <f>SUM(Tabla936[[#This Row],[Vida]],Tabla936[[#This Row],[Gmm]])</f>
        <v>6.5</v>
      </c>
      <c r="C52" s="56">
        <v>4</v>
      </c>
      <c r="D52" s="57">
        <v>95590.78</v>
      </c>
      <c r="E52" s="56">
        <v>2.5</v>
      </c>
      <c r="F52" s="57">
        <v>124365.81</v>
      </c>
      <c r="G52" s="58">
        <f>SUM(Tabla936[[#This Row],[Prima vida]],Tabla936[[#This Row],[Prima gmm]])</f>
        <v>219956.59</v>
      </c>
    </row>
    <row r="53" spans="1:16" ht="13" x14ac:dyDescent="0.15">
      <c r="A53" s="54" t="s">
        <v>25</v>
      </c>
      <c r="B53" s="55">
        <f>SUM(Tabla936[[#This Row],[Vida]],Tabla936[[#This Row],[Gmm]])</f>
        <v>4</v>
      </c>
      <c r="C53" s="56">
        <v>3</v>
      </c>
      <c r="D53" s="57">
        <v>16292.86</v>
      </c>
      <c r="E53" s="56">
        <v>1</v>
      </c>
      <c r="F53" s="57">
        <v>98113.63</v>
      </c>
      <c r="G53" s="58">
        <f>SUM(Tabla936[[#This Row],[Prima vida]],Tabla936[[#This Row],[Prima gmm]])</f>
        <v>114406.49</v>
      </c>
    </row>
    <row r="54" spans="1:16" ht="13" x14ac:dyDescent="0.15">
      <c r="A54" s="54" t="s">
        <v>16</v>
      </c>
      <c r="B54" s="60">
        <f>SUM(Tabla936[[#This Row],[Vida]],Tabla936[[#This Row],[Gmm]])</f>
        <v>2</v>
      </c>
      <c r="C54" s="61">
        <v>2</v>
      </c>
      <c r="D54" s="57">
        <v>109733.54</v>
      </c>
      <c r="E54" s="61"/>
      <c r="F54" s="62"/>
      <c r="G54" s="58">
        <f>SUM(Tabla936[[#This Row],[Prima vida]],Tabla936[[#This Row],[Prima gmm]])</f>
        <v>109733.54</v>
      </c>
      <c r="I54" s="1" t="s">
        <v>53</v>
      </c>
      <c r="K54" s="63">
        <v>19060.259999999998</v>
      </c>
      <c r="L54" s="63">
        <v>40462.83</v>
      </c>
      <c r="M54" s="63">
        <v>23133.96</v>
      </c>
      <c r="N54" s="63"/>
      <c r="O54" s="63"/>
      <c r="P54" s="63">
        <f>+K54+L54+M54+N54+O54+K55+L55+M55+N55</f>
        <v>124365.81</v>
      </c>
    </row>
    <row r="55" spans="1:16" ht="13" x14ac:dyDescent="0.15">
      <c r="A55" s="54" t="s">
        <v>12</v>
      </c>
      <c r="B55" s="55">
        <f>SUM(Tabla936[[#This Row],[Vida]],Tabla936[[#This Row],[Gmm]])</f>
        <v>4.5</v>
      </c>
      <c r="C55" s="56">
        <v>4</v>
      </c>
      <c r="D55" s="57">
        <v>27506.2</v>
      </c>
      <c r="E55" s="56">
        <v>0.5</v>
      </c>
      <c r="F55" s="57">
        <v>48175.31</v>
      </c>
      <c r="G55" s="58">
        <f>SUM(Tabla936[[#This Row],[Prima vida]],Tabla936[[#This Row],[Prima gmm]])</f>
        <v>75681.509999999995</v>
      </c>
      <c r="K55" s="63">
        <v>22216.27</v>
      </c>
      <c r="L55" s="63">
        <v>19492.490000000002</v>
      </c>
      <c r="M55" s="63"/>
      <c r="N55" s="63"/>
    </row>
    <row r="56" spans="1:16" ht="13" x14ac:dyDescent="0.15">
      <c r="A56" s="54" t="s">
        <v>20</v>
      </c>
      <c r="B56" s="60">
        <f>SUM(Tabla936[[#This Row],[Vida]],Tabla936[[#This Row],[Gmm]])</f>
        <v>2</v>
      </c>
      <c r="C56" s="61">
        <v>0</v>
      </c>
      <c r="D56" s="64">
        <v>0</v>
      </c>
      <c r="E56" s="61">
        <v>2</v>
      </c>
      <c r="F56" s="57">
        <v>64365.32</v>
      </c>
      <c r="G56" s="58">
        <f>SUM(Tabla936[[#This Row],[Prima vida]],Tabla936[[#This Row],[Prima gmm]])</f>
        <v>64365.32</v>
      </c>
    </row>
    <row r="57" spans="1:16" ht="13" x14ac:dyDescent="0.15">
      <c r="A57" s="54" t="s">
        <v>19</v>
      </c>
      <c r="B57" s="60">
        <f>SUM(Tabla936[[#This Row],[Vida]],Tabla936[[#This Row],[Gmm]])</f>
        <v>2.5</v>
      </c>
      <c r="C57" s="61">
        <v>2</v>
      </c>
      <c r="D57" s="57">
        <v>44443.26</v>
      </c>
      <c r="E57" s="61">
        <v>0.5</v>
      </c>
      <c r="F57" s="57">
        <v>19565.21</v>
      </c>
      <c r="G57" s="58">
        <f>SUM(Tabla936[[#This Row],[Prima vida]],Tabla936[[#This Row],[Prima gmm]])</f>
        <v>64008.47</v>
      </c>
    </row>
    <row r="58" spans="1:16" x14ac:dyDescent="0.15">
      <c r="A58" s="54" t="s">
        <v>54</v>
      </c>
      <c r="B58" s="60">
        <f>SUM(Tabla936[[#This Row],[Vida]],Tabla936[[#This Row],[Gmm]])</f>
        <v>2</v>
      </c>
      <c r="C58" s="61">
        <v>1</v>
      </c>
      <c r="D58" s="57">
        <v>10943.55</v>
      </c>
      <c r="E58" s="61">
        <v>1</v>
      </c>
      <c r="F58" s="57">
        <v>42483.22</v>
      </c>
      <c r="G58" s="65">
        <f>SUM(Tabla936[[#This Row],[Prima vida]],Tabla936[[#This Row],[Prima gmm]])</f>
        <v>53426.770000000004</v>
      </c>
    </row>
    <row r="59" spans="1:16" ht="13" x14ac:dyDescent="0.15">
      <c r="A59" s="54" t="s">
        <v>38</v>
      </c>
      <c r="B59" s="60">
        <f>SUM(Tabla936[[#This Row],[Vida]],Tabla936[[#This Row],[Gmm]])</f>
        <v>1</v>
      </c>
      <c r="C59" s="61">
        <v>1</v>
      </c>
      <c r="D59" s="64">
        <v>49011.6</v>
      </c>
      <c r="E59" s="61"/>
      <c r="F59" s="62"/>
      <c r="G59" s="66">
        <f>SUM(Tabla936[[#This Row],[Prima vida]],Tabla936[[#This Row],[Prima gmm]])</f>
        <v>49011.6</v>
      </c>
    </row>
    <row r="60" spans="1:16" ht="13" x14ac:dyDescent="0.15">
      <c r="A60" s="54" t="s">
        <v>18</v>
      </c>
      <c r="B60" s="60">
        <f>SUM(Tabla936[[#This Row],[Vida]],Tabla936[[#This Row],[Gmm]])</f>
        <v>1.5</v>
      </c>
      <c r="C60" s="61">
        <v>0</v>
      </c>
      <c r="D60" s="64">
        <v>0</v>
      </c>
      <c r="E60" s="61">
        <v>1.5</v>
      </c>
      <c r="F60" s="64">
        <v>42118.23</v>
      </c>
      <c r="G60" s="66">
        <f>SUM(Tabla936[[#This Row],[Prima vida]],Tabla936[[#This Row],[Prima gmm]])</f>
        <v>42118.23</v>
      </c>
    </row>
    <row r="61" spans="1:16" ht="13" x14ac:dyDescent="0.15">
      <c r="A61" s="54" t="s">
        <v>28</v>
      </c>
      <c r="B61" s="55">
        <f>SUM(Tabla936[[#This Row],[Vida]],Tabla936[[#This Row],[Gmm]])</f>
        <v>3.5</v>
      </c>
      <c r="C61" s="56">
        <v>3</v>
      </c>
      <c r="D61" s="64">
        <v>7134.18</v>
      </c>
      <c r="E61" s="56">
        <v>0.5</v>
      </c>
      <c r="F61" s="64">
        <v>23726.65</v>
      </c>
      <c r="G61" s="66">
        <f>SUM(Tabla936[[#This Row],[Prima vida]],Tabla936[[#This Row],[Prima gmm]])</f>
        <v>30860.83</v>
      </c>
    </row>
    <row r="62" spans="1:16" ht="13" x14ac:dyDescent="0.15">
      <c r="A62" s="54" t="s">
        <v>32</v>
      </c>
      <c r="B62" s="55">
        <f>SUM(Tabla936[[#This Row],[Vida]],Tabla936[[#This Row],[Gmm]])</f>
        <v>3</v>
      </c>
      <c r="C62" s="56">
        <v>3</v>
      </c>
      <c r="D62" s="64">
        <v>30461.64</v>
      </c>
      <c r="E62" s="67"/>
      <c r="F62" s="68"/>
      <c r="G62" s="66">
        <f>SUM(Tabla936[[#This Row],[Prima vida]],Tabla936[[#This Row],[Prima gmm]])</f>
        <v>30461.64</v>
      </c>
    </row>
    <row r="63" spans="1:16" ht="13" x14ac:dyDescent="0.15">
      <c r="A63" s="54" t="s">
        <v>41</v>
      </c>
      <c r="B63" s="60">
        <f>SUM(Tabla936[[#This Row],[Vida]],Tabla936[[#This Row],[Gmm]])</f>
        <v>1</v>
      </c>
      <c r="C63" s="61">
        <v>1</v>
      </c>
      <c r="D63" s="64">
        <v>30344.17</v>
      </c>
      <c r="E63" s="69"/>
      <c r="F63" s="68"/>
      <c r="G63" s="66">
        <f>SUM(Tabla936[[#This Row],[Prima vida]],Tabla936[[#This Row],[Prima gmm]])</f>
        <v>30344.17</v>
      </c>
    </row>
    <row r="64" spans="1:16" ht="13" x14ac:dyDescent="0.15">
      <c r="A64" s="54" t="s">
        <v>26</v>
      </c>
      <c r="B64" s="60">
        <f>SUM(Tabla936[[#This Row],[Vida]],Tabla936[[#This Row],[Gmm]])</f>
        <v>2.5</v>
      </c>
      <c r="C64" s="61">
        <v>2</v>
      </c>
      <c r="D64" s="64">
        <v>14497.76</v>
      </c>
      <c r="E64" s="61">
        <v>0.5</v>
      </c>
      <c r="F64" s="64">
        <v>13195.01</v>
      </c>
      <c r="G64" s="66">
        <f>SUM(Tabla936[[#This Row],[Prima vida]],Tabla936[[#This Row],[Prima gmm]])</f>
        <v>27692.77</v>
      </c>
    </row>
    <row r="65" spans="1:7" ht="13" x14ac:dyDescent="0.15">
      <c r="A65" s="54" t="s">
        <v>21</v>
      </c>
      <c r="B65" s="60">
        <f>SUM(Tabla936[[#This Row],[Vida]],Tabla936[[#This Row],[Gmm]])</f>
        <v>0.5</v>
      </c>
      <c r="C65" s="61">
        <v>0</v>
      </c>
      <c r="D65" s="64">
        <v>0</v>
      </c>
      <c r="E65" s="61">
        <v>0.5</v>
      </c>
      <c r="F65" s="64">
        <v>27061.95</v>
      </c>
      <c r="G65" s="66">
        <f>SUM(Tabla936[[#This Row],[Prima vida]],Tabla936[[#This Row],[Prima gmm]])</f>
        <v>27061.95</v>
      </c>
    </row>
    <row r="66" spans="1:7" ht="13" x14ac:dyDescent="0.15">
      <c r="A66" s="54" t="s">
        <v>43</v>
      </c>
      <c r="B66" s="60">
        <f>SUM(Tabla936[[#This Row],[Vida]],Tabla936[[#This Row],[Gmm]])</f>
        <v>0.5</v>
      </c>
      <c r="C66" s="61">
        <v>0</v>
      </c>
      <c r="D66" s="64">
        <v>0</v>
      </c>
      <c r="E66" s="61">
        <v>0.5</v>
      </c>
      <c r="F66" s="64">
        <v>25383.21</v>
      </c>
      <c r="G66" s="66">
        <f>SUM(Tabla936[[#This Row],[Prima vida]],Tabla936[[#This Row],[Prima gmm]])</f>
        <v>25383.21</v>
      </c>
    </row>
    <row r="67" spans="1:7" ht="13" x14ac:dyDescent="0.15">
      <c r="A67" s="54" t="s">
        <v>34</v>
      </c>
      <c r="B67" s="60">
        <f>SUM(Tabla936[[#This Row],[Vida]],Tabla936[[#This Row],[Gmm]])</f>
        <v>0.5</v>
      </c>
      <c r="C67" s="61">
        <v>0</v>
      </c>
      <c r="D67" s="64">
        <v>0</v>
      </c>
      <c r="E67" s="61">
        <v>0.5</v>
      </c>
      <c r="F67" s="64">
        <v>23749.41</v>
      </c>
      <c r="G67" s="66">
        <f>SUM(Tabla936[[#This Row],[Prima vida]],Tabla936[[#This Row],[Prima gmm]])</f>
        <v>23749.41</v>
      </c>
    </row>
    <row r="68" spans="1:7" x14ac:dyDescent="0.15">
      <c r="A68" s="54" t="s">
        <v>33</v>
      </c>
      <c r="B68" s="60">
        <f>SUM(Tabla936[[#This Row],[Vida]],Tabla936[[#This Row],[Gmm]])</f>
        <v>0.5</v>
      </c>
      <c r="C68" s="61">
        <v>0</v>
      </c>
      <c r="D68" s="64"/>
      <c r="E68" s="61">
        <v>0.5</v>
      </c>
      <c r="F68" s="64">
        <v>16001.32</v>
      </c>
      <c r="G68" s="70">
        <f>SUM(Tabla936[[#This Row],[Prima vida]],Tabla936[[#This Row],[Prima gmm]])</f>
        <v>16001.32</v>
      </c>
    </row>
    <row r="69" spans="1:7" ht="13" x14ac:dyDescent="0.15">
      <c r="A69" s="54" t="s">
        <v>30</v>
      </c>
      <c r="B69" s="60">
        <f>SUM(Tabla936[[#This Row],[Vida]],Tabla936[[#This Row],[Gmm]])</f>
        <v>2</v>
      </c>
      <c r="C69" s="61">
        <v>2</v>
      </c>
      <c r="D69" s="64">
        <v>7054.67</v>
      </c>
      <c r="E69" s="61"/>
      <c r="F69" s="62"/>
      <c r="G69" s="66">
        <f>SUM(Tabla936[[#This Row],[Prima vida]],Tabla936[[#This Row],[Prima gmm]])</f>
        <v>7054.67</v>
      </c>
    </row>
    <row r="70" spans="1:7" ht="13" x14ac:dyDescent="0.15">
      <c r="A70" s="54" t="s">
        <v>37</v>
      </c>
      <c r="B70" s="60">
        <f>SUM(Tabla936[[#This Row],[Vida]],Tabla936[[#This Row],[Gmm]])</f>
        <v>1.5</v>
      </c>
      <c r="C70" s="61">
        <v>1</v>
      </c>
      <c r="D70" s="64">
        <v>1832.81</v>
      </c>
      <c r="E70" s="61">
        <v>0.5</v>
      </c>
      <c r="F70" s="64">
        <v>4801.18</v>
      </c>
      <c r="G70" s="66">
        <f>SUM(Tabla936[[#This Row],[Prima vida]],Tabla936[[#This Row],[Prima gmm]])</f>
        <v>6633.99</v>
      </c>
    </row>
    <row r="71" spans="1:7" ht="13" x14ac:dyDescent="0.15">
      <c r="A71" s="54" t="s">
        <v>27</v>
      </c>
      <c r="B71" s="60">
        <f>SUM(Tabla936[[#This Row],[Vida]],Tabla936[[#This Row],[Gmm]])</f>
        <v>2</v>
      </c>
      <c r="C71" s="61">
        <v>2</v>
      </c>
      <c r="D71" s="64">
        <v>6126.51</v>
      </c>
      <c r="E71" s="69"/>
      <c r="F71" s="68"/>
      <c r="G71" s="66">
        <f>SUM(Tabla936[[#This Row],[Prima vida]],Tabla936[[#This Row],[Prima gmm]])</f>
        <v>6126.51</v>
      </c>
    </row>
    <row r="72" spans="1:7" ht="13" x14ac:dyDescent="0.15">
      <c r="A72" s="54" t="s">
        <v>24</v>
      </c>
      <c r="B72" s="60">
        <f>SUM(Tabla936[[#This Row],[Vida]],Tabla936[[#This Row],[Gmm]])</f>
        <v>1.5</v>
      </c>
      <c r="C72" s="61">
        <v>1</v>
      </c>
      <c r="D72" s="64">
        <v>1131.53</v>
      </c>
      <c r="E72" s="61">
        <v>0.5</v>
      </c>
      <c r="F72" s="64">
        <v>4490.49</v>
      </c>
      <c r="G72" s="66">
        <f>SUM(Tabla936[[#This Row],[Prima vida]],Tabla936[[#This Row],[Prima gmm]])</f>
        <v>5622.0199999999995</v>
      </c>
    </row>
    <row r="73" spans="1:7" ht="13" x14ac:dyDescent="0.15">
      <c r="A73" s="54" t="s">
        <v>14</v>
      </c>
      <c r="B73" s="60">
        <f>SUM(Tabla936[[#This Row],[Vida]],Tabla936[[#This Row],[Gmm]])</f>
        <v>1</v>
      </c>
      <c r="C73" s="61">
        <v>1</v>
      </c>
      <c r="D73" s="64">
        <v>3719.53</v>
      </c>
      <c r="E73" s="61"/>
      <c r="F73" s="62"/>
      <c r="G73" s="66">
        <f>SUM(Tabla936[[#This Row],[Prima vida]],Tabla936[[#This Row],[Prima gmm]])</f>
        <v>3719.53</v>
      </c>
    </row>
    <row r="74" spans="1:7" x14ac:dyDescent="0.15">
      <c r="A74" s="54" t="s">
        <v>22</v>
      </c>
      <c r="B74" s="60">
        <f>SUM(Tabla936[[#This Row],[Vida]],Tabla936[[#This Row],[Gmm]])</f>
        <v>1</v>
      </c>
      <c r="C74" s="61">
        <v>1</v>
      </c>
      <c r="D74" s="64">
        <v>3413.22</v>
      </c>
      <c r="E74" s="61"/>
      <c r="F74" s="62"/>
      <c r="G74" s="70">
        <f>SUM(Tabla936[[#This Row],[Prima vida]],Tabla936[[#This Row],[Prima gmm]])</f>
        <v>3413.22</v>
      </c>
    </row>
    <row r="75" spans="1:7" ht="13" x14ac:dyDescent="0.15">
      <c r="A75" s="54" t="s">
        <v>31</v>
      </c>
      <c r="B75" s="60">
        <f>SUM(Tabla936[[#This Row],[Vida]],Tabla936[[#This Row],[Gmm]])</f>
        <v>1</v>
      </c>
      <c r="C75" s="61">
        <v>1</v>
      </c>
      <c r="D75" s="64">
        <v>1791.58</v>
      </c>
      <c r="E75" s="61"/>
      <c r="F75" s="62"/>
      <c r="G75" s="66">
        <f>SUM(Tabla936[[#This Row],[Prima vida]],Tabla936[[#This Row],[Prima gmm]])</f>
        <v>1791.58</v>
      </c>
    </row>
    <row r="76" spans="1:7" ht="13" x14ac:dyDescent="0.15">
      <c r="A76" s="54" t="s">
        <v>36</v>
      </c>
      <c r="B76" s="60">
        <f>SUM(Tabla936[[#This Row],[Vida]],Tabla936[[#This Row],[Gmm]])</f>
        <v>1</v>
      </c>
      <c r="C76" s="61">
        <v>1</v>
      </c>
      <c r="D76" s="64">
        <v>1781.93</v>
      </c>
      <c r="E76" s="69"/>
      <c r="F76" s="68"/>
      <c r="G76" s="66">
        <f>SUM(Tabla936[[#This Row],[Prima vida]],Tabla936[[#This Row],[Prima gmm]])</f>
        <v>1781.93</v>
      </c>
    </row>
    <row r="77" spans="1:7" ht="13" x14ac:dyDescent="0.15">
      <c r="A77" s="54" t="s">
        <v>13</v>
      </c>
      <c r="B77" s="71">
        <f>SUM(Tabla936[[#This Row],[Vida]],Tabla936[[#This Row],[Gmm]])</f>
        <v>0</v>
      </c>
      <c r="C77" s="72">
        <v>0</v>
      </c>
      <c r="D77" s="73">
        <v>0</v>
      </c>
      <c r="E77" s="74"/>
      <c r="F77" s="75"/>
      <c r="G77" s="76">
        <f>SUM(Tabla936[[#This Row],[Prima vida]],Tabla936[[#This Row],[Prima gmm]])</f>
        <v>0</v>
      </c>
    </row>
    <row r="78" spans="1:7" ht="13" x14ac:dyDescent="0.15">
      <c r="A78" s="54" t="s">
        <v>42</v>
      </c>
      <c r="B78" s="71">
        <f>SUM(Tabla936[[#This Row],[Vida]],Tabla936[[#This Row],[Gmm]])</f>
        <v>0</v>
      </c>
      <c r="C78" s="72">
        <v>0</v>
      </c>
      <c r="D78" s="73">
        <v>0</v>
      </c>
      <c r="E78" s="74"/>
      <c r="F78" s="75"/>
      <c r="G78" s="76">
        <f>SUM(Tabla936[[#This Row],[Prima vida]],Tabla936[[#This Row],[Prima gmm]])</f>
        <v>0</v>
      </c>
    </row>
    <row r="79" spans="1:7" ht="13" x14ac:dyDescent="0.15">
      <c r="A79" s="54" t="s">
        <v>35</v>
      </c>
      <c r="B79" s="71">
        <f>SUM(Tabla936[[#This Row],[Vida]],Tabla936[[#This Row],[Gmm]])</f>
        <v>0</v>
      </c>
      <c r="C79" s="72">
        <v>0</v>
      </c>
      <c r="D79" s="73">
        <v>0</v>
      </c>
      <c r="E79" s="74"/>
      <c r="F79" s="75"/>
      <c r="G79" s="76">
        <f>SUM(Tabla936[[#This Row],[Prima vida]],Tabla936[[#This Row],[Prima gmm]])</f>
        <v>0</v>
      </c>
    </row>
    <row r="80" spans="1:7" ht="13" x14ac:dyDescent="0.15">
      <c r="A80" s="54" t="s">
        <v>39</v>
      </c>
      <c r="B80" s="71">
        <f>SUM(Tabla936[[#This Row],[Vida]],Tabla936[[#This Row],[Gmm]])</f>
        <v>0</v>
      </c>
      <c r="C80" s="72">
        <v>0</v>
      </c>
      <c r="D80" s="73">
        <v>0</v>
      </c>
      <c r="E80" s="74"/>
      <c r="F80" s="75"/>
      <c r="G80" s="76">
        <f>SUM(Tabla936[[#This Row],[Prima vida]],Tabla936[[#This Row],[Prima gmm]])</f>
        <v>0</v>
      </c>
    </row>
    <row r="81" spans="1:11" ht="13" x14ac:dyDescent="0.15">
      <c r="A81" s="54" t="s">
        <v>40</v>
      </c>
      <c r="B81" s="71">
        <f>SUM(Tabla936[[#This Row],[Vida]],Tabla936[[#This Row],[Gmm]])</f>
        <v>0</v>
      </c>
      <c r="C81" s="72">
        <v>0</v>
      </c>
      <c r="D81" s="73">
        <v>0</v>
      </c>
      <c r="E81" s="74"/>
      <c r="F81" s="75"/>
      <c r="G81" s="76">
        <f>SUM(Tabla936[[#This Row],[Prima vida]],Tabla936[[#This Row],[Prima gmm]])</f>
        <v>0</v>
      </c>
    </row>
    <row r="82" spans="1:11" ht="11" customHeight="1" x14ac:dyDescent="0.15">
      <c r="A82" s="54" t="s">
        <v>49</v>
      </c>
      <c r="B82" s="71">
        <f>SUM(Tabla936[[#This Row],[Vida]],Tabla936[[#This Row],[Gmm]])</f>
        <v>0</v>
      </c>
      <c r="C82" s="72">
        <v>0</v>
      </c>
      <c r="D82" s="73">
        <v>0</v>
      </c>
      <c r="E82" s="74"/>
      <c r="F82" s="75"/>
      <c r="G82" s="76">
        <f>SUM(Tabla936[[#This Row],[Prima vida]],Tabla936[[#This Row],[Prima gmm]])</f>
        <v>0</v>
      </c>
    </row>
    <row r="83" spans="1:11" ht="13" customHeight="1" x14ac:dyDescent="0.15">
      <c r="A83" s="54" t="s">
        <v>29</v>
      </c>
      <c r="B83" s="71">
        <f>SUM(Tabla936[[#This Row],[Vida]],Tabla936[[#This Row],[Gmm]])</f>
        <v>1</v>
      </c>
      <c r="C83" s="72">
        <v>1</v>
      </c>
      <c r="D83" s="73">
        <v>3790.99</v>
      </c>
      <c r="E83" s="74"/>
      <c r="F83" s="75"/>
      <c r="G83" s="76">
        <f>SUM(Tabla936[[#This Row],[Prima vida]],Tabla936[[#This Row],[Prima gmm]])</f>
        <v>3790.99</v>
      </c>
    </row>
    <row r="84" spans="1:11" ht="13" x14ac:dyDescent="0.15">
      <c r="A84" s="54" t="s">
        <v>45</v>
      </c>
      <c r="B84" s="71">
        <f>SUM(Tabla936[[#This Row],[Vida]],Tabla936[[#This Row],[Gmm]])</f>
        <v>0</v>
      </c>
      <c r="C84" s="72">
        <v>0</v>
      </c>
      <c r="D84" s="73">
        <v>0</v>
      </c>
      <c r="E84" s="74"/>
      <c r="F84" s="75"/>
      <c r="G84" s="77">
        <f>SUM(Tabla936[[#This Row],[Prima vida]],Tabla936[[#This Row],[Prima gmm]])</f>
        <v>0</v>
      </c>
    </row>
    <row r="85" spans="1:11" x14ac:dyDescent="0.15">
      <c r="A85" s="54" t="s">
        <v>17</v>
      </c>
      <c r="B85" s="71">
        <f>SUM(Tabla936[[#This Row],[Vida]],Tabla936[[#This Row],[Gmm]])</f>
        <v>0</v>
      </c>
      <c r="C85" s="72">
        <v>0</v>
      </c>
      <c r="D85" s="73">
        <v>0</v>
      </c>
      <c r="E85" s="78"/>
      <c r="F85" s="75"/>
      <c r="G85" s="79">
        <f>SUM(Tabla936[[#This Row],[Prima vida]],Tabla936[[#This Row],[Prima gmm]])</f>
        <v>0</v>
      </c>
    </row>
    <row r="86" spans="1:11" ht="1" customHeight="1" x14ac:dyDescent="0.15">
      <c r="A86" s="54" t="s">
        <v>44</v>
      </c>
      <c r="B86" s="71">
        <f>SUM(Tabla936[[#This Row],[Vida]],Tabla936[[#This Row],[Gmm]])</f>
        <v>0</v>
      </c>
      <c r="C86" s="72">
        <v>0</v>
      </c>
      <c r="D86" s="73">
        <v>0</v>
      </c>
      <c r="E86" s="78"/>
      <c r="F86" s="75"/>
      <c r="G86" s="79">
        <f>SUM(Tabla936[[#This Row],[Prima vida]],Tabla936[[#This Row],[Prima gmm]])</f>
        <v>0</v>
      </c>
    </row>
    <row r="87" spans="1:11" x14ac:dyDescent="0.15">
      <c r="A87" s="54" t="s">
        <v>23</v>
      </c>
      <c r="B87" s="71">
        <f>SUM(Tabla936[[#This Row],[Vida]],Tabla936[[#This Row],[Gmm]])</f>
        <v>0</v>
      </c>
      <c r="C87" s="72">
        <v>0</v>
      </c>
      <c r="D87" s="73">
        <v>0</v>
      </c>
      <c r="E87" s="78"/>
      <c r="F87" s="75"/>
      <c r="G87" s="79">
        <f>SUM(Tabla936[[#This Row],[Prima vida]],Tabla936[[#This Row],[Prima gmm]])</f>
        <v>0</v>
      </c>
    </row>
    <row r="88" spans="1:11" x14ac:dyDescent="0.15">
      <c r="A88" s="54" t="s">
        <v>47</v>
      </c>
      <c r="B88" s="71">
        <f>SUM(Tabla936[[#This Row],[Vida]],Tabla936[[#This Row],[Gmm]])</f>
        <v>0</v>
      </c>
      <c r="C88" s="72">
        <v>0</v>
      </c>
      <c r="D88" s="73">
        <v>0</v>
      </c>
      <c r="E88" s="78"/>
      <c r="F88" s="75"/>
      <c r="G88" s="79">
        <f>SUM(Tabla936[[#This Row],[Prima vida]],Tabla936[[#This Row],[Prima gmm]])</f>
        <v>0</v>
      </c>
    </row>
    <row r="89" spans="1:11" x14ac:dyDescent="0.15">
      <c r="A89" s="54" t="s">
        <v>46</v>
      </c>
      <c r="B89" s="71">
        <f>SUM(Tabla936[[#This Row],[Vida]],Tabla936[[#This Row],[Gmm]])</f>
        <v>0</v>
      </c>
      <c r="C89" s="72">
        <v>0</v>
      </c>
      <c r="D89" s="73">
        <v>0</v>
      </c>
      <c r="E89" s="78"/>
      <c r="F89" s="75"/>
      <c r="G89" s="79">
        <f>SUM(Tabla936[[#This Row],[Prima vida]],Tabla936[[#This Row],[Prima gmm]])</f>
        <v>0</v>
      </c>
    </row>
    <row r="90" spans="1:11" ht="13" x14ac:dyDescent="0.15">
      <c r="A90" s="43" t="s">
        <v>50</v>
      </c>
      <c r="B90" s="44">
        <f>SUM(Tabla936[[Pólizas ]])</f>
        <v>56.5</v>
      </c>
      <c r="C90" s="45">
        <f>SUM(Tabla936[Vida])</f>
        <v>41</v>
      </c>
      <c r="D90" s="80">
        <f>SUM(Tabla936[Prima vida])</f>
        <v>892590.58000000031</v>
      </c>
      <c r="E90" s="81">
        <f>SUM(Tabla936[Gmm])</f>
        <v>15.5</v>
      </c>
      <c r="F90" s="80">
        <f>SUM(Tabla936[Prima gmm])</f>
        <v>634310.80999999994</v>
      </c>
      <c r="G90" s="80">
        <f>SUM(Tabla936[Prima total])</f>
        <v>1526901.39</v>
      </c>
      <c r="H90" s="50"/>
    </row>
    <row r="91" spans="1:11" ht="13" x14ac:dyDescent="0.15">
      <c r="D91" s="1"/>
      <c r="E91" s="1"/>
      <c r="G91" s="1"/>
    </row>
    <row r="92" spans="1:11" ht="13" x14ac:dyDescent="0.15">
      <c r="D92" s="1"/>
      <c r="E92" s="1"/>
      <c r="G92" s="1"/>
    </row>
    <row r="93" spans="1:11" ht="7" customHeight="1" x14ac:dyDescent="0.15">
      <c r="D93" s="1"/>
      <c r="E93" s="1"/>
      <c r="G93" s="1"/>
    </row>
    <row r="94" spans="1:11" ht="26" customHeight="1" x14ac:dyDescent="0.15">
      <c r="A94" s="320" t="s">
        <v>55</v>
      </c>
      <c r="B94" s="320"/>
      <c r="C94" s="320"/>
      <c r="D94" s="320"/>
      <c r="E94" s="320"/>
      <c r="F94" s="320"/>
      <c r="G94" s="320"/>
      <c r="H94" s="320"/>
    </row>
    <row r="95" spans="1:11" ht="14" x14ac:dyDescent="0.15">
      <c r="A95" s="2" t="s">
        <v>1</v>
      </c>
      <c r="B95" s="3" t="s">
        <v>2</v>
      </c>
      <c r="C95" s="3" t="s">
        <v>3</v>
      </c>
      <c r="D95" s="4" t="s">
        <v>4</v>
      </c>
      <c r="E95" s="5" t="s">
        <v>5</v>
      </c>
      <c r="F95" s="3" t="s">
        <v>6</v>
      </c>
      <c r="G95" s="6" t="s">
        <v>7</v>
      </c>
      <c r="I95" s="1" t="s">
        <v>56</v>
      </c>
    </row>
    <row r="96" spans="1:11" ht="13" x14ac:dyDescent="0.15">
      <c r="A96" s="82" t="s">
        <v>13</v>
      </c>
      <c r="B96" s="83">
        <f>SUM(Tabla93617[[#This Row],[Vida]],Tabla93617[[#This Row],[Gmm]])</f>
        <v>2.5</v>
      </c>
      <c r="C96" s="84">
        <v>2</v>
      </c>
      <c r="D96" s="85">
        <v>112075.93</v>
      </c>
      <c r="E96" s="84">
        <v>0.5</v>
      </c>
      <c r="F96" s="85">
        <v>30760.95</v>
      </c>
      <c r="G96" s="86">
        <f>SUM(Tabla93617[[#This Row],[Prima vida]],Tabla93617[[#This Row],[Prima gmm]])</f>
        <v>142836.88</v>
      </c>
      <c r="I96" s="1" t="s">
        <v>57</v>
      </c>
      <c r="K96" s="1" t="s">
        <v>58</v>
      </c>
    </row>
    <row r="97" spans="1:11" ht="17" customHeight="1" x14ac:dyDescent="0.15">
      <c r="A97" s="82" t="s">
        <v>11</v>
      </c>
      <c r="B97" s="83">
        <f>SUM(Tabla93617[[#This Row],[Vida]],Tabla93617[[#This Row],[Gmm]])</f>
        <v>2</v>
      </c>
      <c r="C97" s="84">
        <v>2</v>
      </c>
      <c r="D97" s="85">
        <v>129625.1</v>
      </c>
      <c r="E97" s="87">
        <v>0</v>
      </c>
      <c r="F97" s="85">
        <v>0</v>
      </c>
      <c r="G97" s="86">
        <f>SUM(Tabla93617[[#This Row],[Prima vida]],Tabla93617[[#This Row],[Prima gmm]])</f>
        <v>129625.1</v>
      </c>
      <c r="I97" s="1" t="s">
        <v>59</v>
      </c>
      <c r="K97" s="1" t="s">
        <v>60</v>
      </c>
    </row>
    <row r="98" spans="1:11" ht="16" customHeight="1" x14ac:dyDescent="0.15">
      <c r="A98" s="82" t="s">
        <v>35</v>
      </c>
      <c r="B98" s="88">
        <f>SUM(Tabla93617[[#This Row],[Vida]],Tabla93617[[#This Row],[Gmm]])</f>
        <v>3</v>
      </c>
      <c r="C98" s="89">
        <v>2</v>
      </c>
      <c r="D98" s="85">
        <v>49298.46</v>
      </c>
      <c r="E98" s="89">
        <v>1</v>
      </c>
      <c r="F98" s="85">
        <v>68368.179999999993</v>
      </c>
      <c r="G98" s="86">
        <f>SUM(Tabla93617[[#This Row],[Prima vida]],Tabla93617[[#This Row],[Prima gmm]])</f>
        <v>117666.63999999998</v>
      </c>
      <c r="I98" s="1" t="s">
        <v>61</v>
      </c>
      <c r="K98" s="1" t="s">
        <v>62</v>
      </c>
    </row>
    <row r="99" spans="1:11" ht="13" x14ac:dyDescent="0.15">
      <c r="A99" s="82" t="s">
        <v>19</v>
      </c>
      <c r="B99" s="83">
        <f>SUM(Tabla93617[[#This Row],[Vida]],Tabla93617[[#This Row],[Gmm]])</f>
        <v>2.5</v>
      </c>
      <c r="C99" s="84">
        <v>2</v>
      </c>
      <c r="D99" s="85">
        <v>87113.03</v>
      </c>
      <c r="E99" s="84">
        <v>0.5</v>
      </c>
      <c r="F99" s="85">
        <v>25510.58</v>
      </c>
      <c r="G99" s="86">
        <f>SUM(Tabla93617[[#This Row],[Prima vida]],Tabla93617[[#This Row],[Prima gmm]])</f>
        <v>112623.61</v>
      </c>
      <c r="I99" s="1" t="s">
        <v>63</v>
      </c>
      <c r="K99" s="1" t="s">
        <v>64</v>
      </c>
    </row>
    <row r="100" spans="1:11" ht="16" customHeight="1" x14ac:dyDescent="0.15">
      <c r="A100" s="82" t="s">
        <v>52</v>
      </c>
      <c r="B100" s="88">
        <f>SUM(Tabla93617[[#This Row],[Vida]],Tabla93617[[#This Row],[Gmm]])</f>
        <v>3</v>
      </c>
      <c r="C100" s="89">
        <v>0</v>
      </c>
      <c r="D100" s="85">
        <v>0</v>
      </c>
      <c r="E100" s="89">
        <v>3</v>
      </c>
      <c r="F100" s="85">
        <v>112391.1</v>
      </c>
      <c r="G100" s="86">
        <f>SUM(Tabla93617[[#This Row],[Prima vida]],Tabla93617[[#This Row],[Prima gmm]])</f>
        <v>112391.1</v>
      </c>
      <c r="I100" s="1" t="s">
        <v>65</v>
      </c>
      <c r="K100" s="1" t="s">
        <v>66</v>
      </c>
    </row>
    <row r="101" spans="1:11" ht="13" x14ac:dyDescent="0.15">
      <c r="A101" s="82" t="s">
        <v>34</v>
      </c>
      <c r="B101" s="83">
        <f>SUM(Tabla93617[[#This Row],[Vida]],Tabla93617[[#This Row],[Gmm]])</f>
        <v>2</v>
      </c>
      <c r="C101" s="84">
        <v>2</v>
      </c>
      <c r="D101" s="85">
        <v>97101.37</v>
      </c>
      <c r="E101" s="87">
        <v>0</v>
      </c>
      <c r="F101" s="85">
        <v>0</v>
      </c>
      <c r="G101" s="86">
        <f>SUM(Tabla93617[[#This Row],[Prima vida]],Tabla93617[[#This Row],[Prima gmm]])</f>
        <v>97101.37</v>
      </c>
      <c r="I101" s="1" t="s">
        <v>67</v>
      </c>
      <c r="K101" s="1" t="s">
        <v>52</v>
      </c>
    </row>
    <row r="102" spans="1:11" ht="13" x14ac:dyDescent="0.15">
      <c r="A102" s="82" t="s">
        <v>27</v>
      </c>
      <c r="B102" s="88">
        <f>SUM(Tabla93617[[#This Row],[Vida]],Tabla93617[[#This Row],[Gmm]])</f>
        <v>4</v>
      </c>
      <c r="C102" s="89">
        <v>3</v>
      </c>
      <c r="D102" s="85">
        <v>57451.360000000001</v>
      </c>
      <c r="E102" s="89">
        <v>1</v>
      </c>
      <c r="F102" s="85">
        <v>29145.63</v>
      </c>
      <c r="G102" s="86">
        <f>SUM(Tabla93617[[#This Row],[Prima vida]],Tabla93617[[#This Row],[Prima gmm]])</f>
        <v>86596.99</v>
      </c>
      <c r="I102" s="1" t="s">
        <v>68</v>
      </c>
      <c r="K102" s="1" t="s">
        <v>52</v>
      </c>
    </row>
    <row r="103" spans="1:11" ht="13" x14ac:dyDescent="0.15">
      <c r="A103" s="82" t="s">
        <v>15</v>
      </c>
      <c r="B103" s="83">
        <f>SUM(Tabla93617[[#This Row],[Vida]],Tabla93617[[#This Row],[Gmm]])</f>
        <v>1</v>
      </c>
      <c r="C103" s="84">
        <v>1</v>
      </c>
      <c r="D103" s="85">
        <v>81000</v>
      </c>
      <c r="E103" s="87">
        <v>0</v>
      </c>
      <c r="F103" s="85">
        <v>0</v>
      </c>
      <c r="G103" s="86">
        <f>SUM(Tabla93617[[#This Row],[Prima vida]],Tabla93617[[#This Row],[Prima gmm]])</f>
        <v>81000</v>
      </c>
      <c r="I103" s="1" t="s">
        <v>69</v>
      </c>
      <c r="K103" s="1" t="s">
        <v>52</v>
      </c>
    </row>
    <row r="104" spans="1:11" ht="18" customHeight="1" x14ac:dyDescent="0.15">
      <c r="A104" s="82" t="s">
        <v>26</v>
      </c>
      <c r="B104" s="83">
        <f>SUM(Tabla93617[[#This Row],[Vida]],Tabla93617[[#This Row],[Gmm]])</f>
        <v>1.5</v>
      </c>
      <c r="C104" s="84">
        <v>1</v>
      </c>
      <c r="D104" s="85">
        <v>62461.19</v>
      </c>
      <c r="E104" s="84">
        <v>0.5</v>
      </c>
      <c r="F104" s="85">
        <v>2018.27</v>
      </c>
      <c r="G104" s="86">
        <f>SUM(Tabla93617[[#This Row],[Prima vida]],Tabla93617[[#This Row],[Prima gmm]])</f>
        <v>64479.46</v>
      </c>
    </row>
    <row r="105" spans="1:11" x14ac:dyDescent="0.15">
      <c r="A105" s="82" t="s">
        <v>32</v>
      </c>
      <c r="B105" s="83">
        <f>SUM(Tabla93617[[#This Row],[Vida]],Tabla93617[[#This Row],[Gmm]])</f>
        <v>1</v>
      </c>
      <c r="C105" s="84">
        <v>0</v>
      </c>
      <c r="D105" s="87">
        <v>0</v>
      </c>
      <c r="E105" s="84">
        <v>1</v>
      </c>
      <c r="F105" s="87">
        <v>46805.65</v>
      </c>
      <c r="G105" s="90">
        <f>SUM(Tabla93617[[#This Row],[Prima vida]],Tabla93617[[#This Row],[Prima gmm]])</f>
        <v>46805.65</v>
      </c>
    </row>
    <row r="106" spans="1:11" ht="15" customHeight="1" x14ac:dyDescent="0.15">
      <c r="A106" s="82" t="s">
        <v>28</v>
      </c>
      <c r="B106" s="83">
        <f>SUM(Tabla93617[[#This Row],[Vida]],Tabla93617[[#This Row],[Gmm]])</f>
        <v>2</v>
      </c>
      <c r="C106" s="84">
        <v>1</v>
      </c>
      <c r="D106" s="87">
        <v>2876.34</v>
      </c>
      <c r="E106" s="84">
        <v>1</v>
      </c>
      <c r="F106" s="87">
        <v>36884.6</v>
      </c>
      <c r="G106" s="91">
        <f>SUM(Tabla93617[[#This Row],[Prima vida]],Tabla93617[[#This Row],[Prima gmm]])</f>
        <v>39760.94</v>
      </c>
    </row>
    <row r="107" spans="1:11" ht="13" x14ac:dyDescent="0.15">
      <c r="A107" s="82" t="s">
        <v>14</v>
      </c>
      <c r="B107" s="88">
        <f>SUM(Tabla93617[[#This Row],[Vida]],Tabla93617[[#This Row],[Gmm]])</f>
        <v>4.5</v>
      </c>
      <c r="C107" s="89">
        <v>4</v>
      </c>
      <c r="D107" s="87">
        <v>20676.53</v>
      </c>
      <c r="E107" s="89">
        <v>0.5</v>
      </c>
      <c r="F107" s="87">
        <v>9339.0300000000007</v>
      </c>
      <c r="G107" s="91">
        <f>SUM(Tabla93617[[#This Row],[Prima vida]],Tabla93617[[#This Row],[Prima gmm]])</f>
        <v>30015.559999999998</v>
      </c>
    </row>
    <row r="108" spans="1:11" ht="13" x14ac:dyDescent="0.15">
      <c r="A108" s="82" t="s">
        <v>10</v>
      </c>
      <c r="B108" s="83">
        <f>SUM(Tabla93617[[#This Row],[Vida]],Tabla93617[[#This Row],[Gmm]])</f>
        <v>0.5</v>
      </c>
      <c r="C108" s="84">
        <v>0</v>
      </c>
      <c r="D108" s="87">
        <v>0</v>
      </c>
      <c r="E108" s="84">
        <v>0.5</v>
      </c>
      <c r="F108" s="87">
        <v>25983.41</v>
      </c>
      <c r="G108" s="91">
        <f>SUM(Tabla93617[[#This Row],[Prima vida]],Tabla93617[[#This Row],[Prima gmm]])</f>
        <v>25983.41</v>
      </c>
    </row>
    <row r="109" spans="1:11" ht="13" x14ac:dyDescent="0.15">
      <c r="A109" s="82" t="s">
        <v>20</v>
      </c>
      <c r="B109" s="88">
        <f>SUM(Tabla93617[[#This Row],[Vida]],Tabla93617[[#This Row],[Gmm]])</f>
        <v>5.5</v>
      </c>
      <c r="C109" s="89">
        <v>5</v>
      </c>
      <c r="D109" s="87">
        <v>21011.45</v>
      </c>
      <c r="E109" s="89">
        <v>0.5</v>
      </c>
      <c r="F109" s="87">
        <v>3397.66</v>
      </c>
      <c r="G109" s="91">
        <f>SUM(Tabla93617[[#This Row],[Prima vida]],Tabla93617[[#This Row],[Prima gmm]])</f>
        <v>24409.11</v>
      </c>
    </row>
    <row r="110" spans="1:11" ht="13" x14ac:dyDescent="0.15">
      <c r="A110" s="82" t="s">
        <v>38</v>
      </c>
      <c r="B110" s="83">
        <f>SUM(Tabla93617[[#This Row],[Vida]],Tabla93617[[#This Row],[Gmm]])</f>
        <v>2</v>
      </c>
      <c r="C110" s="84">
        <v>1</v>
      </c>
      <c r="D110" s="87">
        <v>1155.99</v>
      </c>
      <c r="E110" s="84">
        <v>1</v>
      </c>
      <c r="F110" s="87">
        <v>22549.360000000001</v>
      </c>
      <c r="G110" s="91">
        <f>SUM(Tabla93617[[#This Row],[Prima vida]],Tabla93617[[#This Row],[Prima gmm]])</f>
        <v>23705.350000000002</v>
      </c>
    </row>
    <row r="111" spans="1:11" ht="13" x14ac:dyDescent="0.15">
      <c r="A111" s="82" t="s">
        <v>25</v>
      </c>
      <c r="B111" s="83">
        <f>SUM(Tabla93617[[#This Row],[Vida]],Tabla93617[[#This Row],[Gmm]])</f>
        <v>2</v>
      </c>
      <c r="C111" s="84">
        <v>1</v>
      </c>
      <c r="D111" s="87">
        <v>1921.55</v>
      </c>
      <c r="E111" s="84">
        <v>1</v>
      </c>
      <c r="F111" s="87">
        <v>15186.55</v>
      </c>
      <c r="G111" s="91">
        <f>SUM(Tabla93617[[#This Row],[Prima vida]],Tabla93617[[#This Row],[Prima gmm]])</f>
        <v>17108.099999999999</v>
      </c>
    </row>
    <row r="112" spans="1:11" ht="13" x14ac:dyDescent="0.15">
      <c r="A112" s="82" t="s">
        <v>70</v>
      </c>
      <c r="B112" s="83">
        <f>SUM(Tabla93617[[#This Row],[Vida]],Tabla93617[[#This Row],[Gmm]])</f>
        <v>1.5</v>
      </c>
      <c r="C112" s="84">
        <v>1</v>
      </c>
      <c r="D112" s="87">
        <v>9519.9</v>
      </c>
      <c r="E112" s="84">
        <v>0.5</v>
      </c>
      <c r="F112" s="87">
        <v>5502.61</v>
      </c>
      <c r="G112" s="91">
        <f>SUM(Tabla93617[[#This Row],[Prima vida]],Tabla93617[[#This Row],[Prima gmm]])</f>
        <v>15022.509999999998</v>
      </c>
    </row>
    <row r="113" spans="1:7" ht="13" x14ac:dyDescent="0.15">
      <c r="A113" s="82" t="s">
        <v>71</v>
      </c>
      <c r="B113" s="83">
        <f>SUM(Tabla93617[[#This Row],[Vida]],Tabla93617[[#This Row],[Gmm]])</f>
        <v>1</v>
      </c>
      <c r="C113" s="84">
        <v>1</v>
      </c>
      <c r="D113" s="87">
        <v>13824.1</v>
      </c>
      <c r="E113" s="87">
        <v>0</v>
      </c>
      <c r="F113" s="87">
        <v>0</v>
      </c>
      <c r="G113" s="91">
        <f>SUM(Tabla93617[[#This Row],[Prima vida]],Tabla93617[[#This Row],[Prima gmm]])</f>
        <v>13824.1</v>
      </c>
    </row>
    <row r="114" spans="1:7" ht="13" x14ac:dyDescent="0.15">
      <c r="A114" s="82" t="s">
        <v>12</v>
      </c>
      <c r="B114" s="88">
        <f>SUM(Tabla93617[[#This Row],[Vida]],Tabla93617[[#This Row],[Gmm]])</f>
        <v>3</v>
      </c>
      <c r="C114" s="89">
        <v>3</v>
      </c>
      <c r="D114" s="87">
        <v>10620.23</v>
      </c>
      <c r="E114" s="85">
        <v>0</v>
      </c>
      <c r="F114" s="87">
        <v>0</v>
      </c>
      <c r="G114" s="91">
        <f>SUM(Tabla93617[[#This Row],[Prima vida]],Tabla93617[[#This Row],[Prima gmm]])</f>
        <v>10620.23</v>
      </c>
    </row>
    <row r="115" spans="1:7" ht="13" x14ac:dyDescent="0.15">
      <c r="A115" s="82" t="s">
        <v>16</v>
      </c>
      <c r="B115" s="88">
        <f>SUM(Tabla93617[[#This Row],[Vida]],Tabla93617[[#This Row],[Gmm]])</f>
        <v>3</v>
      </c>
      <c r="C115" s="89">
        <v>3</v>
      </c>
      <c r="D115" s="87">
        <v>6013.1</v>
      </c>
      <c r="E115" s="85">
        <v>0</v>
      </c>
      <c r="F115" s="87">
        <v>0</v>
      </c>
      <c r="G115" s="91">
        <f>SUM(Tabla93617[[#This Row],[Prima vida]],Tabla93617[[#This Row],[Prima gmm]])</f>
        <v>6013.1</v>
      </c>
    </row>
    <row r="116" spans="1:7" ht="13" x14ac:dyDescent="0.15">
      <c r="A116" s="82" t="s">
        <v>33</v>
      </c>
      <c r="B116" s="88">
        <f>SUM(Tabla93617[[#This Row],[Vida]],Tabla93617[[#This Row],[Gmm]])</f>
        <v>3</v>
      </c>
      <c r="C116" s="89">
        <v>3</v>
      </c>
      <c r="D116" s="87">
        <v>5408.76</v>
      </c>
      <c r="E116" s="85">
        <v>0</v>
      </c>
      <c r="F116" s="87">
        <v>0</v>
      </c>
      <c r="G116" s="91">
        <f>SUM(Tabla93617[[#This Row],[Prima vida]],Tabla93617[[#This Row],[Prima gmm]])</f>
        <v>5408.76</v>
      </c>
    </row>
    <row r="117" spans="1:7" x14ac:dyDescent="0.15">
      <c r="A117" s="82" t="s">
        <v>36</v>
      </c>
      <c r="B117" s="83">
        <f>SUM(Tabla93617[[#This Row],[Vida]],Tabla93617[[#This Row],[Gmm]])</f>
        <v>2</v>
      </c>
      <c r="C117" s="84">
        <v>2</v>
      </c>
      <c r="D117" s="87">
        <v>3389.41</v>
      </c>
      <c r="E117" s="87">
        <v>0</v>
      </c>
      <c r="F117" s="87">
        <v>0</v>
      </c>
      <c r="G117" s="90">
        <f>SUM(Tabla93617[[#This Row],[Prima vida]],Tabla93617[[#This Row],[Prima gmm]])</f>
        <v>3389.41</v>
      </c>
    </row>
    <row r="118" spans="1:7" x14ac:dyDescent="0.15">
      <c r="A118" s="82" t="s">
        <v>72</v>
      </c>
      <c r="B118" s="83">
        <f>SUM(Tabla93617[[#This Row],[Vida]],Tabla93617[[#This Row],[Gmm]])</f>
        <v>1</v>
      </c>
      <c r="C118" s="84">
        <v>1</v>
      </c>
      <c r="D118" s="87">
        <v>2451.62</v>
      </c>
      <c r="E118" s="87">
        <v>0</v>
      </c>
      <c r="F118" s="87">
        <v>0</v>
      </c>
      <c r="G118" s="90">
        <f>SUM(Tabla93617[[#This Row],[Prima vida]],Tabla93617[[#This Row],[Prima gmm]])</f>
        <v>2451.62</v>
      </c>
    </row>
    <row r="119" spans="1:7" ht="13" x14ac:dyDescent="0.15">
      <c r="A119" s="82" t="s">
        <v>29</v>
      </c>
      <c r="B119" s="83">
        <f>SUM(Tabla93617[[#This Row],[Vida]],Tabla93617[[#This Row],[Gmm]])</f>
        <v>1</v>
      </c>
      <c r="C119" s="84">
        <v>1</v>
      </c>
      <c r="D119" s="87">
        <v>2283.94</v>
      </c>
      <c r="E119" s="87">
        <v>0</v>
      </c>
      <c r="F119" s="87">
        <v>0</v>
      </c>
      <c r="G119" s="91">
        <f>SUM(Tabla93617[[#This Row],[Prima vida]],Tabla93617[[#This Row],[Prima gmm]])</f>
        <v>2283.94</v>
      </c>
    </row>
    <row r="120" spans="1:7" ht="13" x14ac:dyDescent="0.15">
      <c r="A120" s="82" t="s">
        <v>41</v>
      </c>
      <c r="B120" s="83">
        <f>SUM(Tabla93617[[#This Row],[Vida]],Tabla93617[[#This Row],[Gmm]])</f>
        <v>1</v>
      </c>
      <c r="C120" s="84">
        <v>1</v>
      </c>
      <c r="D120" s="87">
        <v>1689.02</v>
      </c>
      <c r="E120" s="87">
        <v>0</v>
      </c>
      <c r="F120" s="87">
        <v>0</v>
      </c>
      <c r="G120" s="91">
        <f>SUM(Tabla93617[[#This Row],[Prima vida]],Tabla93617[[#This Row],[Prima gmm]])</f>
        <v>1689.02</v>
      </c>
    </row>
    <row r="121" spans="1:7" ht="13" x14ac:dyDescent="0.15">
      <c r="A121" s="82" t="s">
        <v>46</v>
      </c>
      <c r="B121" s="83">
        <f>SUM(Tabla93617[[#This Row],[Vida]],Tabla93617[[#This Row],[Gmm]])</f>
        <v>1</v>
      </c>
      <c r="C121" s="84">
        <v>1</v>
      </c>
      <c r="D121" s="87">
        <v>1677.31</v>
      </c>
      <c r="E121" s="87">
        <v>0</v>
      </c>
      <c r="F121" s="87">
        <v>0</v>
      </c>
      <c r="G121" s="91">
        <f>SUM(Tabla93617[[#This Row],[Prima vida]],Tabla93617[[#This Row],[Prima gmm]])</f>
        <v>1677.31</v>
      </c>
    </row>
    <row r="122" spans="1:7" x14ac:dyDescent="0.15">
      <c r="A122" s="82" t="s">
        <v>17</v>
      </c>
      <c r="B122" s="83">
        <f>SUM(Tabla93617[[#This Row],[Vida]],Tabla93617[[#This Row],[Gmm]])</f>
        <v>0.5</v>
      </c>
      <c r="C122" s="84">
        <v>0</v>
      </c>
      <c r="D122" s="87">
        <v>0</v>
      </c>
      <c r="E122" s="84">
        <v>0.5</v>
      </c>
      <c r="F122" s="87">
        <v>1659.91</v>
      </c>
      <c r="G122" s="90">
        <f>SUM(Tabla93617[[#This Row],[Prima vida]],Tabla93617[[#This Row],[Prima gmm]])</f>
        <v>1659.91</v>
      </c>
    </row>
    <row r="123" spans="1:7" x14ac:dyDescent="0.15">
      <c r="A123" s="82" t="s">
        <v>31</v>
      </c>
      <c r="B123" s="92">
        <f>SUM(Tabla93617[[#This Row],[Vida]],Tabla93617[[#This Row],[Gmm]])</f>
        <v>0</v>
      </c>
      <c r="C123" s="93">
        <v>0</v>
      </c>
      <c r="D123" s="94">
        <v>0</v>
      </c>
      <c r="E123" s="93"/>
      <c r="F123" s="94">
        <v>0</v>
      </c>
      <c r="G123" s="95">
        <f>SUM(Tabla93617[[#This Row],[Prima vida]],Tabla93617[[#This Row],[Prima gmm]])</f>
        <v>0</v>
      </c>
    </row>
    <row r="124" spans="1:7" ht="13" x14ac:dyDescent="0.15">
      <c r="A124" s="82" t="s">
        <v>30</v>
      </c>
      <c r="B124" s="92">
        <f>SUM(Tabla93617[[#This Row],[Vida]],Tabla93617[[#This Row],[Gmm]])</f>
        <v>0</v>
      </c>
      <c r="C124" s="93">
        <v>0</v>
      </c>
      <c r="D124" s="94">
        <v>0</v>
      </c>
      <c r="E124" s="93"/>
      <c r="F124" s="94">
        <v>0</v>
      </c>
      <c r="G124" s="96">
        <f>SUM(Tabla93617[[#This Row],[Prima vida]],Tabla93617[[#This Row],[Prima gmm]])</f>
        <v>0</v>
      </c>
    </row>
    <row r="125" spans="1:7" ht="15" customHeight="1" x14ac:dyDescent="0.15">
      <c r="A125" s="82" t="s">
        <v>42</v>
      </c>
      <c r="B125" s="92">
        <f>SUM(Tabla93617[[#This Row],[Vida]],Tabla93617[[#This Row],[Gmm]])</f>
        <v>0</v>
      </c>
      <c r="C125" s="93">
        <v>0</v>
      </c>
      <c r="D125" s="94">
        <v>0</v>
      </c>
      <c r="E125" s="93"/>
      <c r="F125" s="94">
        <v>0</v>
      </c>
      <c r="G125" s="96">
        <f>SUM(Tabla93617[[#This Row],[Prima vida]],Tabla93617[[#This Row],[Prima gmm]])</f>
        <v>0</v>
      </c>
    </row>
    <row r="126" spans="1:7" ht="13" x14ac:dyDescent="0.15">
      <c r="A126" s="82" t="s">
        <v>37</v>
      </c>
      <c r="B126" s="92">
        <f>SUM(Tabla93617[[#This Row],[Vida]],Tabla93617[[#This Row],[Gmm]])</f>
        <v>0</v>
      </c>
      <c r="C126" s="93">
        <v>0</v>
      </c>
      <c r="D126" s="94">
        <v>0</v>
      </c>
      <c r="E126" s="97"/>
      <c r="F126" s="94">
        <v>0</v>
      </c>
      <c r="G126" s="96">
        <f>SUM(Tabla93617[[#This Row],[Prima vida]],Tabla93617[[#This Row],[Prima gmm]])</f>
        <v>0</v>
      </c>
    </row>
    <row r="127" spans="1:7" ht="13" x14ac:dyDescent="0.15">
      <c r="A127" s="82" t="s">
        <v>24</v>
      </c>
      <c r="B127" s="92">
        <f>SUM(Tabla93617[[#This Row],[Vida]],Tabla93617[[#This Row],[Gmm]])</f>
        <v>0</v>
      </c>
      <c r="C127" s="93">
        <v>0</v>
      </c>
      <c r="D127" s="94">
        <v>0</v>
      </c>
      <c r="E127" s="97"/>
      <c r="F127" s="94">
        <v>0</v>
      </c>
      <c r="G127" s="96">
        <f>SUM(Tabla93617[[#This Row],[Prima vida]],Tabla93617[[#This Row],[Prima gmm]])</f>
        <v>0</v>
      </c>
    </row>
    <row r="128" spans="1:7" ht="13" x14ac:dyDescent="0.15">
      <c r="A128" s="82" t="s">
        <v>43</v>
      </c>
      <c r="B128" s="92">
        <f>SUM(Tabla93617[[#This Row],[Vida]],Tabla93617[[#This Row],[Gmm]])</f>
        <v>0</v>
      </c>
      <c r="C128" s="93">
        <v>0</v>
      </c>
      <c r="D128" s="94">
        <v>0</v>
      </c>
      <c r="E128" s="97"/>
      <c r="F128" s="94">
        <v>0</v>
      </c>
      <c r="G128" s="96">
        <f>SUM(Tabla93617[[#This Row],[Prima vida]],Tabla93617[[#This Row],[Prima gmm]])</f>
        <v>0</v>
      </c>
    </row>
    <row r="129" spans="1:12" ht="13" x14ac:dyDescent="0.15">
      <c r="A129" s="82" t="s">
        <v>44</v>
      </c>
      <c r="B129" s="92">
        <f>SUM(Tabla93617[[#This Row],[Vida]],Tabla93617[[#This Row],[Gmm]])</f>
        <v>0</v>
      </c>
      <c r="C129" s="93">
        <v>0</v>
      </c>
      <c r="D129" s="94">
        <v>0</v>
      </c>
      <c r="E129" s="97"/>
      <c r="F129" s="94">
        <v>0</v>
      </c>
      <c r="G129" s="98">
        <f>SUM(Tabla93617[[#This Row],[Prima vida]],Tabla93617[[#This Row],[Prima gmm]])</f>
        <v>0</v>
      </c>
    </row>
    <row r="130" spans="1:12" ht="13" x14ac:dyDescent="0.15">
      <c r="A130" s="43" t="s">
        <v>50</v>
      </c>
      <c r="B130" s="44">
        <f>SUM(Tabla93617[[Pólizas ]])</f>
        <v>57</v>
      </c>
      <c r="C130" s="45">
        <f>SUM(Tabla93617[Vida])</f>
        <v>44</v>
      </c>
      <c r="D130" s="80">
        <f>SUM(Tabla93617[Prima vida])</f>
        <v>780645.69</v>
      </c>
      <c r="E130" s="81">
        <f>SUM(Tabla93617[Gmm])</f>
        <v>13</v>
      </c>
      <c r="F130" s="80">
        <f>SUM(Tabla93617[Prima gmm])</f>
        <v>435503.48999999993</v>
      </c>
      <c r="G130" s="80">
        <f>SUM(Tabla93617[Prima total])</f>
        <v>1216149.1800000004</v>
      </c>
    </row>
    <row r="131" spans="1:12" ht="13" x14ac:dyDescent="0.15">
      <c r="D131" s="1"/>
      <c r="E131" s="1"/>
      <c r="G131" s="1"/>
    </row>
    <row r="132" spans="1:12" ht="13" x14ac:dyDescent="0.15">
      <c r="D132" s="1"/>
      <c r="E132" s="1"/>
      <c r="G132" s="1"/>
    </row>
    <row r="133" spans="1:12" ht="13" x14ac:dyDescent="0.15">
      <c r="D133" s="1"/>
      <c r="E133" s="1"/>
      <c r="G133" s="1"/>
    </row>
    <row r="134" spans="1:12" x14ac:dyDescent="0.15">
      <c r="A134" s="320" t="s">
        <v>73</v>
      </c>
      <c r="B134" s="320"/>
      <c r="C134" s="320"/>
      <c r="D134" s="320"/>
      <c r="E134" s="320"/>
      <c r="F134" s="320"/>
      <c r="G134" s="320"/>
      <c r="H134" s="320"/>
    </row>
    <row r="135" spans="1:12" ht="14" x14ac:dyDescent="0.15">
      <c r="A135" s="2" t="s">
        <v>1</v>
      </c>
      <c r="B135" s="3" t="s">
        <v>2</v>
      </c>
      <c r="C135" s="3" t="s">
        <v>3</v>
      </c>
      <c r="D135" s="4" t="s">
        <v>4</v>
      </c>
      <c r="E135" s="5" t="s">
        <v>5</v>
      </c>
      <c r="F135" s="3" t="s">
        <v>6</v>
      </c>
      <c r="G135" s="6" t="s">
        <v>7</v>
      </c>
    </row>
    <row r="136" spans="1:12" ht="16" customHeight="1" x14ac:dyDescent="0.15">
      <c r="A136" s="99" t="s">
        <v>29</v>
      </c>
      <c r="B136" s="100">
        <f>SUM(Tabla9361730[[#This Row],[Vida]],Tabla9361730[[#This Row],[Gmm]])</f>
        <v>1.5</v>
      </c>
      <c r="C136" s="100">
        <v>1</v>
      </c>
      <c r="D136" s="101">
        <v>1450621.86</v>
      </c>
      <c r="E136" s="61">
        <v>0.5</v>
      </c>
      <c r="F136" s="101">
        <v>2217.8200000000002</v>
      </c>
      <c r="G136" s="102">
        <f>SUM(Tabla9361730[[#This Row],[Prima vida]],Tabla9361730[[#This Row],[Prima gmm]])</f>
        <v>1452839.6800000002</v>
      </c>
      <c r="I136" s="1" t="s">
        <v>56</v>
      </c>
      <c r="L136" s="103"/>
    </row>
    <row r="137" spans="1:12" ht="13" x14ac:dyDescent="0.15">
      <c r="A137" s="99" t="s">
        <v>11</v>
      </c>
      <c r="B137" s="104">
        <f>SUM(Tabla9361730[[#This Row],[Vida]],Tabla9361730[[#This Row],[Gmm]])</f>
        <v>5</v>
      </c>
      <c r="C137" s="104">
        <v>4</v>
      </c>
      <c r="D137" s="101">
        <v>306568.24</v>
      </c>
      <c r="E137" s="105">
        <v>1</v>
      </c>
      <c r="F137" s="101">
        <v>45703.03</v>
      </c>
      <c r="G137" s="102">
        <f>SUM(Tabla9361730[[#This Row],[Prima vida]],Tabla9361730[[#This Row],[Prima gmm]])</f>
        <v>352271.27</v>
      </c>
      <c r="I137" s="106" t="s">
        <v>74</v>
      </c>
      <c r="J137" s="106"/>
      <c r="K137" s="106" t="s">
        <v>75</v>
      </c>
      <c r="L137" s="103"/>
    </row>
    <row r="138" spans="1:12" ht="13" x14ac:dyDescent="0.15">
      <c r="A138" s="99" t="s">
        <v>76</v>
      </c>
      <c r="B138" s="104">
        <f>SUM(Tabla9361730[[#This Row],[Vida]],Tabla9361730[[#This Row],[Gmm]])</f>
        <v>3</v>
      </c>
      <c r="C138" s="104">
        <v>2</v>
      </c>
      <c r="D138" s="101">
        <v>148379.63</v>
      </c>
      <c r="E138" s="105">
        <v>1</v>
      </c>
      <c r="F138" s="101">
        <v>60543.3</v>
      </c>
      <c r="G138" s="102">
        <f>SUM(Tabla9361730[[#This Row],[Prima vida]],Tabla9361730[[#This Row],[Prima gmm]])</f>
        <v>208922.93</v>
      </c>
      <c r="I138" s="106" t="s">
        <v>59</v>
      </c>
      <c r="J138" s="106"/>
      <c r="K138" s="106" t="s">
        <v>75</v>
      </c>
      <c r="L138" s="103"/>
    </row>
    <row r="139" spans="1:12" ht="13" x14ac:dyDescent="0.15">
      <c r="A139" s="99" t="s">
        <v>20</v>
      </c>
      <c r="B139" s="104">
        <f>SUM(Tabla9361730[[#This Row],[Vida]],Tabla9361730[[#This Row],[Gmm]])</f>
        <v>8</v>
      </c>
      <c r="C139" s="104">
        <v>8</v>
      </c>
      <c r="D139" s="101">
        <v>113193.51</v>
      </c>
      <c r="E139" s="105"/>
      <c r="F139" s="101"/>
      <c r="G139" s="102">
        <f>SUM(Tabla9361730[[#This Row],[Prima vida]],Tabla9361730[[#This Row],[Prima gmm]])</f>
        <v>113193.51</v>
      </c>
      <c r="I139" s="106" t="s">
        <v>61</v>
      </c>
      <c r="J139" s="106"/>
      <c r="K139" s="106" t="s">
        <v>77</v>
      </c>
      <c r="L139" s="103"/>
    </row>
    <row r="140" spans="1:12" ht="13" x14ac:dyDescent="0.15">
      <c r="A140" s="99" t="s">
        <v>10</v>
      </c>
      <c r="B140" s="100">
        <f>SUM(Tabla9361730[[#This Row],[Vida]],Tabla9361730[[#This Row],[Gmm]])</f>
        <v>2</v>
      </c>
      <c r="C140" s="100">
        <v>2</v>
      </c>
      <c r="D140" s="101">
        <v>100844.51</v>
      </c>
      <c r="E140" s="61"/>
      <c r="F140" s="101"/>
      <c r="G140" s="102">
        <f>SUM(Tabla9361730[[#This Row],[Prima vida]],Tabla9361730[[#This Row],[Prima gmm]])</f>
        <v>100844.51</v>
      </c>
      <c r="I140" s="106" t="s">
        <v>63</v>
      </c>
      <c r="J140" s="106"/>
      <c r="K140" s="106" t="s">
        <v>60</v>
      </c>
      <c r="L140" s="103"/>
    </row>
    <row r="141" spans="1:12" ht="13" x14ac:dyDescent="0.15">
      <c r="A141" s="99" t="s">
        <v>28</v>
      </c>
      <c r="B141" s="104">
        <f>SUM(Tabla9361730[[#This Row],[Vida]],Tabla9361730[[#This Row],[Gmm]])</f>
        <v>5</v>
      </c>
      <c r="C141" s="104">
        <v>4</v>
      </c>
      <c r="D141" s="101">
        <v>73782.759999999995</v>
      </c>
      <c r="E141" s="105">
        <v>1</v>
      </c>
      <c r="F141" s="101">
        <v>20161.61</v>
      </c>
      <c r="G141" s="102">
        <f>SUM(Tabla9361730[[#This Row],[Prima vida]],Tabla9361730[[#This Row],[Prima gmm]])</f>
        <v>93944.37</v>
      </c>
      <c r="I141" s="106" t="s">
        <v>65</v>
      </c>
      <c r="J141" s="106"/>
      <c r="K141" s="106" t="s">
        <v>66</v>
      </c>
      <c r="L141" s="103"/>
    </row>
    <row r="142" spans="1:12" ht="15" customHeight="1" x14ac:dyDescent="0.15">
      <c r="A142" s="99" t="s">
        <v>12</v>
      </c>
      <c r="B142" s="104">
        <f>SUM(Tabla9361730[[#This Row],[Vida]],Tabla9361730[[#This Row],[Gmm]])</f>
        <v>3</v>
      </c>
      <c r="C142" s="104">
        <v>2</v>
      </c>
      <c r="D142" s="101">
        <v>34840</v>
      </c>
      <c r="E142" s="105">
        <v>1</v>
      </c>
      <c r="F142" s="101">
        <v>30077.97</v>
      </c>
      <c r="G142" s="102">
        <f>SUM(Tabla9361730[[#This Row],[Prima vida]],Tabla9361730[[#This Row],[Prima gmm]])</f>
        <v>64917.97</v>
      </c>
      <c r="I142" s="106" t="s">
        <v>67</v>
      </c>
      <c r="J142" s="106"/>
      <c r="K142" s="106" t="s">
        <v>66</v>
      </c>
      <c r="L142" s="103"/>
    </row>
    <row r="143" spans="1:12" ht="17" customHeight="1" x14ac:dyDescent="0.15">
      <c r="A143" s="99" t="s">
        <v>71</v>
      </c>
      <c r="B143" s="100">
        <f>SUM(Tabla9361730[[#This Row],[Vida]],Tabla9361730[[#This Row],[Gmm]])</f>
        <v>2</v>
      </c>
      <c r="C143" s="100">
        <v>2</v>
      </c>
      <c r="D143" s="101">
        <v>50997.99</v>
      </c>
      <c r="E143" s="61"/>
      <c r="F143" s="101"/>
      <c r="G143" s="102">
        <f>SUM(Tabla9361730[[#This Row],[Prima vida]],Tabla9361730[[#This Row],[Prima gmm]])</f>
        <v>50997.99</v>
      </c>
      <c r="I143" s="106" t="s">
        <v>68</v>
      </c>
      <c r="J143" s="106"/>
      <c r="K143" s="106" t="s">
        <v>52</v>
      </c>
      <c r="L143" s="103"/>
    </row>
    <row r="144" spans="1:12" ht="17" customHeight="1" x14ac:dyDescent="0.15">
      <c r="A144" s="99" t="s">
        <v>78</v>
      </c>
      <c r="B144" s="100">
        <f>SUM(Tabla9361730[[#This Row],[Vida]],Tabla9361730[[#This Row],[Gmm]])</f>
        <v>1.5</v>
      </c>
      <c r="C144" s="100">
        <v>1</v>
      </c>
      <c r="D144" s="64">
        <v>30693.360000000001</v>
      </c>
      <c r="E144" s="61">
        <v>0.5</v>
      </c>
      <c r="F144" s="64">
        <v>11454.57</v>
      </c>
      <c r="G144" s="66">
        <f>SUM(Tabla9361730[[#This Row],[Prima vida]],Tabla9361730[[#This Row],[Prima gmm]])</f>
        <v>42147.93</v>
      </c>
      <c r="I144" s="321" t="s">
        <v>69</v>
      </c>
      <c r="J144" s="107"/>
      <c r="K144" s="106" t="s">
        <v>52</v>
      </c>
      <c r="L144" s="103"/>
    </row>
    <row r="145" spans="1:16" ht="13" x14ac:dyDescent="0.15">
      <c r="A145" s="99" t="s">
        <v>27</v>
      </c>
      <c r="B145" s="104">
        <f>SUM(Tabla9361730[[#This Row],[Vida]],Tabla9361730[[#This Row],[Gmm]])</f>
        <v>4</v>
      </c>
      <c r="C145" s="104">
        <v>4</v>
      </c>
      <c r="D145" s="64">
        <v>37909.18</v>
      </c>
      <c r="E145" s="105"/>
      <c r="F145" s="101"/>
      <c r="G145" s="66">
        <f>SUM(Tabla9361730[[#This Row],[Prima vida]],Tabla9361730[[#This Row],[Prima gmm]])</f>
        <v>37909.18</v>
      </c>
      <c r="I145" s="322"/>
      <c r="J145" s="108"/>
      <c r="K145" s="109" t="s">
        <v>66</v>
      </c>
      <c r="L145" s="103"/>
    </row>
    <row r="146" spans="1:16" x14ac:dyDescent="0.15">
      <c r="A146" s="99" t="s">
        <v>26</v>
      </c>
      <c r="B146" s="100">
        <f>SUM(Tabla9361730[[#This Row],[Vida]],Tabla9361730[[#This Row],[Gmm]])</f>
        <v>0.5</v>
      </c>
      <c r="C146" s="100">
        <v>0</v>
      </c>
      <c r="D146" s="64">
        <v>0</v>
      </c>
      <c r="E146" s="61">
        <v>0.5</v>
      </c>
      <c r="F146" s="64">
        <v>33685</v>
      </c>
      <c r="G146" s="70">
        <f>SUM(Tabla9361730[[#This Row],[Prima vida]],Tabla9361730[[#This Row],[Prima gmm]])</f>
        <v>33685</v>
      </c>
      <c r="I146" s="322"/>
      <c r="J146" s="108"/>
      <c r="K146" s="109" t="s">
        <v>75</v>
      </c>
      <c r="L146" s="103"/>
    </row>
    <row r="147" spans="1:16" x14ac:dyDescent="0.15">
      <c r="A147" s="99" t="s">
        <v>13</v>
      </c>
      <c r="B147" s="104">
        <f>SUM(Tabla9361730[[#This Row],[Vida]],Tabla9361730[[#This Row],[Gmm]])</f>
        <v>3.5</v>
      </c>
      <c r="C147" s="104">
        <v>3</v>
      </c>
      <c r="D147" s="64">
        <v>8961.74</v>
      </c>
      <c r="E147" s="105">
        <v>0.5</v>
      </c>
      <c r="F147" s="64">
        <v>22989.95</v>
      </c>
      <c r="G147" s="70">
        <f>SUM(Tabla9361730[[#This Row],[Prima vida]],Tabla9361730[[#This Row],[Prima gmm]])</f>
        <v>31951.690000000002</v>
      </c>
      <c r="I147" s="323"/>
      <c r="J147" s="110"/>
      <c r="K147" s="109" t="s">
        <v>79</v>
      </c>
      <c r="L147" s="103"/>
    </row>
    <row r="148" spans="1:16" ht="13" x14ac:dyDescent="0.15">
      <c r="A148" s="99" t="s">
        <v>14</v>
      </c>
      <c r="B148" s="100">
        <f>SUM(Tabla9361730[[#This Row],[Vida]],Tabla9361730[[#This Row],[Gmm]])</f>
        <v>2.5</v>
      </c>
      <c r="C148" s="100">
        <v>2</v>
      </c>
      <c r="D148" s="111" t="s">
        <v>80</v>
      </c>
      <c r="E148" s="61">
        <v>0.5</v>
      </c>
      <c r="F148" s="64">
        <v>31090.68</v>
      </c>
      <c r="G148" s="66">
        <f>SUM(Tabla9361730[[#This Row],[Prima vida]],Tabla9361730[[#This Row],[Prima gmm]])</f>
        <v>31090.68</v>
      </c>
      <c r="I148" s="112"/>
      <c r="J148" s="112"/>
      <c r="K148" s="113"/>
      <c r="L148" s="103"/>
    </row>
    <row r="149" spans="1:16" ht="16" customHeight="1" x14ac:dyDescent="0.15">
      <c r="A149" s="99" t="s">
        <v>32</v>
      </c>
      <c r="B149" s="100">
        <f>SUM(Tabla9361730[[#This Row],[Vida]],Tabla9361730[[#This Row],[Gmm]])</f>
        <v>1.5</v>
      </c>
      <c r="C149" s="100">
        <v>1</v>
      </c>
      <c r="D149" s="64">
        <v>1641.38</v>
      </c>
      <c r="E149" s="61">
        <v>0.5</v>
      </c>
      <c r="F149" s="64">
        <v>22974.54</v>
      </c>
      <c r="G149" s="66">
        <f>SUM(Tabla9361730[[#This Row],[Prima vida]],Tabla9361730[[#This Row],[Prima gmm]])</f>
        <v>24615.920000000002</v>
      </c>
      <c r="I149" s="112"/>
      <c r="J149" s="112"/>
      <c r="K149" s="113"/>
      <c r="L149" s="103"/>
    </row>
    <row r="150" spans="1:16" ht="23" x14ac:dyDescent="0.25">
      <c r="A150" s="99" t="s">
        <v>72</v>
      </c>
      <c r="B150" s="104">
        <f>SUM(Tabla9361730[[#This Row],[Vida]],Tabla9361730[[#This Row],[Gmm]])</f>
        <v>3</v>
      </c>
      <c r="C150" s="104">
        <v>3</v>
      </c>
      <c r="D150" s="101">
        <v>13968.19</v>
      </c>
      <c r="E150" s="105"/>
      <c r="F150" s="101"/>
      <c r="G150" s="102">
        <f>SUM(Tabla9361730[[#This Row],[Prima vida]],Tabla9361730[[#This Row],[Prima gmm]])</f>
        <v>13968.19</v>
      </c>
      <c r="I150" s="114" t="s">
        <v>81</v>
      </c>
      <c r="J150" s="115"/>
      <c r="K150" s="113"/>
      <c r="L150" s="114" t="s">
        <v>82</v>
      </c>
      <c r="N150" s="114" t="s">
        <v>83</v>
      </c>
      <c r="P150" s="114" t="s">
        <v>84</v>
      </c>
    </row>
    <row r="151" spans="1:16" x14ac:dyDescent="0.15">
      <c r="A151" s="99" t="s">
        <v>85</v>
      </c>
      <c r="B151" s="100">
        <f>SUM(Tabla9361730[[#This Row],[Vida]],Tabla9361730[[#This Row],[Gmm]])</f>
        <v>1.5</v>
      </c>
      <c r="C151" s="100">
        <v>1</v>
      </c>
      <c r="D151" s="64">
        <v>1634.71</v>
      </c>
      <c r="E151" s="61">
        <v>0.5</v>
      </c>
      <c r="F151" s="64">
        <v>10232.879999999999</v>
      </c>
      <c r="G151" s="70">
        <f>SUM(Tabla9361730[[#This Row],[Prima vida]],Tabla9361730[[#This Row],[Prima gmm]])</f>
        <v>11867.59</v>
      </c>
      <c r="I151" s="116" t="s">
        <v>86</v>
      </c>
      <c r="J151" s="117"/>
      <c r="K151" s="113"/>
      <c r="L151" s="116" t="s">
        <v>86</v>
      </c>
      <c r="N151" s="116" t="s">
        <v>86</v>
      </c>
      <c r="P151" s="116" t="s">
        <v>86</v>
      </c>
    </row>
    <row r="152" spans="1:16" ht="13" x14ac:dyDescent="0.15">
      <c r="A152" s="99" t="s">
        <v>43</v>
      </c>
      <c r="B152" s="100">
        <f>SUM(Tabla9361730[[#This Row],[Vida]],Tabla9361730[[#This Row],[Gmm]])</f>
        <v>0.5</v>
      </c>
      <c r="C152" s="100">
        <v>0</v>
      </c>
      <c r="D152" s="64">
        <v>0</v>
      </c>
      <c r="E152" s="61">
        <v>0.5</v>
      </c>
      <c r="F152" s="64">
        <v>7182.84</v>
      </c>
      <c r="G152" s="118">
        <f>SUM(Tabla9361730[[#This Row],[Prima vida]],Tabla9361730[[#This Row],[Prima gmm]])</f>
        <v>7182.84</v>
      </c>
      <c r="I152" s="119"/>
      <c r="K152" s="113"/>
      <c r="L152" s="120"/>
      <c r="N152" s="120"/>
      <c r="P152" s="120"/>
    </row>
    <row r="153" spans="1:16" ht="13" x14ac:dyDescent="0.15">
      <c r="A153" s="99" t="s">
        <v>25</v>
      </c>
      <c r="B153" s="100">
        <f>SUM(Tabla9361730[[#This Row],[Vida]],Tabla9361730[[#This Row],[Gmm]])</f>
        <v>2</v>
      </c>
      <c r="C153" s="100">
        <v>2</v>
      </c>
      <c r="D153" s="64">
        <v>4015.53</v>
      </c>
      <c r="E153" s="61"/>
      <c r="F153" s="64"/>
      <c r="G153" s="66">
        <f>SUM(Tabla9361730[[#This Row],[Prima vida]],Tabla9361730[[#This Row],[Prima gmm]])</f>
        <v>4015.53</v>
      </c>
      <c r="I153" s="121" t="s">
        <v>31</v>
      </c>
      <c r="J153" s="122"/>
      <c r="K153" s="113"/>
      <c r="L153" s="121" t="s">
        <v>16</v>
      </c>
      <c r="N153" s="121" t="s">
        <v>41</v>
      </c>
      <c r="P153" s="121" t="s">
        <v>35</v>
      </c>
    </row>
    <row r="154" spans="1:16" ht="13" x14ac:dyDescent="0.15">
      <c r="A154" s="99" t="s">
        <v>33</v>
      </c>
      <c r="B154" s="100">
        <f>SUM(Tabla9361730[[#This Row],[Vida]],Tabla9361730[[#This Row],[Gmm]])</f>
        <v>2</v>
      </c>
      <c r="C154" s="100">
        <v>2</v>
      </c>
      <c r="D154" s="64">
        <v>2804.52</v>
      </c>
      <c r="E154" s="64"/>
      <c r="F154" s="64"/>
      <c r="G154" s="66">
        <f>SUM(Tabla9361730[[#This Row],[Prima vida]],Tabla9361730[[#This Row],[Prima gmm]])</f>
        <v>2804.52</v>
      </c>
      <c r="K154" s="113"/>
      <c r="L154" s="121" t="s">
        <v>34</v>
      </c>
      <c r="N154" s="123"/>
      <c r="P154" s="121" t="s">
        <v>37</v>
      </c>
    </row>
    <row r="155" spans="1:16" ht="13" x14ac:dyDescent="0.15">
      <c r="A155" s="99" t="s">
        <v>24</v>
      </c>
      <c r="B155" s="100">
        <f>SUM(Tabla9361730[[#This Row],[Vida]],Tabla9361730[[#This Row],[Gmm]])</f>
        <v>1</v>
      </c>
      <c r="C155" s="100">
        <v>1</v>
      </c>
      <c r="D155" s="64">
        <v>2093.58</v>
      </c>
      <c r="E155" s="61"/>
      <c r="F155" s="64"/>
      <c r="G155" s="66">
        <f>SUM(Tabla9361730[[#This Row],[Prima vida]],Tabla9361730[[#This Row],[Prima gmm]])</f>
        <v>2093.58</v>
      </c>
      <c r="P155" s="121" t="s">
        <v>49</v>
      </c>
    </row>
    <row r="156" spans="1:16" ht="13" x14ac:dyDescent="0.15">
      <c r="A156" s="99" t="s">
        <v>17</v>
      </c>
      <c r="B156" s="124">
        <f>SUM(Tabla9361730[[#This Row],[Vida]],Tabla9361730[[#This Row],[Gmm]])</f>
        <v>0</v>
      </c>
      <c r="C156" s="124">
        <v>0</v>
      </c>
      <c r="D156" s="73">
        <v>0</v>
      </c>
      <c r="E156" s="74"/>
      <c r="F156" s="125"/>
      <c r="G156" s="77">
        <f>SUM(Tabla9361730[[#This Row],[Prima vida]],Tabla9361730[[#This Row],[Prima gmm]])</f>
        <v>0</v>
      </c>
      <c r="P156" s="121" t="s">
        <v>19</v>
      </c>
    </row>
    <row r="157" spans="1:16" ht="13" x14ac:dyDescent="0.15">
      <c r="A157" s="99" t="s">
        <v>16</v>
      </c>
      <c r="B157" s="124">
        <f>SUM(Tabla9361730[[#This Row],[Vida]],Tabla9361730[[#This Row],[Gmm]])</f>
        <v>0</v>
      </c>
      <c r="C157" s="124">
        <v>0</v>
      </c>
      <c r="D157" s="73">
        <v>0</v>
      </c>
      <c r="E157" s="73"/>
      <c r="F157" s="73"/>
      <c r="G157" s="76">
        <f>SUM(Tabla9361730[[#This Row],[Prima vida]],Tabla9361730[[#This Row],[Prima gmm]])</f>
        <v>0</v>
      </c>
      <c r="P157" s="121" t="s">
        <v>30</v>
      </c>
    </row>
    <row r="158" spans="1:16" ht="13" x14ac:dyDescent="0.15">
      <c r="A158" s="99" t="s">
        <v>35</v>
      </c>
      <c r="B158" s="124">
        <f>SUM(Tabla9361730[[#This Row],[Vida]],Tabla9361730[[#This Row],[Gmm]])</f>
        <v>0</v>
      </c>
      <c r="C158" s="124">
        <v>0</v>
      </c>
      <c r="D158" s="73">
        <v>0</v>
      </c>
      <c r="E158" s="73"/>
      <c r="F158" s="73"/>
      <c r="G158" s="76">
        <f>SUM(Tabla9361730[[#This Row],[Prima vida]],Tabla9361730[[#This Row],[Prima gmm]])</f>
        <v>0</v>
      </c>
      <c r="P158" s="121" t="s">
        <v>38</v>
      </c>
    </row>
    <row r="159" spans="1:16" ht="13" x14ac:dyDescent="0.15">
      <c r="A159" s="99" t="s">
        <v>37</v>
      </c>
      <c r="B159" s="124">
        <f>SUM(Tabla9361730[[#This Row],[Vida]],Tabla9361730[[#This Row],[Gmm]])</f>
        <v>0</v>
      </c>
      <c r="C159" s="124">
        <v>0</v>
      </c>
      <c r="D159" s="73">
        <v>0</v>
      </c>
      <c r="E159" s="73"/>
      <c r="F159" s="73"/>
      <c r="G159" s="76">
        <f>SUM(Tabla9361730[[#This Row],[Prima vida]],Tabla9361730[[#This Row],[Prima gmm]])</f>
        <v>0</v>
      </c>
      <c r="P159" s="121" t="s">
        <v>18</v>
      </c>
    </row>
    <row r="160" spans="1:16" ht="13" x14ac:dyDescent="0.15">
      <c r="A160" s="99" t="s">
        <v>49</v>
      </c>
      <c r="B160" s="124">
        <f>SUM(Tabla9361730[[#This Row],[Vida]],Tabla9361730[[#This Row],[Gmm]])</f>
        <v>0</v>
      </c>
      <c r="C160" s="124">
        <v>0</v>
      </c>
      <c r="D160" s="73">
        <v>0</v>
      </c>
      <c r="E160" s="74"/>
      <c r="F160" s="125"/>
      <c r="G160" s="77">
        <f>SUM(Tabla9361730[[#This Row],[Prima vida]],Tabla9361730[[#This Row],[Prima gmm]])</f>
        <v>0</v>
      </c>
    </row>
    <row r="161" spans="1:11" ht="13" x14ac:dyDescent="0.15">
      <c r="A161" s="99" t="s">
        <v>31</v>
      </c>
      <c r="B161" s="124">
        <f>SUM(Tabla9361730[[#This Row],[Vida]],Tabla9361730[[#This Row],[Gmm]])</f>
        <v>0</v>
      </c>
      <c r="C161" s="124">
        <v>0</v>
      </c>
      <c r="D161" s="73">
        <v>0</v>
      </c>
      <c r="E161" s="72"/>
      <c r="F161" s="73"/>
      <c r="G161" s="76">
        <f>SUM(Tabla9361730[[#This Row],[Prima vida]],Tabla9361730[[#This Row],[Prima gmm]])</f>
        <v>0</v>
      </c>
    </row>
    <row r="162" spans="1:11" ht="13" x14ac:dyDescent="0.15">
      <c r="A162" s="99" t="s">
        <v>19</v>
      </c>
      <c r="B162" s="124">
        <f>SUM(Tabla9361730[[#This Row],[Vida]],Tabla9361730[[#This Row],[Gmm]])</f>
        <v>0</v>
      </c>
      <c r="C162" s="124">
        <v>0</v>
      </c>
      <c r="D162" s="73">
        <v>0</v>
      </c>
      <c r="E162" s="74"/>
      <c r="F162" s="125"/>
      <c r="G162" s="77">
        <f>SUM(Tabla9361730[[#This Row],[Prima vida]],Tabla9361730[[#This Row],[Prima gmm]])</f>
        <v>0</v>
      </c>
    </row>
    <row r="163" spans="1:11" ht="13" x14ac:dyDescent="0.15">
      <c r="A163" s="99" t="s">
        <v>30</v>
      </c>
      <c r="B163" s="124">
        <f>SUM(Tabla9361730[[#This Row],[Vida]],Tabla9361730[[#This Row],[Gmm]])</f>
        <v>0</v>
      </c>
      <c r="C163" s="124">
        <v>0</v>
      </c>
      <c r="D163" s="73">
        <v>0</v>
      </c>
      <c r="E163" s="73"/>
      <c r="F163" s="73"/>
      <c r="G163" s="76">
        <f>SUM(Tabla9361730[[#This Row],[Prima vida]],Tabla9361730[[#This Row],[Prima gmm]])</f>
        <v>0</v>
      </c>
      <c r="I163" s="112"/>
      <c r="J163" s="112"/>
    </row>
    <row r="164" spans="1:11" x14ac:dyDescent="0.15">
      <c r="A164" s="99" t="s">
        <v>34</v>
      </c>
      <c r="B164" s="124">
        <f>SUM(Tabla9361730[[#This Row],[Vida]],Tabla9361730[[#This Row],[Gmm]])</f>
        <v>0</v>
      </c>
      <c r="C164" s="124">
        <v>0</v>
      </c>
      <c r="D164" s="73">
        <v>0</v>
      </c>
      <c r="E164" s="73"/>
      <c r="F164" s="73"/>
      <c r="G164" s="79">
        <f>SUM(Tabla9361730[[#This Row],[Prima vida]],Tabla9361730[[#This Row],[Prima gmm]])</f>
        <v>0</v>
      </c>
    </row>
    <row r="165" spans="1:11" ht="13" x14ac:dyDescent="0.15">
      <c r="A165" s="99" t="s">
        <v>41</v>
      </c>
      <c r="B165" s="124">
        <f>SUM(Tabla9361730[[#This Row],[Vida]],Tabla9361730[[#This Row],[Gmm]])</f>
        <v>0</v>
      </c>
      <c r="C165" s="124">
        <v>0</v>
      </c>
      <c r="D165" s="73">
        <v>0</v>
      </c>
      <c r="E165" s="74"/>
      <c r="F165" s="73"/>
      <c r="G165" s="76">
        <f>SUM(Tabla9361730[[#This Row],[Prima vida]],Tabla9361730[[#This Row],[Prima gmm]])</f>
        <v>0</v>
      </c>
      <c r="K165" s="113"/>
    </row>
    <row r="166" spans="1:11" ht="13" x14ac:dyDescent="0.15">
      <c r="A166" s="99" t="s">
        <v>38</v>
      </c>
      <c r="B166" s="124">
        <f>SUM(Tabla9361730[[#This Row],[Vida]],Tabla9361730[[#This Row],[Gmm]])</f>
        <v>0</v>
      </c>
      <c r="C166" s="124">
        <v>0</v>
      </c>
      <c r="D166" s="73">
        <v>0</v>
      </c>
      <c r="E166" s="72"/>
      <c r="F166" s="73"/>
      <c r="G166" s="76">
        <f>SUM(Tabla9361730[[#This Row],[Prima vida]],Tabla9361730[[#This Row],[Prima gmm]])</f>
        <v>0</v>
      </c>
    </row>
    <row r="167" spans="1:11" ht="13" x14ac:dyDescent="0.15">
      <c r="A167" s="99" t="s">
        <v>18</v>
      </c>
      <c r="B167" s="124">
        <f>SUM(Tabla9361730[[#This Row],[Vida]],Tabla9361730[[#This Row],[Gmm]])</f>
        <v>0</v>
      </c>
      <c r="C167" s="124">
        <v>0</v>
      </c>
      <c r="D167" s="73"/>
      <c r="E167" s="74"/>
      <c r="F167" s="73"/>
      <c r="G167" s="76">
        <f>SUM(Tabla9361730[[#This Row],[Prima vida]],Tabla9361730[[#This Row],[Prima gmm]])</f>
        <v>0</v>
      </c>
    </row>
    <row r="168" spans="1:11" ht="13" x14ac:dyDescent="0.15">
      <c r="A168" s="43" t="s">
        <v>50</v>
      </c>
      <c r="B168" s="44">
        <f>SUM(Tabla9361730[[Pólizas ]])</f>
        <v>53</v>
      </c>
      <c r="C168" s="45">
        <f>SUM(Tabla9361730[Vida])</f>
        <v>45</v>
      </c>
      <c r="D168" s="80">
        <f>SUM(Tabla9361730[Prima vida])</f>
        <v>2382950.69</v>
      </c>
      <c r="E168" s="81">
        <f>SUM(Tabla9361730[Gmm])</f>
        <v>8</v>
      </c>
      <c r="F168" s="80">
        <f>SUM(Tabla9361730[Prima gmm])</f>
        <v>298314.19</v>
      </c>
      <c r="G168" s="80">
        <f>SUM(Tabla9361730[Prima total])</f>
        <v>2681264.8800000004</v>
      </c>
    </row>
    <row r="169" spans="1:11" ht="13" x14ac:dyDescent="0.15">
      <c r="D169" s="1"/>
      <c r="E169" s="1"/>
      <c r="G169" s="1"/>
    </row>
    <row r="170" spans="1:11" ht="13" x14ac:dyDescent="0.15">
      <c r="D170" s="1"/>
      <c r="E170" s="1"/>
      <c r="G170" s="1"/>
    </row>
    <row r="171" spans="1:11" ht="13" x14ac:dyDescent="0.15">
      <c r="D171" s="1"/>
      <c r="E171" s="1"/>
      <c r="G171" s="1"/>
    </row>
    <row r="172" spans="1:11" x14ac:dyDescent="0.15">
      <c r="A172" s="320" t="s">
        <v>87</v>
      </c>
      <c r="B172" s="320"/>
      <c r="C172" s="320"/>
      <c r="D172" s="320"/>
      <c r="E172" s="320"/>
      <c r="F172" s="320"/>
      <c r="G172" s="320"/>
      <c r="H172" s="320"/>
    </row>
    <row r="173" spans="1:11" ht="28" x14ac:dyDescent="0.15">
      <c r="A173" s="2" t="s">
        <v>1</v>
      </c>
      <c r="B173" s="3" t="s">
        <v>2</v>
      </c>
      <c r="C173" s="3" t="s">
        <v>3</v>
      </c>
      <c r="D173" s="4" t="s">
        <v>88</v>
      </c>
      <c r="E173" s="5" t="s">
        <v>5</v>
      </c>
      <c r="F173" s="3" t="s">
        <v>89</v>
      </c>
      <c r="G173" s="6" t="s">
        <v>7</v>
      </c>
    </row>
    <row r="174" spans="1:11" ht="13" x14ac:dyDescent="0.15">
      <c r="A174" s="126" t="s">
        <v>52</v>
      </c>
      <c r="B174" s="127">
        <f>SUM(Tabla936173055[[#This Row],[Vida]],Tabla936173055[[#This Row],[Gmm]])</f>
        <v>7.5</v>
      </c>
      <c r="C174" s="128">
        <v>5</v>
      </c>
      <c r="D174" s="129">
        <v>135800.53</v>
      </c>
      <c r="E174" s="128">
        <v>2.5</v>
      </c>
      <c r="F174" s="130">
        <v>35723.29</v>
      </c>
      <c r="G174" s="131">
        <f>SUM(Tabla936173055[[#This Row],[Prima Recibo vida]],Tabla936173055[[#This Row],[Prima Recibo gmm]])</f>
        <v>171523.82</v>
      </c>
      <c r="I174" s="1" t="s">
        <v>56</v>
      </c>
    </row>
    <row r="175" spans="1:11" ht="13" x14ac:dyDescent="0.15">
      <c r="A175" s="126" t="s">
        <v>11</v>
      </c>
      <c r="B175" s="127">
        <f>SUM(Tabla936173055[[#This Row],[Vida]],Tabla936173055[[#This Row],[Gmm]])</f>
        <v>3.5</v>
      </c>
      <c r="C175" s="128">
        <v>3</v>
      </c>
      <c r="D175" s="129">
        <v>101777.56</v>
      </c>
      <c r="E175" s="128">
        <v>0.5</v>
      </c>
      <c r="F175" s="130">
        <v>14278.97</v>
      </c>
      <c r="G175" s="131">
        <f>SUM(Tabla936173055[[#This Row],[Prima Recibo vida]],Tabla936173055[[#This Row],[Prima Recibo gmm]])</f>
        <v>116056.53</v>
      </c>
      <c r="I175" s="106" t="s">
        <v>74</v>
      </c>
      <c r="J175" s="106"/>
      <c r="K175" s="106" t="s">
        <v>90</v>
      </c>
    </row>
    <row r="176" spans="1:11" ht="13" x14ac:dyDescent="0.15">
      <c r="A176" s="126" t="s">
        <v>91</v>
      </c>
      <c r="B176" s="24">
        <f>SUM(Tabla936173055[[#This Row],[Vida]],Tabla936173055[[#This Row],[Gmm]])</f>
        <v>1</v>
      </c>
      <c r="C176" s="18">
        <v>1</v>
      </c>
      <c r="D176" s="130">
        <v>105472.23</v>
      </c>
      <c r="E176" s="18"/>
      <c r="F176" s="19"/>
      <c r="G176" s="131">
        <f>SUM(Tabla936173055[[#This Row],[Prima Recibo vida]],Tabla936173055[[#This Row],[Prima Recibo gmm]])</f>
        <v>105472.23</v>
      </c>
      <c r="I176" s="106" t="s">
        <v>59</v>
      </c>
      <c r="J176" s="106"/>
      <c r="K176" s="106" t="s">
        <v>92</v>
      </c>
    </row>
    <row r="177" spans="1:11" ht="13" x14ac:dyDescent="0.15">
      <c r="A177" s="126" t="s">
        <v>12</v>
      </c>
      <c r="B177" s="24">
        <f>SUM(Tabla936173055[[#This Row],[Vida]],Tabla936173055[[#This Row],[Gmm]])</f>
        <v>1.5</v>
      </c>
      <c r="C177" s="18">
        <v>1.5</v>
      </c>
      <c r="D177" s="130">
        <v>89706</v>
      </c>
      <c r="E177" s="18"/>
      <c r="F177" s="130"/>
      <c r="G177" s="131">
        <f>SUM(Tabla936173055[[#This Row],[Prima Recibo vida]],Tabla936173055[[#This Row],[Prima Recibo gmm]])</f>
        <v>89706</v>
      </c>
      <c r="I177" s="106" t="s">
        <v>61</v>
      </c>
      <c r="J177" s="106"/>
      <c r="K177" s="106" t="s">
        <v>91</v>
      </c>
    </row>
    <row r="178" spans="1:11" ht="13" x14ac:dyDescent="0.15">
      <c r="A178" s="126" t="s">
        <v>19</v>
      </c>
      <c r="B178" s="24">
        <f>SUM(Tabla936173055[[#This Row],[Vida]],Tabla936173055[[#This Row],[Gmm]])</f>
        <v>1.5</v>
      </c>
      <c r="C178" s="18">
        <v>1</v>
      </c>
      <c r="D178" s="130">
        <v>21743.9</v>
      </c>
      <c r="E178" s="18">
        <v>0.5</v>
      </c>
      <c r="F178" s="130">
        <v>66218.289999999994</v>
      </c>
      <c r="G178" s="131">
        <f>SUM(Tabla936173055[[#This Row],[Prima Recibo vida]],Tabla936173055[[#This Row],[Prima Recibo gmm]])</f>
        <v>87962.19</v>
      </c>
      <c r="I178" s="106" t="s">
        <v>63</v>
      </c>
      <c r="J178" s="106"/>
      <c r="K178" s="106" t="s">
        <v>62</v>
      </c>
    </row>
    <row r="179" spans="1:11" ht="13" x14ac:dyDescent="0.15">
      <c r="A179" s="126" t="s">
        <v>25</v>
      </c>
      <c r="B179" s="127">
        <f>SUM(Tabla936173055[[#This Row],[Vida]],Tabla936173055[[#This Row],[Gmm]])</f>
        <v>4.5</v>
      </c>
      <c r="C179" s="128">
        <v>3</v>
      </c>
      <c r="D179" s="130">
        <v>58738.73</v>
      </c>
      <c r="E179" s="128">
        <v>1.5</v>
      </c>
      <c r="F179" s="130">
        <v>12706.47</v>
      </c>
      <c r="G179" s="131">
        <f>SUM(Tabla936173055[[#This Row],[Prima Recibo vida]],Tabla936173055[[#This Row],[Prima Recibo gmm]])</f>
        <v>71445.2</v>
      </c>
      <c r="I179" s="106" t="s">
        <v>65</v>
      </c>
      <c r="J179" s="106"/>
      <c r="K179" s="106" t="s">
        <v>52</v>
      </c>
    </row>
    <row r="180" spans="1:11" ht="13" x14ac:dyDescent="0.15">
      <c r="A180" s="126" t="s">
        <v>13</v>
      </c>
      <c r="B180" s="24">
        <f>SUM(Tabla936173055[[#This Row],[Vida]],Tabla936173055[[#This Row],[Gmm]])</f>
        <v>2.5</v>
      </c>
      <c r="C180" s="18">
        <v>1.5</v>
      </c>
      <c r="D180" s="130">
        <v>47034.09</v>
      </c>
      <c r="E180" s="18">
        <v>1</v>
      </c>
      <c r="F180" s="130">
        <v>19294.34</v>
      </c>
      <c r="G180" s="131">
        <f>SUM(Tabla936173055[[#This Row],[Prima Recibo vida]],Tabla936173055[[#This Row],[Prima Recibo gmm]])</f>
        <v>66328.429999999993</v>
      </c>
      <c r="I180" s="106" t="s">
        <v>67</v>
      </c>
      <c r="J180" s="106"/>
      <c r="K180" s="106" t="s">
        <v>52</v>
      </c>
    </row>
    <row r="181" spans="1:11" x14ac:dyDescent="0.15">
      <c r="A181" s="126" t="s">
        <v>34</v>
      </c>
      <c r="B181" s="24">
        <f>SUM(Tabla936173055[[#This Row],[Vida]],Tabla936173055[[#This Row],[Gmm]])</f>
        <v>1.5</v>
      </c>
      <c r="C181" s="18">
        <v>1</v>
      </c>
      <c r="D181" s="130">
        <v>30316.29</v>
      </c>
      <c r="E181" s="18">
        <v>0.5</v>
      </c>
      <c r="F181" s="130">
        <v>27924.74</v>
      </c>
      <c r="G181" s="132">
        <f>SUM(Tabla936173055[[#This Row],[Prima Recibo vida]],Tabla936173055[[#This Row],[Prima Recibo gmm]])</f>
        <v>58241.03</v>
      </c>
      <c r="I181" s="106" t="s">
        <v>68</v>
      </c>
      <c r="J181" s="106"/>
      <c r="K181" s="106" t="s">
        <v>58</v>
      </c>
    </row>
    <row r="182" spans="1:11" ht="13" x14ac:dyDescent="0.15">
      <c r="A182" s="126" t="s">
        <v>29</v>
      </c>
      <c r="B182" s="24">
        <f>SUM(Tabla936173055[[#This Row],[Vida]],Tabla936173055[[#This Row],[Gmm]])</f>
        <v>1.5</v>
      </c>
      <c r="C182" s="18">
        <v>1</v>
      </c>
      <c r="D182" s="130">
        <v>35590.54</v>
      </c>
      <c r="E182" s="18">
        <v>0.5</v>
      </c>
      <c r="F182" s="130">
        <v>18932.96</v>
      </c>
      <c r="G182" s="131">
        <f>SUM(Tabla936173055[[#This Row],[Prima Recibo vida]],Tabla936173055[[#This Row],[Prima Recibo gmm]])</f>
        <v>54523.5</v>
      </c>
      <c r="I182" s="133" t="s">
        <v>69</v>
      </c>
      <c r="J182" s="133"/>
      <c r="K182" s="109" t="s">
        <v>52</v>
      </c>
    </row>
    <row r="183" spans="1:11" ht="13" x14ac:dyDescent="0.15">
      <c r="A183" s="126" t="s">
        <v>10</v>
      </c>
      <c r="B183" s="24">
        <f>SUM(Tabla936173055[[#This Row],[Vida]],Tabla936173055[[#This Row],[Gmm]])</f>
        <v>1</v>
      </c>
      <c r="C183" s="18">
        <v>1</v>
      </c>
      <c r="D183" s="134">
        <v>35686.67</v>
      </c>
      <c r="E183" s="18"/>
      <c r="F183" s="19"/>
      <c r="G183" s="22">
        <f>SUM(Tabla936173055[[#This Row],[Prima Recibo vida]],Tabla936173055[[#This Row],[Prima Recibo gmm]])</f>
        <v>35686.67</v>
      </c>
    </row>
    <row r="184" spans="1:11" ht="13" x14ac:dyDescent="0.15">
      <c r="A184" s="126" t="s">
        <v>71</v>
      </c>
      <c r="B184" s="24">
        <f>SUM(Tabla936173055[[#This Row],[Vida]],Tabla936173055[[#This Row],[Gmm]])</f>
        <v>1.5</v>
      </c>
      <c r="C184" s="18">
        <v>1</v>
      </c>
      <c r="D184" s="19">
        <v>25244.9</v>
      </c>
      <c r="E184" s="18">
        <v>0.5</v>
      </c>
      <c r="F184" s="19">
        <v>6831.12</v>
      </c>
      <c r="G184" s="135">
        <f>SUM(Tabla936173055[[#This Row],[Prima Recibo vida]],Tabla936173055[[#This Row],[Prima Recibo gmm]])</f>
        <v>32076.02</v>
      </c>
    </row>
    <row r="185" spans="1:11" ht="13" x14ac:dyDescent="0.15">
      <c r="A185" s="126" t="s">
        <v>35</v>
      </c>
      <c r="B185" s="24">
        <f>SUM(Tabla936173055[[#This Row],[Vida]],Tabla936173055[[#This Row],[Gmm]])</f>
        <v>1.5</v>
      </c>
      <c r="C185" s="18">
        <v>1</v>
      </c>
      <c r="D185" s="19">
        <v>1673.03</v>
      </c>
      <c r="E185" s="18">
        <v>0.5</v>
      </c>
      <c r="F185" s="19">
        <v>29867.69</v>
      </c>
      <c r="G185" s="22">
        <f>SUM(Tabla936173055[[#This Row],[Prima Recibo vida]],Tabla936173055[[#This Row],[Prima Recibo gmm]])</f>
        <v>31540.719999999998</v>
      </c>
    </row>
    <row r="186" spans="1:11" ht="13" x14ac:dyDescent="0.15">
      <c r="A186" s="126" t="s">
        <v>14</v>
      </c>
      <c r="B186" s="24">
        <f>SUM(Tabla936173055[[#This Row],[Vida]],Tabla936173055[[#This Row],[Gmm]])</f>
        <v>1.5</v>
      </c>
      <c r="C186" s="18">
        <v>1</v>
      </c>
      <c r="D186" s="19">
        <v>1598.85</v>
      </c>
      <c r="E186" s="18">
        <v>0.5</v>
      </c>
      <c r="F186" s="19">
        <v>24514.31</v>
      </c>
      <c r="G186" s="22">
        <f>SUM(Tabla936173055[[#This Row],[Prima Recibo vida]],Tabla936173055[[#This Row],[Prima Recibo gmm]])</f>
        <v>26113.16</v>
      </c>
    </row>
    <row r="187" spans="1:11" ht="13" x14ac:dyDescent="0.15">
      <c r="A187" s="126" t="s">
        <v>85</v>
      </c>
      <c r="B187" s="24">
        <f>SUM(Tabla936173055[[#This Row],[Vida]],Tabla936173055[[#This Row],[Gmm]])</f>
        <v>2</v>
      </c>
      <c r="C187" s="18">
        <v>1</v>
      </c>
      <c r="D187" s="136">
        <v>1729.82</v>
      </c>
      <c r="E187" s="18">
        <v>1</v>
      </c>
      <c r="F187" s="19">
        <v>22824.26</v>
      </c>
      <c r="G187" s="135">
        <f>SUM(Tabla936173055[[#This Row],[Prima Recibo vida]],Tabla936173055[[#This Row],[Prima Recibo gmm]])</f>
        <v>24554.079999999998</v>
      </c>
    </row>
    <row r="188" spans="1:11" ht="13" x14ac:dyDescent="0.15">
      <c r="A188" s="126" t="s">
        <v>30</v>
      </c>
      <c r="B188" s="24">
        <f>SUM(Tabla936173055[[#This Row],[Vida]],Tabla936173055[[#This Row],[Gmm]])</f>
        <v>1.5</v>
      </c>
      <c r="C188" s="18">
        <v>1</v>
      </c>
      <c r="D188" s="19">
        <v>2543.79</v>
      </c>
      <c r="E188" s="18">
        <v>0.5</v>
      </c>
      <c r="F188" s="19">
        <v>18108.02</v>
      </c>
      <c r="G188" s="22">
        <f>SUM(Tabla936173055[[#This Row],[Prima Recibo vida]],Tabla936173055[[#This Row],[Prima Recibo gmm]])</f>
        <v>20651.810000000001</v>
      </c>
    </row>
    <row r="189" spans="1:11" ht="13" x14ac:dyDescent="0.15">
      <c r="A189" s="126" t="s">
        <v>31</v>
      </c>
      <c r="B189" s="24">
        <f>SUM(Tabla936173055[[#This Row],[Vida]],Tabla936173055[[#This Row],[Gmm]])</f>
        <v>1</v>
      </c>
      <c r="C189" s="18">
        <v>1</v>
      </c>
      <c r="D189" s="19">
        <v>16691.68</v>
      </c>
      <c r="E189" s="18"/>
      <c r="F189" s="19"/>
      <c r="G189" s="22">
        <f>SUM(Tabla936173055[[#This Row],[Prima Recibo vida]],Tabla936173055[[#This Row],[Prima Recibo gmm]])</f>
        <v>16691.68</v>
      </c>
    </row>
    <row r="190" spans="1:11" ht="13" x14ac:dyDescent="0.15">
      <c r="A190" s="126" t="s">
        <v>46</v>
      </c>
      <c r="B190" s="24">
        <f>SUM(Tabla936173055[[#This Row],[Vida]],Tabla936173055[[#This Row],[Gmm]])</f>
        <v>0.5</v>
      </c>
      <c r="C190" s="18">
        <v>0</v>
      </c>
      <c r="D190" s="19">
        <v>0</v>
      </c>
      <c r="E190" s="18">
        <v>0.5</v>
      </c>
      <c r="F190" s="19">
        <v>14769.86</v>
      </c>
      <c r="G190" s="135">
        <f>SUM(Tabla936173055[[#This Row],[Prima Recibo vida]],Tabla936173055[[#This Row],[Prima Recibo gmm]])</f>
        <v>14769.86</v>
      </c>
    </row>
    <row r="191" spans="1:11" ht="13" x14ac:dyDescent="0.15">
      <c r="A191" s="126" t="s">
        <v>43</v>
      </c>
      <c r="B191" s="24">
        <f>SUM(Tabla936173055[[#This Row],[Vida]],Tabla936173055[[#This Row],[Gmm]])</f>
        <v>1.5</v>
      </c>
      <c r="C191" s="18">
        <v>1</v>
      </c>
      <c r="D191" s="19">
        <v>1680.57</v>
      </c>
      <c r="E191" s="18">
        <v>0.5</v>
      </c>
      <c r="F191" s="19">
        <v>6066.6</v>
      </c>
      <c r="G191" s="135">
        <f>SUM(Tabla936173055[[#This Row],[Prima Recibo vida]],Tabla936173055[[#This Row],[Prima Recibo gmm]])</f>
        <v>7747.17</v>
      </c>
    </row>
    <row r="192" spans="1:11" ht="13" x14ac:dyDescent="0.15">
      <c r="A192" s="126" t="s">
        <v>20</v>
      </c>
      <c r="B192" s="24">
        <f>SUM(Tabla936173055[[#This Row],[Vida]],Tabla936173055[[#This Row],[Gmm]])</f>
        <v>2</v>
      </c>
      <c r="C192" s="18">
        <v>2</v>
      </c>
      <c r="D192" s="19">
        <v>7252.48</v>
      </c>
      <c r="E192" s="18"/>
      <c r="F192" s="19"/>
      <c r="G192" s="22">
        <f>SUM(Tabla936173055[[#This Row],[Prima Recibo vida]],Tabla936173055[[#This Row],[Prima Recibo gmm]])</f>
        <v>7252.48</v>
      </c>
    </row>
    <row r="193" spans="1:7" ht="13" x14ac:dyDescent="0.15">
      <c r="A193" s="126" t="s">
        <v>38</v>
      </c>
      <c r="B193" s="24">
        <f>SUM(Tabla936173055[[#This Row],[Vida]],Tabla936173055[[#This Row],[Gmm]])</f>
        <v>0.5</v>
      </c>
      <c r="C193" s="18">
        <v>0</v>
      </c>
      <c r="D193" s="19">
        <v>0</v>
      </c>
      <c r="E193" s="18">
        <v>0.5</v>
      </c>
      <c r="F193" s="19">
        <v>5905.07</v>
      </c>
      <c r="G193" s="135">
        <f>SUM(Tabla936173055[[#This Row],[Prima Recibo vida]],Tabla936173055[[#This Row],[Prima Recibo gmm]])</f>
        <v>5905.07</v>
      </c>
    </row>
    <row r="194" spans="1:7" ht="13" x14ac:dyDescent="0.15">
      <c r="A194" s="126" t="s">
        <v>49</v>
      </c>
      <c r="B194" s="24">
        <f>SUM(Tabla936173055[[#This Row],[Vida]],Tabla936173055[[#This Row],[Gmm]])</f>
        <v>1</v>
      </c>
      <c r="C194" s="18">
        <v>1</v>
      </c>
      <c r="D194" s="19">
        <v>5016.87</v>
      </c>
      <c r="E194" s="18"/>
      <c r="F194" s="19"/>
      <c r="G194" s="22">
        <f>SUM(Tabla936173055[[#This Row],[Prima Recibo vida]],Tabla936173055[[#This Row],[Prima Recibo gmm]])</f>
        <v>5016.87</v>
      </c>
    </row>
    <row r="195" spans="1:7" ht="13" x14ac:dyDescent="0.15">
      <c r="A195" s="126" t="s">
        <v>24</v>
      </c>
      <c r="B195" s="24">
        <f>SUM(Tabla936173055[[#This Row],[Vida]],Tabla936173055[[#This Row],[Gmm]])</f>
        <v>1</v>
      </c>
      <c r="C195" s="18">
        <v>1</v>
      </c>
      <c r="D195" s="19">
        <v>1546.97</v>
      </c>
      <c r="E195" s="19"/>
      <c r="F195" s="19"/>
      <c r="G195" s="22">
        <f>SUM(Tabla936173055[[#This Row],[Prima Recibo vida]],Tabla936173055[[#This Row],[Prima Recibo gmm]])</f>
        <v>1546.97</v>
      </c>
    </row>
    <row r="196" spans="1:7" ht="13" x14ac:dyDescent="0.15">
      <c r="A196" s="126" t="s">
        <v>41</v>
      </c>
      <c r="B196" s="24">
        <f>SUM(Tabla936173055[[#This Row],[Vida]],Tabla936173055[[#This Row],[Gmm]])</f>
        <v>1</v>
      </c>
      <c r="C196" s="18">
        <v>1</v>
      </c>
      <c r="D196" s="19">
        <v>1497.64</v>
      </c>
      <c r="E196" s="20"/>
      <c r="F196" s="137"/>
      <c r="G196" s="135">
        <f>SUM(Tabla936173055[[#This Row],[Prima Recibo vida]],Tabla936173055[[#This Row],[Prima Recibo gmm]])</f>
        <v>1497.64</v>
      </c>
    </row>
    <row r="197" spans="1:7" ht="13" x14ac:dyDescent="0.15">
      <c r="A197" s="126" t="s">
        <v>33</v>
      </c>
      <c r="B197" s="24">
        <f>SUM(Tabla936173055[[#This Row],[Vida]],Tabla936173055[[#This Row],[Gmm]])</f>
        <v>1</v>
      </c>
      <c r="C197" s="18">
        <v>1</v>
      </c>
      <c r="D197" s="19">
        <v>1216.3</v>
      </c>
      <c r="E197" s="18"/>
      <c r="F197" s="19"/>
      <c r="G197" s="22">
        <f>SUM(Tabla936173055[[#This Row],[Prima Recibo vida]],Tabla936173055[[#This Row],[Prima Recibo gmm]])</f>
        <v>1216.3</v>
      </c>
    </row>
    <row r="198" spans="1:7" x14ac:dyDescent="0.15">
      <c r="A198" s="126" t="s">
        <v>27</v>
      </c>
      <c r="B198" s="138">
        <f>SUM(Tabla936173055[[#This Row],[Vida]],Tabla936173055[[#This Row],[Gmm]])</f>
        <v>0</v>
      </c>
      <c r="C198" s="28">
        <v>0</v>
      </c>
      <c r="D198" s="29">
        <v>0</v>
      </c>
      <c r="E198" s="28"/>
      <c r="F198" s="29"/>
      <c r="G198" s="36">
        <f>SUM(Tabla936173055[[#This Row],[Prima Recibo vida]],Tabla936173055[[#This Row],[Prima Recibo gmm]])</f>
        <v>0</v>
      </c>
    </row>
    <row r="199" spans="1:7" ht="16" customHeight="1" x14ac:dyDescent="0.15">
      <c r="A199" s="126" t="s">
        <v>15</v>
      </c>
      <c r="B199" s="138">
        <f>SUM(Tabla936173055[[#This Row],[Vida]],Tabla936173055[[#This Row],[Gmm]])</f>
        <v>0</v>
      </c>
      <c r="C199" s="28">
        <v>0</v>
      </c>
      <c r="D199" s="29">
        <v>0</v>
      </c>
      <c r="E199" s="28"/>
      <c r="F199" s="29"/>
      <c r="G199" s="36">
        <f>SUM(Tabla936173055[[#This Row],[Prima Recibo vida]],Tabla936173055[[#This Row],[Prima Recibo gmm]])</f>
        <v>0</v>
      </c>
    </row>
    <row r="200" spans="1:7" ht="13" x14ac:dyDescent="0.15">
      <c r="A200" s="126" t="s">
        <v>16</v>
      </c>
      <c r="B200" s="138">
        <f>SUM(Tabla936173055[[#This Row],[Vida]],Tabla936173055[[#This Row],[Gmm]])</f>
        <v>0</v>
      </c>
      <c r="C200" s="28">
        <v>0</v>
      </c>
      <c r="D200" s="29">
        <v>0</v>
      </c>
      <c r="E200" s="29"/>
      <c r="F200" s="29"/>
      <c r="G200" s="32">
        <f>SUM(Tabla936173055[[#This Row],[Prima Recibo vida]],Tabla936173055[[#This Row],[Prima Recibo gmm]])</f>
        <v>0</v>
      </c>
    </row>
    <row r="201" spans="1:7" ht="13" x14ac:dyDescent="0.15">
      <c r="A201" s="126" t="s">
        <v>26</v>
      </c>
      <c r="B201" s="138">
        <f>SUM(Tabla936173055[[#This Row],[Vida]],Tabla936173055[[#This Row],[Gmm]])</f>
        <v>0</v>
      </c>
      <c r="C201" s="28">
        <v>0</v>
      </c>
      <c r="D201" s="29">
        <v>0</v>
      </c>
      <c r="E201" s="28"/>
      <c r="F201" s="29"/>
      <c r="G201" s="32">
        <f>SUM(Tabla936173055[[#This Row],[Prima Recibo vida]],Tabla936173055[[#This Row],[Prima Recibo gmm]])</f>
        <v>0</v>
      </c>
    </row>
    <row r="202" spans="1:7" ht="13" x14ac:dyDescent="0.15">
      <c r="A202" s="126" t="s">
        <v>37</v>
      </c>
      <c r="B202" s="138">
        <f>SUM(Tabla936173055[[#This Row],[Vida]],Tabla936173055[[#This Row],[Gmm]])</f>
        <v>0</v>
      </c>
      <c r="C202" s="28">
        <v>0</v>
      </c>
      <c r="D202" s="29">
        <v>0</v>
      </c>
      <c r="E202" s="30"/>
      <c r="F202" s="139"/>
      <c r="G202" s="34">
        <f>SUM(Tabla936173055[[#This Row],[Prima Recibo vida]],Tabla936173055[[#This Row],[Prima Recibo gmm]])</f>
        <v>0</v>
      </c>
    </row>
    <row r="203" spans="1:7" ht="13" x14ac:dyDescent="0.15">
      <c r="A203" s="126" t="s">
        <v>28</v>
      </c>
      <c r="B203" s="138">
        <f>SUM(Tabla936173055[[#This Row],[Vida]],Tabla936173055[[#This Row],[Gmm]])</f>
        <v>0</v>
      </c>
      <c r="C203" s="28">
        <v>0</v>
      </c>
      <c r="D203" s="29">
        <v>0</v>
      </c>
      <c r="E203" s="28"/>
      <c r="F203" s="29"/>
      <c r="G203" s="32">
        <f>SUM(Tabla936173055[[#This Row],[Prima Recibo vida]],Tabla936173055[[#This Row],[Prima Recibo gmm]])</f>
        <v>0</v>
      </c>
    </row>
    <row r="204" spans="1:7" ht="13" x14ac:dyDescent="0.15">
      <c r="A204" s="126" t="s">
        <v>32</v>
      </c>
      <c r="B204" s="138">
        <f>SUM(Tabla936173055[[#This Row],[Vida]],Tabla936173055[[#This Row],[Gmm]])</f>
        <v>0</v>
      </c>
      <c r="C204" s="28">
        <v>0</v>
      </c>
      <c r="D204" s="29">
        <v>0</v>
      </c>
      <c r="E204" s="30"/>
      <c r="F204" s="29"/>
      <c r="G204" s="32">
        <f>SUM(Tabla936173055[[#This Row],[Prima Recibo vida]],Tabla936173055[[#This Row],[Prima Recibo gmm]])</f>
        <v>0</v>
      </c>
    </row>
    <row r="205" spans="1:7" ht="13" x14ac:dyDescent="0.15">
      <c r="A205" s="126" t="s">
        <v>17</v>
      </c>
      <c r="B205" s="138">
        <f>SUM(Tabla936173055[[#This Row],[Vida]],Tabla936173055[[#This Row],[Gmm]])</f>
        <v>0</v>
      </c>
      <c r="C205" s="28">
        <v>0</v>
      </c>
      <c r="D205" s="29">
        <v>0</v>
      </c>
      <c r="E205" s="30"/>
      <c r="F205" s="29"/>
      <c r="G205" s="32">
        <f>SUM(Tabla936173055[[#This Row],[Prima Recibo vida]],Tabla936173055[[#This Row],[Prima Recibo gmm]])</f>
        <v>0</v>
      </c>
    </row>
    <row r="206" spans="1:7" ht="13" x14ac:dyDescent="0.15">
      <c r="A206" s="126" t="s">
        <v>72</v>
      </c>
      <c r="B206" s="138">
        <f>SUM(Tabla936173055[[#This Row],[Vida]],Tabla936173055[[#This Row],[Gmm]])</f>
        <v>0</v>
      </c>
      <c r="C206" s="28">
        <v>0</v>
      </c>
      <c r="D206" s="29">
        <v>0</v>
      </c>
      <c r="E206" s="29"/>
      <c r="F206" s="29"/>
      <c r="G206" s="32">
        <f>SUM(Tabla936173055[[#This Row],[Prima Recibo vida]],Tabla936173055[[#This Row],[Prima Recibo gmm]])</f>
        <v>0</v>
      </c>
    </row>
    <row r="207" spans="1:7" ht="14" customHeight="1" x14ac:dyDescent="0.15">
      <c r="A207" s="43" t="s">
        <v>50</v>
      </c>
      <c r="B207" s="140">
        <f>SUM(Tabla936173055[[Pólizas ]])</f>
        <v>43.5</v>
      </c>
      <c r="C207" s="141">
        <f>SUM(Tabla936173055[Vida])</f>
        <v>32</v>
      </c>
      <c r="D207" s="142">
        <f>SUM(Tabla936173055[Prima Recibo vida])</f>
        <v>729559.44000000018</v>
      </c>
      <c r="E207" s="143">
        <f>SUM(Tabla936173055[Gmm])</f>
        <v>11.5</v>
      </c>
      <c r="F207" s="142">
        <f>SUM(Tabla936173055[Prima Recibo gmm])</f>
        <v>323965.98999999993</v>
      </c>
      <c r="G207" s="142">
        <f>SUM(Tabla936173055[Prima total])</f>
        <v>1053525.43</v>
      </c>
    </row>
    <row r="208" spans="1:7" ht="13" x14ac:dyDescent="0.15">
      <c r="D208" s="1"/>
      <c r="E208" s="1"/>
      <c r="G208" s="1"/>
    </row>
    <row r="209" spans="1:11" ht="13" x14ac:dyDescent="0.15">
      <c r="D209" s="1"/>
      <c r="E209" s="1"/>
      <c r="G209" s="1"/>
    </row>
    <row r="210" spans="1:11" ht="13" x14ac:dyDescent="0.15">
      <c r="D210" s="1"/>
      <c r="E210" s="1"/>
      <c r="G210" s="1"/>
    </row>
    <row r="211" spans="1:11" ht="13" x14ac:dyDescent="0.15">
      <c r="D211" s="1"/>
      <c r="E211" s="1"/>
      <c r="G211" s="1"/>
    </row>
    <row r="212" spans="1:11" x14ac:dyDescent="0.15">
      <c r="A212" s="320" t="s">
        <v>93</v>
      </c>
      <c r="B212" s="320"/>
      <c r="C212" s="320"/>
      <c r="D212" s="320"/>
      <c r="E212" s="320"/>
      <c r="F212" s="320"/>
      <c r="G212" s="320"/>
      <c r="H212" s="320"/>
    </row>
    <row r="213" spans="1:11" ht="28" x14ac:dyDescent="0.15">
      <c r="A213" s="2" t="s">
        <v>1</v>
      </c>
      <c r="B213" s="3" t="s">
        <v>2</v>
      </c>
      <c r="C213" s="3" t="s">
        <v>3</v>
      </c>
      <c r="D213" s="4" t="s">
        <v>88</v>
      </c>
      <c r="E213" s="5" t="s">
        <v>5</v>
      </c>
      <c r="F213" s="3" t="s">
        <v>89</v>
      </c>
      <c r="G213" s="6" t="s">
        <v>7</v>
      </c>
    </row>
    <row r="214" spans="1:11" ht="13" x14ac:dyDescent="0.15">
      <c r="A214" s="99" t="s">
        <v>52</v>
      </c>
      <c r="B214" s="100">
        <f>SUM(Tabla93617305523[[#This Row],[Vida]],Tabla93617305523[[#This Row],[Gmm]])</f>
        <v>2.5</v>
      </c>
      <c r="C214" s="61">
        <v>2</v>
      </c>
      <c r="D214" s="144">
        <v>72707.83</v>
      </c>
      <c r="E214" s="61">
        <v>0.5</v>
      </c>
      <c r="F214" s="64">
        <v>41780.9</v>
      </c>
      <c r="G214" s="145">
        <f>SUM(Tabla93617305523[[#This Row],[Prima Recibo vida]],Tabla93617305523[[#This Row],[Prima Recibo gmm]])</f>
        <v>114488.73000000001</v>
      </c>
      <c r="I214" s="1" t="s">
        <v>56</v>
      </c>
    </row>
    <row r="215" spans="1:11" ht="13" x14ac:dyDescent="0.15">
      <c r="A215" s="99" t="s">
        <v>60</v>
      </c>
      <c r="B215" s="100">
        <f>SUM(Tabla93617305523[[#This Row],[Vida]],Tabla93617305523[[#This Row],[Gmm]])</f>
        <v>2</v>
      </c>
      <c r="C215" s="61">
        <v>2</v>
      </c>
      <c r="D215" s="144">
        <v>100995.55</v>
      </c>
      <c r="E215" s="61"/>
      <c r="F215" s="64"/>
      <c r="G215" s="145">
        <f>SUM(Tabla93617305523[[#This Row],[Prima Recibo vida]],Tabla93617305523[[#This Row],[Prima Recibo gmm]])</f>
        <v>100995.55</v>
      </c>
      <c r="I215" s="106" t="s">
        <v>74</v>
      </c>
      <c r="J215" s="106"/>
      <c r="K215" s="106" t="s">
        <v>79</v>
      </c>
    </row>
    <row r="216" spans="1:11" ht="13" x14ac:dyDescent="0.15">
      <c r="A216" s="99" t="s">
        <v>11</v>
      </c>
      <c r="B216" s="100">
        <f>SUM(Tabla93617305523[[#This Row],[Vida]],Tabla93617305523[[#This Row],[Gmm]])</f>
        <v>2</v>
      </c>
      <c r="C216" s="61">
        <v>1</v>
      </c>
      <c r="D216" s="144">
        <v>60537.08</v>
      </c>
      <c r="E216" s="61">
        <v>1</v>
      </c>
      <c r="F216" s="64">
        <v>38215.35</v>
      </c>
      <c r="G216" s="145">
        <f>SUM(Tabla93617305523[[#This Row],[Prima Recibo vida]],Tabla93617305523[[#This Row],[Prima Recibo gmm]])</f>
        <v>98752.43</v>
      </c>
      <c r="I216" s="106" t="s">
        <v>59</v>
      </c>
      <c r="J216" s="106"/>
      <c r="K216" s="106" t="s">
        <v>79</v>
      </c>
    </row>
    <row r="217" spans="1:11" ht="13" x14ac:dyDescent="0.15">
      <c r="A217" s="99" t="s">
        <v>12</v>
      </c>
      <c r="B217" s="146">
        <f>SUM(Tabla93617305523[[#This Row],[Vida]],Tabla93617305523[[#This Row],[Gmm]])</f>
        <v>4</v>
      </c>
      <c r="C217" s="147">
        <v>4</v>
      </c>
      <c r="D217" s="144">
        <v>92395.13</v>
      </c>
      <c r="E217" s="147"/>
      <c r="F217" s="144"/>
      <c r="G217" s="145">
        <f>SUM(Tabla93617305523[[#This Row],[Prima Recibo vida]],Tabla93617305523[[#This Row],[Prima Recibo gmm]])</f>
        <v>92395.13</v>
      </c>
      <c r="I217" s="106" t="s">
        <v>61</v>
      </c>
      <c r="J217" s="106"/>
      <c r="K217" s="106" t="s">
        <v>60</v>
      </c>
    </row>
    <row r="218" spans="1:11" ht="13" x14ac:dyDescent="0.15">
      <c r="A218" s="99" t="s">
        <v>13</v>
      </c>
      <c r="B218" s="146">
        <f>SUM(Tabla93617305523[[#This Row],[Vida]],Tabla93617305523[[#This Row],[Gmm]])</f>
        <v>7</v>
      </c>
      <c r="C218" s="147">
        <v>6</v>
      </c>
      <c r="D218" s="144">
        <v>81144.41</v>
      </c>
      <c r="E218" s="147">
        <v>1</v>
      </c>
      <c r="F218" s="144">
        <v>10979.34</v>
      </c>
      <c r="G218" s="145">
        <f>SUM(Tabla93617305523[[#This Row],[Prima Recibo vida]],Tabla93617305523[[#This Row],[Prima Recibo gmm]])</f>
        <v>92123.75</v>
      </c>
      <c r="I218" s="106" t="s">
        <v>63</v>
      </c>
      <c r="J218" s="106"/>
      <c r="K218" s="106" t="s">
        <v>62</v>
      </c>
    </row>
    <row r="219" spans="1:11" ht="13" x14ac:dyDescent="0.15">
      <c r="A219" s="99" t="s">
        <v>30</v>
      </c>
      <c r="B219" s="100">
        <f>SUM(Tabla93617305523[[#This Row],[Vida]],Tabla93617305523[[#This Row],[Gmm]])</f>
        <v>1</v>
      </c>
      <c r="C219" s="61">
        <v>0</v>
      </c>
      <c r="D219" s="64">
        <v>0</v>
      </c>
      <c r="E219" s="61">
        <v>1</v>
      </c>
      <c r="F219" s="64">
        <v>41990.47</v>
      </c>
      <c r="G219" s="118">
        <f>SUM(Tabla93617305523[[#This Row],[Prima Recibo vida]],Tabla93617305523[[#This Row],[Prima Recibo gmm]])</f>
        <v>41990.47</v>
      </c>
      <c r="I219" s="106" t="s">
        <v>65</v>
      </c>
      <c r="J219" s="106"/>
      <c r="K219" s="106" t="s">
        <v>52</v>
      </c>
    </row>
    <row r="220" spans="1:11" ht="13" x14ac:dyDescent="0.15">
      <c r="A220" s="99" t="s">
        <v>10</v>
      </c>
      <c r="B220" s="100">
        <f>SUM(Tabla93617305523[[#This Row],[Vida]],Tabla93617305523[[#This Row],[Gmm]])</f>
        <v>2</v>
      </c>
      <c r="C220" s="61">
        <v>2</v>
      </c>
      <c r="D220" s="64">
        <v>41981.03</v>
      </c>
      <c r="E220" s="61"/>
      <c r="F220" s="64"/>
      <c r="G220" s="66">
        <f>SUM(Tabla93617305523[[#This Row],[Prima Recibo vida]],Tabla93617305523[[#This Row],[Prima Recibo gmm]])</f>
        <v>41981.03</v>
      </c>
      <c r="I220" s="106" t="s">
        <v>67</v>
      </c>
      <c r="J220" s="106"/>
      <c r="K220" s="106" t="s">
        <v>52</v>
      </c>
    </row>
    <row r="221" spans="1:11" ht="13" x14ac:dyDescent="0.15">
      <c r="A221" s="99" t="s">
        <v>41</v>
      </c>
      <c r="B221" s="100">
        <f>SUM(Tabla93617305523[[#This Row],[Vida]],Tabla93617305523[[#This Row],[Gmm]])</f>
        <v>0.5</v>
      </c>
      <c r="C221" s="61">
        <v>0</v>
      </c>
      <c r="D221" s="64">
        <v>0</v>
      </c>
      <c r="E221" s="61">
        <v>0.5</v>
      </c>
      <c r="F221" s="64">
        <v>40856.28</v>
      </c>
      <c r="G221" s="66">
        <f>SUM(Tabla93617305523[[#This Row],[Prima Recibo vida]],Tabla93617305523[[#This Row],[Prima Recibo gmm]])</f>
        <v>40856.28</v>
      </c>
      <c r="I221" s="106" t="s">
        <v>68</v>
      </c>
      <c r="J221" s="106"/>
      <c r="K221" s="106" t="s">
        <v>94</v>
      </c>
    </row>
    <row r="222" spans="1:11" ht="13" x14ac:dyDescent="0.15">
      <c r="A222" s="99" t="s">
        <v>46</v>
      </c>
      <c r="B222" s="100">
        <f>SUM(Tabla93617305523[[#This Row],[Vida]],Tabla93617305523[[#This Row],[Gmm]])</f>
        <v>1</v>
      </c>
      <c r="C222" s="100"/>
      <c r="D222" s="148"/>
      <c r="E222" s="61">
        <v>1</v>
      </c>
      <c r="F222" s="64">
        <v>38001</v>
      </c>
      <c r="G222" s="118">
        <f>SUM(Tabla93617305523[[#This Row],[Prima Recibo vida]],Tabla93617305523[[#This Row],[Prima Recibo gmm]])</f>
        <v>38001</v>
      </c>
      <c r="I222" s="133" t="s">
        <v>69</v>
      </c>
      <c r="J222" s="133"/>
      <c r="K222" s="149" t="s">
        <v>95</v>
      </c>
    </row>
    <row r="223" spans="1:11" ht="13" x14ac:dyDescent="0.15">
      <c r="A223" s="99" t="s">
        <v>16</v>
      </c>
      <c r="B223" s="100">
        <f>SUM(Tabla93617305523[[#This Row],[Vida]],Tabla93617305523[[#This Row],[Gmm]])</f>
        <v>1</v>
      </c>
      <c r="C223" s="61">
        <v>1</v>
      </c>
      <c r="D223" s="64">
        <v>34884.67</v>
      </c>
      <c r="E223" s="61"/>
      <c r="F223" s="64"/>
      <c r="G223" s="118">
        <f>SUM(Tabla93617305523[[#This Row],[Prima Recibo vida]],Tabla93617305523[[#This Row],[Prima Recibo gmm]])</f>
        <v>34884.67</v>
      </c>
    </row>
    <row r="224" spans="1:11" ht="13" x14ac:dyDescent="0.15">
      <c r="A224" s="99" t="s">
        <v>96</v>
      </c>
      <c r="B224" s="100">
        <f>SUM(Tabla93617305523[[#This Row],[Vida]],Tabla93617305523[[#This Row],[Gmm]])</f>
        <v>0.5</v>
      </c>
      <c r="C224" s="100"/>
      <c r="D224" s="148"/>
      <c r="E224" s="61">
        <v>0.5</v>
      </c>
      <c r="F224" s="64">
        <v>32940.39</v>
      </c>
      <c r="G224" s="118">
        <f>SUM(Tabla93617305523[[#This Row],[Prima Recibo vida]],Tabla93617305523[[#This Row],[Prima Recibo gmm]])</f>
        <v>32940.39</v>
      </c>
    </row>
    <row r="225" spans="1:7" ht="13" x14ac:dyDescent="0.15">
      <c r="A225" s="99" t="s">
        <v>24</v>
      </c>
      <c r="B225" s="100">
        <f>SUM(Tabla93617305523[[#This Row],[Vida]],Tabla93617305523[[#This Row],[Gmm]])</f>
        <v>1</v>
      </c>
      <c r="C225" s="61">
        <v>1</v>
      </c>
      <c r="D225" s="64">
        <v>26068.65</v>
      </c>
      <c r="E225" s="61"/>
      <c r="F225" s="64"/>
      <c r="G225" s="66">
        <f>SUM(Tabla93617305523[[#This Row],[Prima Recibo vida]],Tabla93617305523[[#This Row],[Prima Recibo gmm]])</f>
        <v>26068.65</v>
      </c>
    </row>
    <row r="226" spans="1:7" ht="13" x14ac:dyDescent="0.15">
      <c r="A226" s="99" t="s">
        <v>28</v>
      </c>
      <c r="B226" s="100">
        <f>SUM(Tabla93617305523[[#This Row],[Vida]],Tabla93617305523[[#This Row],[Gmm]])</f>
        <v>0.5</v>
      </c>
      <c r="C226" s="61">
        <v>0</v>
      </c>
      <c r="D226" s="64">
        <v>0</v>
      </c>
      <c r="E226" s="61">
        <v>0.5</v>
      </c>
      <c r="F226" s="64">
        <v>24681.99</v>
      </c>
      <c r="G226" s="118">
        <f>SUM(Tabla93617305523[[#This Row],[Prima Recibo vida]],Tabla93617305523[[#This Row],[Prima Recibo gmm]])</f>
        <v>24681.99</v>
      </c>
    </row>
    <row r="227" spans="1:7" ht="13" x14ac:dyDescent="0.15">
      <c r="A227" s="99" t="s">
        <v>32</v>
      </c>
      <c r="B227" s="100">
        <f>SUM(Tabla93617305523[[#This Row],[Vida]],Tabla93617305523[[#This Row],[Gmm]])</f>
        <v>1</v>
      </c>
      <c r="C227" s="61">
        <v>1</v>
      </c>
      <c r="D227" s="64">
        <v>16390.5</v>
      </c>
      <c r="E227" s="61"/>
      <c r="F227" s="64"/>
      <c r="G227" s="66">
        <f>SUM(Tabla93617305523[[#This Row],[Prima Recibo vida]],Tabla93617305523[[#This Row],[Prima Recibo gmm]])</f>
        <v>16390.5</v>
      </c>
    </row>
    <row r="228" spans="1:7" ht="13" x14ac:dyDescent="0.15">
      <c r="A228" s="99" t="s">
        <v>97</v>
      </c>
      <c r="B228" s="100">
        <f>SUM(Tabla93617305523[[#This Row],[Vida]],Tabla93617305523[[#This Row],[Gmm]])</f>
        <v>2.5</v>
      </c>
      <c r="C228" s="61">
        <v>2</v>
      </c>
      <c r="D228" s="64">
        <v>11386.88</v>
      </c>
      <c r="E228" s="61">
        <v>0.5</v>
      </c>
      <c r="F228" s="64">
        <v>4454.78</v>
      </c>
      <c r="G228" s="66">
        <f>SUM(Tabla93617305523[[#This Row],[Prima Recibo vida]],Tabla93617305523[[#This Row],[Prima Recibo gmm]])</f>
        <v>15841.66</v>
      </c>
    </row>
    <row r="229" spans="1:7" ht="13" x14ac:dyDescent="0.15">
      <c r="A229" s="99" t="s">
        <v>85</v>
      </c>
      <c r="B229" s="100">
        <f>SUM(Tabla93617305523[[#This Row],[Vida]],Tabla93617305523[[#This Row],[Gmm]])</f>
        <v>0.5</v>
      </c>
      <c r="C229" s="61">
        <v>0</v>
      </c>
      <c r="D229" s="64">
        <v>0</v>
      </c>
      <c r="E229" s="61">
        <v>0.5</v>
      </c>
      <c r="F229" s="64">
        <v>8937.7800000000007</v>
      </c>
      <c r="G229" s="118">
        <f>SUM(Tabla93617305523[[#This Row],[Prima Recibo vida]],Tabla93617305523[[#This Row],[Prima Recibo gmm]])</f>
        <v>8937.7800000000007</v>
      </c>
    </row>
    <row r="230" spans="1:7" ht="13" x14ac:dyDescent="0.15">
      <c r="A230" s="99" t="s">
        <v>35</v>
      </c>
      <c r="B230" s="100">
        <f>SUM(Tabla93617305523[[#This Row],[Vida]],Tabla93617305523[[#This Row],[Gmm]])</f>
        <v>2</v>
      </c>
      <c r="C230" s="61">
        <v>2</v>
      </c>
      <c r="D230" s="64">
        <v>4718.41</v>
      </c>
      <c r="E230" s="61"/>
      <c r="F230" s="64"/>
      <c r="G230" s="66">
        <f>SUM(Tabla93617305523[[#This Row],[Prima Recibo vida]],Tabla93617305523[[#This Row],[Prima Recibo gmm]])</f>
        <v>4718.41</v>
      </c>
    </row>
    <row r="231" spans="1:7" ht="13" x14ac:dyDescent="0.15">
      <c r="A231" s="99" t="s">
        <v>71</v>
      </c>
      <c r="B231" s="100">
        <f>SUM(Tabla93617305523[[#This Row],[Vida]],Tabla93617305523[[#This Row],[Gmm]])</f>
        <v>1</v>
      </c>
      <c r="C231" s="61">
        <v>1</v>
      </c>
      <c r="D231" s="64">
        <v>4410.92</v>
      </c>
      <c r="E231" s="69"/>
      <c r="F231" s="64"/>
      <c r="G231" s="66">
        <f>SUM(Tabla93617305523[[#This Row],[Prima Recibo vida]],Tabla93617305523[[#This Row],[Prima Recibo gmm]])</f>
        <v>4410.92</v>
      </c>
    </row>
    <row r="232" spans="1:7" ht="13" x14ac:dyDescent="0.15">
      <c r="A232" s="99" t="s">
        <v>17</v>
      </c>
      <c r="B232" s="100">
        <f>SUM(Tabla93617305523[[#This Row],[Vida]],Tabla93617305523[[#This Row],[Gmm]])</f>
        <v>1</v>
      </c>
      <c r="C232" s="61">
        <v>1</v>
      </c>
      <c r="D232" s="64">
        <v>2249.92</v>
      </c>
      <c r="E232" s="69"/>
      <c r="F232" s="150"/>
      <c r="G232" s="118">
        <f>SUM(Tabla93617305523[[#This Row],[Prima Recibo vida]],Tabla93617305523[[#This Row],[Prima Recibo gmm]])</f>
        <v>2249.92</v>
      </c>
    </row>
    <row r="233" spans="1:7" ht="13" x14ac:dyDescent="0.15">
      <c r="A233" s="99" t="s">
        <v>72</v>
      </c>
      <c r="B233" s="100">
        <f>SUM(Tabla93617305523[[#This Row],[Vida]],Tabla93617305523[[#This Row],[Gmm]])</f>
        <v>1</v>
      </c>
      <c r="C233" s="61">
        <v>1</v>
      </c>
      <c r="D233" s="64">
        <v>1663.19</v>
      </c>
      <c r="E233" s="69"/>
      <c r="F233" s="150"/>
      <c r="G233" s="118">
        <f>SUM(Tabla93617305523[[#This Row],[Prima Recibo vida]],Tabla93617305523[[#This Row],[Prima Recibo gmm]])</f>
        <v>1663.19</v>
      </c>
    </row>
    <row r="234" spans="1:7" ht="13" x14ac:dyDescent="0.15">
      <c r="A234" s="99" t="s">
        <v>98</v>
      </c>
      <c r="B234" s="100">
        <f>SUM(Tabla93617305523[[#This Row],[Vida]],Tabla93617305523[[#This Row],[Gmm]])</f>
        <v>1</v>
      </c>
      <c r="C234" s="61">
        <v>1</v>
      </c>
      <c r="D234" s="64">
        <v>1584.47</v>
      </c>
      <c r="E234" s="151"/>
      <c r="F234" s="150"/>
      <c r="G234" s="118">
        <f>SUM(Tabla93617305523[[#This Row],[Prima Recibo vida]],Tabla93617305523[[#This Row],[Prima Recibo gmm]])</f>
        <v>1584.47</v>
      </c>
    </row>
    <row r="235" spans="1:7" ht="13" x14ac:dyDescent="0.15">
      <c r="A235" s="99" t="s">
        <v>37</v>
      </c>
      <c r="B235" s="100">
        <f>SUM(Tabla93617305523[[#This Row],[Vida]],Tabla93617305523[[#This Row],[Gmm]])</f>
        <v>1</v>
      </c>
      <c r="C235" s="61">
        <v>1</v>
      </c>
      <c r="D235" s="64">
        <v>1297.0899999999999</v>
      </c>
      <c r="E235" s="64"/>
      <c r="F235" s="64"/>
      <c r="G235" s="66">
        <f>SUM(Tabla93617305523[[#This Row],[Prima Recibo vida]],Tabla93617305523[[#This Row],[Prima Recibo gmm]])</f>
        <v>1297.0899999999999</v>
      </c>
    </row>
    <row r="236" spans="1:7" x14ac:dyDescent="0.15">
      <c r="A236" s="99" t="s">
        <v>31</v>
      </c>
      <c r="B236" s="124">
        <f>SUM(Tabla93617305523[[#This Row],[Vida]],Tabla93617305523[[#This Row],[Gmm]])</f>
        <v>0</v>
      </c>
      <c r="C236" s="72">
        <v>0</v>
      </c>
      <c r="D236" s="73">
        <v>0</v>
      </c>
      <c r="E236" s="72"/>
      <c r="F236" s="73"/>
      <c r="G236" s="79">
        <f>SUM(Tabla93617305523[[#This Row],[Prima Recibo vida]],Tabla93617305523[[#This Row],[Prima Recibo gmm]])</f>
        <v>0</v>
      </c>
    </row>
    <row r="237" spans="1:7" ht="13" x14ac:dyDescent="0.15">
      <c r="A237" s="99" t="s">
        <v>27</v>
      </c>
      <c r="B237" s="124">
        <f>SUM(Tabla93617305523[[#This Row],[Vida]],Tabla93617305523[[#This Row],[Gmm]])</f>
        <v>0</v>
      </c>
      <c r="C237" s="72">
        <v>0</v>
      </c>
      <c r="D237" s="73">
        <v>0</v>
      </c>
      <c r="E237" s="72"/>
      <c r="F237" s="73"/>
      <c r="G237" s="76">
        <f>SUM(Tabla93617305523[[#This Row],[Prima Recibo vida]],Tabla93617305523[[#This Row],[Prima Recibo gmm]])</f>
        <v>0</v>
      </c>
    </row>
    <row r="238" spans="1:7" ht="13" x14ac:dyDescent="0.15">
      <c r="A238" s="99" t="s">
        <v>15</v>
      </c>
      <c r="B238" s="124">
        <f>SUM(Tabla93617305523[[#This Row],[Vida]],Tabla93617305523[[#This Row],[Gmm]])</f>
        <v>0</v>
      </c>
      <c r="C238" s="72">
        <v>0</v>
      </c>
      <c r="D238" s="73">
        <v>0</v>
      </c>
      <c r="E238" s="72"/>
      <c r="F238" s="73"/>
      <c r="G238" s="76">
        <f>SUM(Tabla93617305523[[#This Row],[Prima Recibo vida]],Tabla93617305523[[#This Row],[Prima Recibo gmm]])</f>
        <v>0</v>
      </c>
    </row>
    <row r="239" spans="1:7" ht="13" x14ac:dyDescent="0.15">
      <c r="A239" s="99" t="s">
        <v>25</v>
      </c>
      <c r="B239" s="124">
        <f>SUM(Tabla93617305523[[#This Row],[Vida]],Tabla93617305523[[#This Row],[Gmm]])</f>
        <v>0</v>
      </c>
      <c r="C239" s="72">
        <v>0</v>
      </c>
      <c r="D239" s="73">
        <v>0</v>
      </c>
      <c r="E239" s="72"/>
      <c r="F239" s="73"/>
      <c r="G239" s="76">
        <f>SUM(Tabla93617305523[[#This Row],[Prima Recibo vida]],Tabla93617305523[[#This Row],[Prima Recibo gmm]])</f>
        <v>0</v>
      </c>
    </row>
    <row r="240" spans="1:7" ht="13" x14ac:dyDescent="0.15">
      <c r="A240" s="99" t="s">
        <v>14</v>
      </c>
      <c r="B240" s="124">
        <f>SUM(Tabla93617305523[[#This Row],[Vida]],Tabla93617305523[[#This Row],[Gmm]])</f>
        <v>0</v>
      </c>
      <c r="C240" s="72">
        <v>0</v>
      </c>
      <c r="D240" s="73">
        <v>0</v>
      </c>
      <c r="E240" s="72"/>
      <c r="F240" s="73"/>
      <c r="G240" s="77">
        <f>SUM(Tabla93617305523[[#This Row],[Prima Recibo vida]],Tabla93617305523[[#This Row],[Prima Recibo gmm]])</f>
        <v>0</v>
      </c>
    </row>
    <row r="241" spans="1:9" ht="13" x14ac:dyDescent="0.15">
      <c r="A241" s="99" t="s">
        <v>33</v>
      </c>
      <c r="B241" s="124">
        <f>SUM(Tabla93617305523[[#This Row],[Vida]],Tabla93617305523[[#This Row],[Gmm]])</f>
        <v>0</v>
      </c>
      <c r="C241" s="72">
        <v>0</v>
      </c>
      <c r="D241" s="73">
        <v>0</v>
      </c>
      <c r="E241" s="72"/>
      <c r="F241" s="73"/>
      <c r="G241" s="76">
        <f>SUM(Tabla93617305523[[#This Row],[Prima Recibo vida]],Tabla93617305523[[#This Row],[Prima Recibo gmm]])</f>
        <v>0</v>
      </c>
    </row>
    <row r="242" spans="1:9" ht="13" x14ac:dyDescent="0.15">
      <c r="A242" s="99" t="s">
        <v>44</v>
      </c>
      <c r="B242" s="124">
        <f>SUM(Tabla93617305523[[#This Row],[Vida]],Tabla93617305523[[#This Row],[Gmm]])</f>
        <v>0</v>
      </c>
      <c r="C242" s="72">
        <v>0</v>
      </c>
      <c r="D242" s="73">
        <v>0</v>
      </c>
      <c r="E242" s="72"/>
      <c r="F242" s="73"/>
      <c r="G242" s="77">
        <f>SUM(Tabla93617305523[[#This Row],[Prima Recibo vida]],Tabla93617305523[[#This Row],[Prima Recibo gmm]])</f>
        <v>0</v>
      </c>
    </row>
    <row r="243" spans="1:9" ht="13" x14ac:dyDescent="0.15">
      <c r="A243" s="99" t="s">
        <v>34</v>
      </c>
      <c r="B243" s="124">
        <f>SUM(Tabla93617305523[[#This Row],[Vida]],Tabla93617305523[[#This Row],[Gmm]])</f>
        <v>0</v>
      </c>
      <c r="C243" s="72">
        <v>0</v>
      </c>
      <c r="D243" s="73">
        <v>0</v>
      </c>
      <c r="E243" s="72"/>
      <c r="F243" s="73"/>
      <c r="G243" s="76">
        <f>SUM(Tabla93617305523[[#This Row],[Prima Recibo vida]],Tabla93617305523[[#This Row],[Prima Recibo gmm]])</f>
        <v>0</v>
      </c>
    </row>
    <row r="244" spans="1:9" ht="13" x14ac:dyDescent="0.15">
      <c r="A244" s="99" t="s">
        <v>26</v>
      </c>
      <c r="B244" s="124">
        <f>SUM(Tabla93617305523[[#This Row],[Vida]],Tabla93617305523[[#This Row],[Gmm]])</f>
        <v>0</v>
      </c>
      <c r="C244" s="72">
        <v>0</v>
      </c>
      <c r="D244" s="73">
        <v>0</v>
      </c>
      <c r="E244" s="72"/>
      <c r="F244" s="73"/>
      <c r="G244" s="76">
        <f>SUM(Tabla93617305523[[#This Row],[Prima Recibo vida]],Tabla93617305523[[#This Row],[Prima Recibo gmm]])</f>
        <v>0</v>
      </c>
    </row>
    <row r="245" spans="1:9" x14ac:dyDescent="0.15">
      <c r="A245" s="99" t="s">
        <v>43</v>
      </c>
      <c r="B245" s="124">
        <f>SUM(Tabla93617305523[[#This Row],[Vida]],Tabla93617305523[[#This Row],[Gmm]])</f>
        <v>0</v>
      </c>
      <c r="C245" s="72">
        <v>0</v>
      </c>
      <c r="D245" s="73">
        <v>0</v>
      </c>
      <c r="E245" s="72"/>
      <c r="F245" s="73"/>
      <c r="G245" s="79">
        <f>SUM(Tabla93617305523[[#This Row],[Prima Recibo vida]],Tabla93617305523[[#This Row],[Prima Recibo gmm]])</f>
        <v>0</v>
      </c>
    </row>
    <row r="246" spans="1:9" x14ac:dyDescent="0.15">
      <c r="A246" s="99" t="s">
        <v>29</v>
      </c>
      <c r="B246" s="124">
        <f>SUM(Tabla93617305523[[#This Row],[Vida]],Tabla93617305523[[#This Row],[Gmm]])</f>
        <v>0</v>
      </c>
      <c r="C246" s="72">
        <v>0</v>
      </c>
      <c r="D246" s="73">
        <v>0</v>
      </c>
      <c r="E246" s="72"/>
      <c r="F246" s="73"/>
      <c r="G246" s="79">
        <f>SUM(Tabla93617305523[[#This Row],[Prima Recibo vida]],Tabla93617305523[[#This Row],[Prima Recibo gmm]])</f>
        <v>0</v>
      </c>
    </row>
    <row r="247" spans="1:9" x14ac:dyDescent="0.15">
      <c r="A247" s="126" t="s">
        <v>19</v>
      </c>
      <c r="B247" s="124">
        <f>SUM(Tabla93617305523[[#This Row],[Vida]],Tabla93617305523[[#This Row],[Gmm]])</f>
        <v>0</v>
      </c>
      <c r="C247" s="72">
        <v>0</v>
      </c>
      <c r="D247" s="73">
        <v>0</v>
      </c>
      <c r="E247" s="72"/>
      <c r="F247" s="73"/>
      <c r="G247" s="79">
        <f>SUM(Tabla93617305523[[#This Row],[Prima Recibo vida]],Tabla93617305523[[#This Row],[Prima Recibo gmm]])</f>
        <v>0</v>
      </c>
    </row>
    <row r="248" spans="1:9" ht="13" x14ac:dyDescent="0.15">
      <c r="A248" s="99" t="s">
        <v>49</v>
      </c>
      <c r="B248" s="124">
        <f>SUM(Tabla93617305523[[#This Row],[Vida]],Tabla93617305523[[#This Row],[Gmm]])</f>
        <v>0</v>
      </c>
      <c r="C248" s="72">
        <v>0</v>
      </c>
      <c r="D248" s="73">
        <v>0</v>
      </c>
      <c r="E248" s="72"/>
      <c r="F248" s="73"/>
      <c r="G248" s="76">
        <f>SUM(Tabla93617305523[[#This Row],[Prima Recibo vida]],Tabla93617305523[[#This Row],[Prima Recibo gmm]])</f>
        <v>0</v>
      </c>
    </row>
    <row r="249" spans="1:9" ht="13" x14ac:dyDescent="0.15">
      <c r="A249" s="99" t="s">
        <v>70</v>
      </c>
      <c r="B249" s="124">
        <f>SUM(Tabla93617305523[[#This Row],[Vida]],Tabla93617305523[[#This Row],[Gmm]])</f>
        <v>0</v>
      </c>
      <c r="C249" s="72">
        <v>0</v>
      </c>
      <c r="D249" s="73">
        <v>0</v>
      </c>
      <c r="E249" s="74"/>
      <c r="F249" s="73"/>
      <c r="G249" s="76">
        <f>SUM(Tabla93617305523[[#This Row],[Prima Recibo vida]],Tabla93617305523[[#This Row],[Prima Recibo gmm]])</f>
        <v>0</v>
      </c>
    </row>
    <row r="250" spans="1:9" ht="13" x14ac:dyDescent="0.15">
      <c r="A250" s="43" t="s">
        <v>50</v>
      </c>
      <c r="B250" s="152">
        <f>SUM(Tabla93617305523[[Pólizas ]])</f>
        <v>36</v>
      </c>
      <c r="C250" s="153">
        <f>SUM(Tabla93617305523[Vida])</f>
        <v>29</v>
      </c>
      <c r="D250" s="154">
        <f>SUM(Tabla93617305523[Prima Recibo vida])</f>
        <v>554415.7300000001</v>
      </c>
      <c r="E250" s="155">
        <f>SUM(Tabla93617305523[Gmm])</f>
        <v>7</v>
      </c>
      <c r="F250" s="154">
        <f>SUM(Tabla93617305523[Prima Recibo gmm])</f>
        <v>282838.28000000003</v>
      </c>
      <c r="G250" s="154">
        <f>SUM(Tabla93617305523[Prima total])</f>
        <v>837254.01000000024</v>
      </c>
    </row>
    <row r="251" spans="1:9" ht="13" x14ac:dyDescent="0.15">
      <c r="D251" s="1"/>
      <c r="E251" s="1"/>
      <c r="G251" s="1"/>
    </row>
    <row r="252" spans="1:9" ht="13" x14ac:dyDescent="0.15">
      <c r="D252" s="1"/>
      <c r="E252" s="1"/>
      <c r="G252" s="1"/>
    </row>
    <row r="253" spans="1:9" ht="13" x14ac:dyDescent="0.15">
      <c r="D253" s="1"/>
      <c r="E253" s="1"/>
      <c r="G253" s="1"/>
    </row>
    <row r="254" spans="1:9" x14ac:dyDescent="0.15">
      <c r="A254" s="320" t="s">
        <v>99</v>
      </c>
      <c r="B254" s="320"/>
      <c r="C254" s="320"/>
      <c r="D254" s="320"/>
      <c r="E254" s="320"/>
      <c r="F254" s="320"/>
      <c r="G254" s="320"/>
      <c r="H254" s="320"/>
    </row>
    <row r="255" spans="1:9" ht="28" x14ac:dyDescent="0.15">
      <c r="A255" s="2" t="s">
        <v>1</v>
      </c>
      <c r="B255" s="3" t="s">
        <v>2</v>
      </c>
      <c r="C255" s="3" t="s">
        <v>3</v>
      </c>
      <c r="D255" s="4" t="s">
        <v>88</v>
      </c>
      <c r="E255" s="5" t="s">
        <v>5</v>
      </c>
      <c r="F255" s="3" t="s">
        <v>89</v>
      </c>
      <c r="G255" s="6" t="s">
        <v>7</v>
      </c>
    </row>
    <row r="256" spans="1:9" ht="13" x14ac:dyDescent="0.15">
      <c r="A256" s="156" t="s">
        <v>52</v>
      </c>
      <c r="B256" s="157">
        <f>SUM(Tabla9361730552357[[#This Row],[Vida]],Tabla9361730552357[[#This Row],[Gmm]])</f>
        <v>2</v>
      </c>
      <c r="C256" s="158">
        <v>1</v>
      </c>
      <c r="D256" s="159">
        <v>248646.47</v>
      </c>
      <c r="E256" s="158">
        <v>1</v>
      </c>
      <c r="F256" s="159">
        <v>32478.68</v>
      </c>
      <c r="G256" s="160">
        <f>SUM(Tabla9361730552357[[#This Row],[Prima Recibo vida]],Tabla9361730552357[[#This Row],[Prima Recibo gmm]])</f>
        <v>281125.15000000002</v>
      </c>
      <c r="I256" s="1" t="s">
        <v>56</v>
      </c>
    </row>
    <row r="257" spans="1:11" ht="13" x14ac:dyDescent="0.15">
      <c r="A257" s="156" t="s">
        <v>31</v>
      </c>
      <c r="B257" s="157">
        <f>SUM(Tabla9361730552357[[#This Row],[Vida]],Tabla9361730552357[[#This Row],[Gmm]])</f>
        <v>1</v>
      </c>
      <c r="C257" s="158">
        <v>1</v>
      </c>
      <c r="D257" s="159">
        <v>171698.16</v>
      </c>
      <c r="E257" s="158"/>
      <c r="F257" s="159"/>
      <c r="G257" s="160">
        <f>SUM(Tabla9361730552357[[#This Row],[Prima Recibo vida]],Tabla9361730552357[[#This Row],[Prima Recibo gmm]])</f>
        <v>171698.16</v>
      </c>
      <c r="I257" s="106" t="s">
        <v>74</v>
      </c>
      <c r="J257" s="106"/>
      <c r="K257" s="106" t="s">
        <v>100</v>
      </c>
    </row>
    <row r="258" spans="1:11" ht="13" x14ac:dyDescent="0.15">
      <c r="A258" s="156" t="s">
        <v>27</v>
      </c>
      <c r="B258" s="161">
        <f>SUM(Tabla9361730552357[[#This Row],[Vida]],Tabla9361730552357[[#This Row],[Gmm]])</f>
        <v>4</v>
      </c>
      <c r="C258" s="162">
        <v>3</v>
      </c>
      <c r="D258" s="159">
        <v>91171.02</v>
      </c>
      <c r="E258" s="162">
        <v>1</v>
      </c>
      <c r="F258" s="159">
        <v>37627.5</v>
      </c>
      <c r="G258" s="160">
        <f>SUM(Tabla9361730552357[[#This Row],[Prima Recibo vida]],Tabla9361730552357[[#This Row],[Prima Recibo gmm]])</f>
        <v>128798.52</v>
      </c>
      <c r="I258" s="106" t="s">
        <v>59</v>
      </c>
      <c r="J258" s="106"/>
      <c r="K258" s="106" t="s">
        <v>101</v>
      </c>
    </row>
    <row r="259" spans="1:11" ht="13" x14ac:dyDescent="0.15">
      <c r="A259" s="156" t="s">
        <v>11</v>
      </c>
      <c r="B259" s="161">
        <f>SUM(Tabla9361730552357[[#This Row],[Vida]],Tabla9361730552357[[#This Row],[Gmm]])</f>
        <v>3</v>
      </c>
      <c r="C259" s="162">
        <v>3</v>
      </c>
      <c r="D259" s="159">
        <v>125000</v>
      </c>
      <c r="E259" s="162"/>
      <c r="F259" s="159"/>
      <c r="G259" s="160">
        <f>SUM(Tabla9361730552357[[#This Row],[Prima Recibo vida]],Tabla9361730552357[[#This Row],[Prima Recibo gmm]])</f>
        <v>125000</v>
      </c>
      <c r="I259" s="106" t="s">
        <v>61</v>
      </c>
      <c r="J259" s="106"/>
      <c r="K259" s="106" t="s">
        <v>102</v>
      </c>
    </row>
    <row r="260" spans="1:11" ht="13" x14ac:dyDescent="0.15">
      <c r="A260" s="156" t="s">
        <v>10</v>
      </c>
      <c r="B260" s="157">
        <f>SUM(Tabla9361730552357[[#This Row],[Vida]],Tabla9361730552357[[#This Row],[Gmm]])</f>
        <v>2</v>
      </c>
      <c r="C260" s="158">
        <v>2</v>
      </c>
      <c r="D260" s="159">
        <v>87194.55</v>
      </c>
      <c r="E260" s="158"/>
      <c r="F260" s="159"/>
      <c r="G260" s="160">
        <f>SUM(Tabla9361730552357[[#This Row],[Prima Recibo vida]],Tabla9361730552357[[#This Row],[Prima Recibo gmm]])</f>
        <v>87194.55</v>
      </c>
      <c r="I260" s="106" t="s">
        <v>63</v>
      </c>
      <c r="J260" s="106"/>
      <c r="K260" s="106" t="s">
        <v>102</v>
      </c>
    </row>
    <row r="261" spans="1:11" ht="13" x14ac:dyDescent="0.15">
      <c r="A261" s="156" t="s">
        <v>85</v>
      </c>
      <c r="B261" s="161">
        <f>SUM(Tabla9361730552357[[#This Row],[Vida]],Tabla9361730552357[[#This Row],[Gmm]])</f>
        <v>3</v>
      </c>
      <c r="C261" s="162">
        <v>3</v>
      </c>
      <c r="D261" s="159">
        <v>74044.38</v>
      </c>
      <c r="E261" s="162"/>
      <c r="F261" s="159"/>
      <c r="G261" s="160">
        <f>SUM(Tabla9361730552357[[#This Row],[Prima Recibo vida]],Tabla9361730552357[[#This Row],[Prima Recibo gmm]])</f>
        <v>74044.38</v>
      </c>
      <c r="I261" s="106" t="s">
        <v>65</v>
      </c>
      <c r="J261" s="106"/>
      <c r="K261" s="106" t="s">
        <v>52</v>
      </c>
    </row>
    <row r="262" spans="1:11" ht="13" x14ac:dyDescent="0.15">
      <c r="A262" s="156" t="s">
        <v>71</v>
      </c>
      <c r="B262" s="157">
        <f>SUM(Tabla9361730552357[[#This Row],[Vida]],Tabla9361730552357[[#This Row],[Gmm]])</f>
        <v>1</v>
      </c>
      <c r="C262" s="158">
        <v>0</v>
      </c>
      <c r="D262" s="159">
        <v>0</v>
      </c>
      <c r="E262" s="158">
        <v>1</v>
      </c>
      <c r="F262" s="159">
        <v>61551.03</v>
      </c>
      <c r="G262" s="160">
        <f>SUM(Tabla9361730552357[[#This Row],[Prima Recibo vida]],Tabla9361730552357[[#This Row],[Prima Recibo gmm]])</f>
        <v>61551.03</v>
      </c>
      <c r="I262" s="106" t="s">
        <v>67</v>
      </c>
      <c r="J262" s="106"/>
      <c r="K262" s="106" t="s">
        <v>66</v>
      </c>
    </row>
    <row r="263" spans="1:11" ht="13" x14ac:dyDescent="0.15">
      <c r="A263" s="156" t="s">
        <v>26</v>
      </c>
      <c r="B263" s="161">
        <f>SUM(Tabla9361730552357[[#This Row],[Vida]],Tabla9361730552357[[#This Row],[Gmm]])</f>
        <v>3</v>
      </c>
      <c r="C263" s="162">
        <v>2</v>
      </c>
      <c r="D263" s="159">
        <v>7359.5</v>
      </c>
      <c r="E263" s="162">
        <v>1</v>
      </c>
      <c r="F263" s="159">
        <v>48130.96</v>
      </c>
      <c r="G263" s="160">
        <f>SUM(Tabla9361730552357[[#This Row],[Prima Recibo vida]],Tabla9361730552357[[#This Row],[Prima Recibo gmm]])</f>
        <v>55490.46</v>
      </c>
      <c r="I263" s="106" t="s">
        <v>68</v>
      </c>
      <c r="J263" s="106"/>
      <c r="K263" s="106" t="s">
        <v>103</v>
      </c>
    </row>
    <row r="264" spans="1:11" ht="13" x14ac:dyDescent="0.15">
      <c r="A264" s="156" t="s">
        <v>22</v>
      </c>
      <c r="B264" s="157">
        <f>SUM(Tabla9361730552357[[#This Row],[Vida]],Tabla9361730552357[[#This Row],[Gmm]])</f>
        <v>1</v>
      </c>
      <c r="C264" s="158">
        <v>1</v>
      </c>
      <c r="D264" s="159">
        <v>54780.38</v>
      </c>
      <c r="E264" s="158"/>
      <c r="F264" s="159"/>
      <c r="G264" s="163">
        <f>SUM(Tabla9361730552357[[#This Row],[Prima Recibo vida]],Tabla9361730552357[[#This Row],[Prima Recibo gmm]])</f>
        <v>54780.38</v>
      </c>
      <c r="I264" s="133" t="s">
        <v>69</v>
      </c>
      <c r="J264" s="133"/>
      <c r="K264" s="149" t="s">
        <v>104</v>
      </c>
    </row>
    <row r="265" spans="1:11" ht="13" x14ac:dyDescent="0.15">
      <c r="A265" s="156" t="s">
        <v>24</v>
      </c>
      <c r="B265" s="157">
        <f>SUM(Tabla9361730552357[[#This Row],[Vida]],Tabla9361730552357[[#This Row],[Gmm]])</f>
        <v>1</v>
      </c>
      <c r="C265" s="158">
        <v>1</v>
      </c>
      <c r="D265" s="164">
        <v>53804</v>
      </c>
      <c r="E265" s="158"/>
      <c r="F265" s="164"/>
      <c r="G265" s="165">
        <f>SUM(Tabla9361730552357[[#This Row],[Prima Recibo vida]],Tabla9361730552357[[#This Row],[Prima Recibo gmm]])</f>
        <v>53804</v>
      </c>
    </row>
    <row r="266" spans="1:11" ht="16" customHeight="1" x14ac:dyDescent="0.15">
      <c r="A266" s="156" t="s">
        <v>12</v>
      </c>
      <c r="B266" s="157">
        <f>SUM(Tabla9361730552357[[#This Row],[Vida]],Tabla9361730552357[[#This Row],[Gmm]])</f>
        <v>2</v>
      </c>
      <c r="C266" s="158">
        <v>2</v>
      </c>
      <c r="D266" s="159">
        <v>51968.21</v>
      </c>
      <c r="E266" s="158"/>
      <c r="F266" s="159"/>
      <c r="G266" s="160">
        <f>SUM(Tabla9361730552357[[#This Row],[Prima Recibo vida]],Tabla9361730552357[[#This Row],[Prima Recibo gmm]])</f>
        <v>51968.21</v>
      </c>
    </row>
    <row r="267" spans="1:11" ht="13" x14ac:dyDescent="0.15">
      <c r="A267" s="156" t="s">
        <v>35</v>
      </c>
      <c r="B267" s="157">
        <f>SUM(Tabla9361730552357[[#This Row],[Vida]],Tabla9361730552357[[#This Row],[Gmm]])</f>
        <v>2.5</v>
      </c>
      <c r="C267" s="158">
        <v>2</v>
      </c>
      <c r="D267" s="159">
        <v>21119.55</v>
      </c>
      <c r="E267" s="158">
        <v>0.5</v>
      </c>
      <c r="F267" s="159">
        <v>29892.52</v>
      </c>
      <c r="G267" s="160">
        <f>SUM(Tabla9361730552357[[#This Row],[Prima Recibo vida]],Tabla9361730552357[[#This Row],[Prima Recibo gmm]])</f>
        <v>51012.07</v>
      </c>
    </row>
    <row r="268" spans="1:11" ht="13" x14ac:dyDescent="0.15">
      <c r="A268" s="156" t="s">
        <v>32</v>
      </c>
      <c r="B268" s="157">
        <f>SUM(Tabla9361730552357[[#This Row],[Vida]],Tabla9361730552357[[#This Row],[Gmm]])</f>
        <v>1.5</v>
      </c>
      <c r="C268" s="158">
        <v>1</v>
      </c>
      <c r="D268" s="164">
        <v>16544</v>
      </c>
      <c r="E268" s="158">
        <v>0.5</v>
      </c>
      <c r="F268" s="164">
        <v>30955.41</v>
      </c>
      <c r="G268" s="166">
        <f>SUM(Tabla9361730552357[[#This Row],[Prima Recibo vida]],Tabla9361730552357[[#This Row],[Prima Recibo gmm]])</f>
        <v>47499.41</v>
      </c>
    </row>
    <row r="269" spans="1:11" ht="13" x14ac:dyDescent="0.15">
      <c r="A269" s="156" t="s">
        <v>13</v>
      </c>
      <c r="B269" s="157">
        <f>SUM(Tabla9361730552357[[#This Row],[Vida]],Tabla9361730552357[[#This Row],[Gmm]])</f>
        <v>1.5</v>
      </c>
      <c r="C269" s="158">
        <v>1</v>
      </c>
      <c r="D269" s="164">
        <v>24955.35</v>
      </c>
      <c r="E269" s="158">
        <v>0.5</v>
      </c>
      <c r="F269" s="164">
        <v>20719.03</v>
      </c>
      <c r="G269" s="166">
        <f>SUM(Tabla9361730552357[[#This Row],[Prima Recibo vida]],Tabla9361730552357[[#This Row],[Prima Recibo gmm]])</f>
        <v>45674.38</v>
      </c>
    </row>
    <row r="270" spans="1:11" ht="13" x14ac:dyDescent="0.15">
      <c r="A270" s="156" t="s">
        <v>34</v>
      </c>
      <c r="B270" s="157">
        <f>SUM(Tabla9361730552357[[#This Row],[Vida]],Tabla9361730552357[[#This Row],[Gmm]])</f>
        <v>0.5</v>
      </c>
      <c r="C270" s="158">
        <v>0</v>
      </c>
      <c r="D270" s="164">
        <v>0</v>
      </c>
      <c r="E270" s="158">
        <v>0.5</v>
      </c>
      <c r="F270" s="164">
        <v>33023.519999999997</v>
      </c>
      <c r="G270" s="166">
        <f>SUM(Tabla9361730552357[[#This Row],[Prima Recibo vida]],Tabla9361730552357[[#This Row],[Prima Recibo gmm]])</f>
        <v>33023.519999999997</v>
      </c>
    </row>
    <row r="271" spans="1:11" ht="13" x14ac:dyDescent="0.15">
      <c r="A271" s="156" t="s">
        <v>41</v>
      </c>
      <c r="B271" s="157">
        <f>SUM(Tabla9361730552357[[#This Row],[Vida]],Tabla9361730552357[[#This Row],[Gmm]])</f>
        <v>2</v>
      </c>
      <c r="C271" s="158">
        <v>2</v>
      </c>
      <c r="D271" s="164">
        <v>30410.720000000001</v>
      </c>
      <c r="E271" s="158"/>
      <c r="F271" s="164"/>
      <c r="G271" s="165">
        <f>SUM(Tabla9361730552357[[#This Row],[Prima Recibo vida]],Tabla9361730552357[[#This Row],[Prima Recibo gmm]])</f>
        <v>30410.720000000001</v>
      </c>
    </row>
    <row r="272" spans="1:11" ht="13" x14ac:dyDescent="0.15">
      <c r="A272" s="156" t="s">
        <v>38</v>
      </c>
      <c r="B272" s="157">
        <f>SUM(Tabla9361730552357[[#This Row],[Vida]],Tabla9361730552357[[#This Row],[Gmm]])</f>
        <v>1</v>
      </c>
      <c r="C272" s="158">
        <v>1</v>
      </c>
      <c r="D272" s="164">
        <v>30116.11</v>
      </c>
      <c r="E272" s="167"/>
      <c r="F272" s="168"/>
      <c r="G272" s="165">
        <f>SUM(Tabla9361730552357[[#This Row],[Prima Recibo vida]],Tabla9361730552357[[#This Row],[Prima Recibo gmm]])</f>
        <v>30116.11</v>
      </c>
    </row>
    <row r="273" spans="1:7" ht="13" x14ac:dyDescent="0.15">
      <c r="A273" s="156" t="s">
        <v>19</v>
      </c>
      <c r="B273" s="157">
        <f>SUM(Tabla9361730552357[[#This Row],[Vida]],Tabla9361730552357[[#This Row],[Gmm]])</f>
        <v>1</v>
      </c>
      <c r="C273" s="158">
        <v>1</v>
      </c>
      <c r="D273" s="164">
        <v>29789.56</v>
      </c>
      <c r="E273" s="158"/>
      <c r="F273" s="164"/>
      <c r="G273" s="166">
        <f>SUM(Tabla9361730552357[[#This Row],[Prima Recibo vida]],Tabla9361730552357[[#This Row],[Prima Recibo gmm]])</f>
        <v>29789.56</v>
      </c>
    </row>
    <row r="274" spans="1:7" ht="13" x14ac:dyDescent="0.15">
      <c r="A274" s="156" t="s">
        <v>30</v>
      </c>
      <c r="B274" s="157">
        <f>SUM(Tabla9361730552357[[#This Row],[Vida]],Tabla9361730552357[[#This Row],[Gmm]])</f>
        <v>2</v>
      </c>
      <c r="C274" s="158">
        <v>1</v>
      </c>
      <c r="D274" s="164">
        <v>1663.72</v>
      </c>
      <c r="E274" s="158">
        <v>1</v>
      </c>
      <c r="F274" s="164">
        <v>22636.86</v>
      </c>
      <c r="G274" s="165">
        <f>SUM(Tabla9361730552357[[#This Row],[Prima Recibo vida]],Tabla9361730552357[[#This Row],[Prima Recibo gmm]])</f>
        <v>24300.58</v>
      </c>
    </row>
    <row r="275" spans="1:7" ht="13" x14ac:dyDescent="0.15">
      <c r="A275" s="156" t="s">
        <v>46</v>
      </c>
      <c r="B275" s="157">
        <f>SUM(Tabla9361730552357[[#This Row],[Vida]],Tabla9361730552357[[#This Row],[Gmm]])</f>
        <v>0.5</v>
      </c>
      <c r="C275" s="158"/>
      <c r="D275" s="164"/>
      <c r="E275" s="158">
        <v>0.5</v>
      </c>
      <c r="F275" s="164">
        <v>22633.68</v>
      </c>
      <c r="G275" s="165">
        <f>SUM(Tabla9361730552357[[#This Row],[Prima Recibo vida]],Tabla9361730552357[[#This Row],[Prima Recibo gmm]])</f>
        <v>22633.68</v>
      </c>
    </row>
    <row r="276" spans="1:7" ht="13" x14ac:dyDescent="0.15">
      <c r="A276" s="156" t="s">
        <v>97</v>
      </c>
      <c r="B276" s="161">
        <f>SUM(Tabla9361730552357[[#This Row],[Vida]],Tabla9361730552357[[#This Row],[Gmm]])</f>
        <v>3</v>
      </c>
      <c r="C276" s="162">
        <v>3</v>
      </c>
      <c r="D276" s="164">
        <v>19524.46</v>
      </c>
      <c r="E276" s="169"/>
      <c r="F276" s="168"/>
      <c r="G276" s="165">
        <f>SUM(Tabla9361730552357[[#This Row],[Prima Recibo vida]],Tabla9361730552357[[#This Row],[Prima Recibo gmm]])</f>
        <v>19524.46</v>
      </c>
    </row>
    <row r="277" spans="1:7" ht="13" x14ac:dyDescent="0.15">
      <c r="A277" s="156" t="s">
        <v>16</v>
      </c>
      <c r="B277" s="157">
        <f>SUM(Tabla9361730552357[[#This Row],[Vida]],Tabla9361730552357[[#This Row],[Gmm]])</f>
        <v>1</v>
      </c>
      <c r="C277" s="158">
        <v>1</v>
      </c>
      <c r="D277" s="164">
        <v>9884.27</v>
      </c>
      <c r="E277" s="170"/>
      <c r="F277" s="168"/>
      <c r="G277" s="165">
        <f>SUM(Tabla9361730552357[[#This Row],[Prima Recibo vida]],Tabla9361730552357[[#This Row],[Prima Recibo gmm]])</f>
        <v>9884.27</v>
      </c>
    </row>
    <row r="278" spans="1:7" ht="13" x14ac:dyDescent="0.15">
      <c r="A278" s="156" t="s">
        <v>105</v>
      </c>
      <c r="B278" s="157">
        <f>SUM(Tabla9361730552357[[#This Row],[Vida]],Tabla9361730552357[[#This Row],[Gmm]])</f>
        <v>2</v>
      </c>
      <c r="C278" s="158">
        <v>2</v>
      </c>
      <c r="D278" s="164">
        <v>7898.38</v>
      </c>
      <c r="E278" s="158"/>
      <c r="F278" s="164"/>
      <c r="G278" s="166">
        <f>SUM(Tabla9361730552357[[#This Row],[Prima Recibo vida]],Tabla9361730552357[[#This Row],[Prima Recibo gmm]])</f>
        <v>7898.38</v>
      </c>
    </row>
    <row r="279" spans="1:7" ht="13" x14ac:dyDescent="0.15">
      <c r="A279" s="156" t="s">
        <v>70</v>
      </c>
      <c r="B279" s="157">
        <f>SUM(Tabla9361730552357[[#This Row],[Vida]],Tabla9361730552357[[#This Row],[Gmm]])</f>
        <v>1.5</v>
      </c>
      <c r="C279" s="158">
        <v>1</v>
      </c>
      <c r="D279" s="164">
        <v>1436.52</v>
      </c>
      <c r="E279" s="158">
        <v>0.5</v>
      </c>
      <c r="F279" s="164">
        <v>1262.54</v>
      </c>
      <c r="G279" s="166">
        <f>SUM(Tabla9361730552357[[#This Row],[Prima Recibo vida]],Tabla9361730552357[[#This Row],[Prima Recibo gmm]])</f>
        <v>2699.06</v>
      </c>
    </row>
    <row r="280" spans="1:7" ht="13" x14ac:dyDescent="0.15">
      <c r="A280" s="156" t="s">
        <v>54</v>
      </c>
      <c r="B280" s="157">
        <f>SUM(Tabla9361730552357[[#This Row],[Vida]],Tabla9361730552357[[#This Row],[Gmm]])</f>
        <v>1</v>
      </c>
      <c r="C280" s="158">
        <v>1</v>
      </c>
      <c r="D280" s="164">
        <v>2443.1</v>
      </c>
      <c r="E280" s="167"/>
      <c r="F280" s="164"/>
      <c r="G280" s="166">
        <f>SUM(Tabla9361730552357[[#This Row],[Prima Recibo vida]],Tabla9361730552357[[#This Row],[Prima Recibo gmm]])</f>
        <v>2443.1</v>
      </c>
    </row>
    <row r="281" spans="1:7" ht="13" x14ac:dyDescent="0.15">
      <c r="A281" s="156" t="s">
        <v>28</v>
      </c>
      <c r="B281" s="157">
        <f>SUM(Tabla9361730552357[[#This Row],[Vida]],Tabla9361730552357[[#This Row],[Gmm]])</f>
        <v>1</v>
      </c>
      <c r="C281" s="158">
        <v>1</v>
      </c>
      <c r="D281" s="164">
        <v>2418.98</v>
      </c>
      <c r="E281" s="158"/>
      <c r="F281" s="164"/>
      <c r="G281" s="165">
        <f>SUM(Tabla9361730552357[[#This Row],[Prima Recibo vida]],Tabla9361730552357[[#This Row],[Prima Recibo gmm]])</f>
        <v>2418.98</v>
      </c>
    </row>
    <row r="282" spans="1:7" x14ac:dyDescent="0.15">
      <c r="A282" s="156" t="s">
        <v>72</v>
      </c>
      <c r="B282" s="157">
        <f>SUM(Tabla9361730552357[[#This Row],[Vida]],Tabla9361730552357[[#This Row],[Gmm]])</f>
        <v>1</v>
      </c>
      <c r="C282" s="158">
        <v>1</v>
      </c>
      <c r="D282" s="164">
        <v>1698.93</v>
      </c>
      <c r="E282" s="158"/>
      <c r="F282" s="164"/>
      <c r="G282" s="171">
        <f>SUM(Tabla9361730552357[[#This Row],[Prima Recibo vida]],Tabla9361730552357[[#This Row],[Prima Recibo gmm]])</f>
        <v>1698.93</v>
      </c>
    </row>
    <row r="283" spans="1:7" ht="13" x14ac:dyDescent="0.15">
      <c r="A283" s="156" t="s">
        <v>98</v>
      </c>
      <c r="B283" s="157">
        <f>SUM(Tabla9361730552357[[#This Row],[Vida]],Tabla9361730552357[[#This Row],[Gmm]])</f>
        <v>1</v>
      </c>
      <c r="C283" s="158">
        <v>1</v>
      </c>
      <c r="D283" s="164">
        <v>1432.94</v>
      </c>
      <c r="E283" s="167"/>
      <c r="F283" s="168"/>
      <c r="G283" s="165">
        <f>SUM(Tabla9361730552357[[#This Row],[Prima Recibo vida]],Tabla9361730552357[[#This Row],[Prima Recibo gmm]])</f>
        <v>1432.94</v>
      </c>
    </row>
    <row r="284" spans="1:7" ht="13" x14ac:dyDescent="0.15">
      <c r="A284" s="156" t="s">
        <v>60</v>
      </c>
      <c r="B284" s="172">
        <f>SUM(Tabla9361730552357[[#This Row],[Vida]],Tabla9361730552357[[#This Row],[Gmm]])</f>
        <v>0</v>
      </c>
      <c r="C284" s="173">
        <v>0</v>
      </c>
      <c r="D284" s="174">
        <v>0</v>
      </c>
      <c r="E284" s="173"/>
      <c r="F284" s="174"/>
      <c r="G284" s="175">
        <f>SUM(Tabla9361730552357[[#This Row],[Prima Recibo vida]],Tabla9361730552357[[#This Row],[Prima Recibo gmm]])</f>
        <v>0</v>
      </c>
    </row>
    <row r="285" spans="1:7" ht="13" x14ac:dyDescent="0.15">
      <c r="A285" s="156" t="s">
        <v>25</v>
      </c>
      <c r="B285" s="172">
        <f>SUM(Tabla9361730552357[[#This Row],[Vida]],Tabla9361730552357[[#This Row],[Gmm]])</f>
        <v>0</v>
      </c>
      <c r="C285" s="173">
        <v>0</v>
      </c>
      <c r="D285" s="174">
        <v>0</v>
      </c>
      <c r="E285" s="173"/>
      <c r="F285" s="174"/>
      <c r="G285" s="175">
        <f>SUM(Tabla9361730552357[[#This Row],[Prima Recibo vida]],Tabla9361730552357[[#This Row],[Prima Recibo gmm]])</f>
        <v>0</v>
      </c>
    </row>
    <row r="286" spans="1:7" ht="13" x14ac:dyDescent="0.15">
      <c r="A286" s="156" t="s">
        <v>14</v>
      </c>
      <c r="B286" s="172">
        <f>SUM(Tabla9361730552357[[#This Row],[Vida]],Tabla9361730552357[[#This Row],[Gmm]])</f>
        <v>0</v>
      </c>
      <c r="C286" s="173">
        <v>0</v>
      </c>
      <c r="D286" s="174">
        <v>0</v>
      </c>
      <c r="E286" s="176"/>
      <c r="F286" s="177"/>
      <c r="G286" s="175">
        <f>SUM(Tabla9361730552357[[#This Row],[Prima Recibo vida]],Tabla9361730552357[[#This Row],[Prima Recibo gmm]])</f>
        <v>0</v>
      </c>
    </row>
    <row r="287" spans="1:7" ht="13" x14ac:dyDescent="0.15">
      <c r="A287" s="156" t="s">
        <v>43</v>
      </c>
      <c r="B287" s="172">
        <f>SUM(Tabla9361730552357[[#This Row],[Vida]],Tabla9361730552357[[#This Row],[Gmm]])</f>
        <v>0</v>
      </c>
      <c r="C287" s="173">
        <v>0</v>
      </c>
      <c r="D287" s="174">
        <v>0</v>
      </c>
      <c r="E287" s="173"/>
      <c r="F287" s="174"/>
      <c r="G287" s="175">
        <f>SUM(Tabla9361730552357[[#This Row],[Prima Recibo vida]],Tabla9361730552357[[#This Row],[Prima Recibo gmm]])</f>
        <v>0</v>
      </c>
    </row>
    <row r="288" spans="1:7" ht="13" x14ac:dyDescent="0.15">
      <c r="A288" s="156" t="s">
        <v>29</v>
      </c>
      <c r="B288" s="172">
        <f>SUM(Tabla9361730552357[[#This Row],[Vida]],Tabla9361730552357[[#This Row],[Gmm]])</f>
        <v>0</v>
      </c>
      <c r="C288" s="173">
        <v>0</v>
      </c>
      <c r="D288" s="174">
        <v>0</v>
      </c>
      <c r="E288" s="173"/>
      <c r="F288" s="174"/>
      <c r="G288" s="178">
        <f>SUM(Tabla9361730552357[[#This Row],[Prima Recibo vida]],Tabla9361730552357[[#This Row],[Prima Recibo gmm]])</f>
        <v>0</v>
      </c>
    </row>
    <row r="289" spans="1:16384" ht="13" x14ac:dyDescent="0.15">
      <c r="A289" s="156" t="s">
        <v>37</v>
      </c>
      <c r="B289" s="172">
        <f>SUM(Tabla9361730552357[[#This Row],[Vida]],Tabla9361730552357[[#This Row],[Gmm]])</f>
        <v>0</v>
      </c>
      <c r="C289" s="173">
        <v>0</v>
      </c>
      <c r="D289" s="174">
        <v>0</v>
      </c>
      <c r="E289" s="173"/>
      <c r="F289" s="174"/>
      <c r="G289" s="178">
        <f>SUM(Tabla9361730552357[[#This Row],[Prima Recibo vida]],Tabla9361730552357[[#This Row],[Prima Recibo gmm]])</f>
        <v>0</v>
      </c>
    </row>
    <row r="290" spans="1:16384" x14ac:dyDescent="0.15">
      <c r="A290" s="156" t="s">
        <v>36</v>
      </c>
      <c r="B290" s="172">
        <f>SUM(Tabla9361730552357[[#This Row],[Vida]],Tabla9361730552357[[#This Row],[Gmm]])</f>
        <v>0</v>
      </c>
      <c r="C290" s="173">
        <v>0</v>
      </c>
      <c r="D290" s="174">
        <v>0</v>
      </c>
      <c r="E290" s="173"/>
      <c r="F290" s="174"/>
      <c r="G290" s="179">
        <f>SUM(Tabla9361730552357[[#This Row],[Prima Recibo vida]],Tabla9361730552357[[#This Row],[Prima Recibo gmm]])</f>
        <v>0</v>
      </c>
    </row>
    <row r="291" spans="1:16384" x14ac:dyDescent="0.15">
      <c r="A291" s="156" t="s">
        <v>33</v>
      </c>
      <c r="B291" s="172">
        <f>SUM(Tabla9361730552357[[#This Row],[Vida]],Tabla9361730552357[[#This Row],[Gmm]])</f>
        <v>0</v>
      </c>
      <c r="C291" s="173">
        <v>0</v>
      </c>
      <c r="D291" s="174">
        <v>0</v>
      </c>
      <c r="E291" s="173"/>
      <c r="F291" s="174"/>
      <c r="G291" s="179">
        <f>SUM(Tabla9361730552357[[#This Row],[Prima Recibo vida]],Tabla9361730552357[[#This Row],[Prima Recibo gmm]])</f>
        <v>0</v>
      </c>
    </row>
    <row r="292" spans="1:16384" x14ac:dyDescent="0.15">
      <c r="A292" s="156" t="s">
        <v>17</v>
      </c>
      <c r="B292" s="172">
        <f>SUM(Tabla9361730552357[[#This Row],[Vida]],Tabla9361730552357[[#This Row],[Gmm]])</f>
        <v>0</v>
      </c>
      <c r="C292" s="173">
        <v>0</v>
      </c>
      <c r="D292" s="174">
        <v>0</v>
      </c>
      <c r="E292" s="173"/>
      <c r="F292" s="174"/>
      <c r="G292" s="179">
        <f>SUM(Tabla9361730552357[[#This Row],[Prima Recibo vida]],Tabla9361730552357[[#This Row],[Prima Recibo gmm]])</f>
        <v>0</v>
      </c>
    </row>
    <row r="293" spans="1:16384" ht="13" x14ac:dyDescent="0.15">
      <c r="A293" s="156" t="s">
        <v>49</v>
      </c>
      <c r="B293" s="172">
        <f>SUM(Tabla9361730552357[[#This Row],[Vida]],Tabla9361730552357[[#This Row],[Gmm]])</f>
        <v>0</v>
      </c>
      <c r="C293" s="173">
        <v>0</v>
      </c>
      <c r="D293" s="174">
        <v>0</v>
      </c>
      <c r="E293" s="176"/>
      <c r="F293" s="174"/>
      <c r="G293" s="178">
        <f>SUM(Tabla9361730552357[[#This Row],[Prima Recibo vida]],Tabla9361730552357[[#This Row],[Prima Recibo gmm]])</f>
        <v>0</v>
      </c>
    </row>
    <row r="294" spans="1:16384" ht="13" x14ac:dyDescent="0.15">
      <c r="A294" s="156" t="s">
        <v>45</v>
      </c>
      <c r="B294" s="172">
        <f>SUM(Tabla9361730552357[[#This Row],[Vida]],Tabla9361730552357[[#This Row],[Gmm]])</f>
        <v>0</v>
      </c>
      <c r="C294" s="173">
        <v>0</v>
      </c>
      <c r="D294" s="174">
        <v>0</v>
      </c>
      <c r="E294" s="176"/>
      <c r="F294" s="177"/>
      <c r="G294" s="175">
        <f>SUM(Tabla9361730552357[[#This Row],[Prima Recibo vida]],Tabla9361730552357[[#This Row],[Prima Recibo gmm]])</f>
        <v>0</v>
      </c>
      <c r="H294" s="103"/>
      <c r="I294" s="113"/>
      <c r="J294" s="113"/>
      <c r="K294" s="103"/>
      <c r="L294" s="113"/>
      <c r="M294" s="103"/>
      <c r="N294" s="113"/>
      <c r="O294" s="103"/>
      <c r="P294" s="113"/>
      <c r="Q294" s="103"/>
      <c r="R294" s="113"/>
      <c r="S294" s="103"/>
      <c r="T294" s="113"/>
      <c r="U294" s="103"/>
      <c r="V294" s="113"/>
      <c r="W294" s="103"/>
      <c r="X294" s="113"/>
      <c r="Y294" s="103"/>
      <c r="Z294" s="113"/>
      <c r="AA294" s="103"/>
      <c r="AB294" s="113"/>
      <c r="AC294" s="103"/>
      <c r="AD294" s="113"/>
      <c r="AE294" s="103"/>
      <c r="AF294" s="113"/>
      <c r="AG294" s="103"/>
      <c r="AH294" s="113"/>
      <c r="AI294" s="103"/>
      <c r="AJ294" s="113"/>
      <c r="AK294" s="103"/>
      <c r="AL294" s="113"/>
      <c r="AM294" s="103"/>
      <c r="AN294" s="113"/>
      <c r="AO294" s="103"/>
      <c r="AP294" s="113"/>
      <c r="AQ294" s="103"/>
      <c r="AR294" s="113"/>
      <c r="AS294" s="103"/>
      <c r="AT294" s="113"/>
      <c r="AU294" s="103"/>
      <c r="AV294" s="113"/>
      <c r="AW294" s="103"/>
      <c r="AX294" s="113"/>
      <c r="AY294" s="103"/>
      <c r="AZ294" s="113"/>
      <c r="BA294" s="103"/>
      <c r="BB294" s="113"/>
      <c r="BC294" s="103"/>
      <c r="BD294" s="113"/>
      <c r="BE294" s="103"/>
      <c r="BF294" s="113"/>
      <c r="BG294" s="103"/>
      <c r="BH294" s="113"/>
      <c r="BI294" s="103"/>
      <c r="BJ294" s="113"/>
      <c r="BK294" s="103"/>
      <c r="BL294" s="113"/>
      <c r="BM294" s="103"/>
      <c r="BN294" s="113"/>
      <c r="BO294" s="103"/>
      <c r="BP294" s="113"/>
      <c r="BQ294" s="103"/>
      <c r="BR294" s="113"/>
      <c r="BS294" s="103"/>
      <c r="BT294" s="113"/>
      <c r="BU294" s="103"/>
      <c r="BV294" s="113"/>
      <c r="BW294" s="103"/>
      <c r="BX294" s="113"/>
      <c r="BY294" s="103"/>
      <c r="BZ294" s="113"/>
      <c r="CA294" s="103"/>
      <c r="CB294" s="113"/>
      <c r="CC294" s="103"/>
      <c r="CD294" s="113"/>
      <c r="CE294" s="103"/>
      <c r="CF294" s="113"/>
      <c r="CG294" s="103"/>
      <c r="CH294" s="113"/>
      <c r="CI294" s="103"/>
      <c r="CJ294" s="113"/>
      <c r="CK294" s="103"/>
      <c r="CL294" s="113"/>
      <c r="CM294" s="103"/>
      <c r="CN294" s="113"/>
      <c r="CO294" s="103"/>
      <c r="CP294" s="113"/>
      <c r="CQ294" s="103"/>
      <c r="CR294" s="113"/>
      <c r="CS294" s="103"/>
      <c r="CT294" s="113"/>
      <c r="CU294" s="103"/>
      <c r="CV294" s="113"/>
      <c r="CW294" s="103"/>
      <c r="CX294" s="113"/>
      <c r="CY294" s="103"/>
      <c r="CZ294" s="113"/>
      <c r="DA294" s="103"/>
      <c r="DB294" s="113"/>
      <c r="DC294" s="103"/>
      <c r="DD294" s="113"/>
      <c r="DE294" s="103"/>
      <c r="DF294" s="113"/>
      <c r="DG294" s="103"/>
      <c r="DH294" s="113"/>
      <c r="DI294" s="103"/>
      <c r="DJ294" s="113"/>
      <c r="DK294" s="103"/>
      <c r="DL294" s="113"/>
      <c r="DM294" s="103"/>
      <c r="DN294" s="113"/>
      <c r="DO294" s="103"/>
      <c r="DP294" s="113"/>
      <c r="DQ294" s="103"/>
      <c r="DR294" s="113"/>
      <c r="DS294" s="103"/>
      <c r="DT294" s="113"/>
      <c r="DU294" s="103"/>
      <c r="DV294" s="113"/>
      <c r="DW294" s="103"/>
      <c r="DX294" s="113"/>
      <c r="DY294" s="103"/>
      <c r="DZ294" s="113"/>
      <c r="EA294" s="103"/>
      <c r="EB294" s="113"/>
      <c r="EC294" s="103"/>
      <c r="ED294" s="113"/>
      <c r="EE294" s="103"/>
      <c r="EF294" s="113"/>
      <c r="EG294" s="103"/>
      <c r="EH294" s="113"/>
      <c r="EI294" s="103"/>
      <c r="EJ294" s="113"/>
      <c r="EK294" s="103"/>
      <c r="EL294" s="113"/>
      <c r="EM294" s="103"/>
      <c r="EN294" s="113"/>
      <c r="EO294" s="103"/>
      <c r="EP294" s="113"/>
      <c r="EQ294" s="103"/>
      <c r="ER294" s="113"/>
      <c r="ES294" s="103"/>
      <c r="ET294" s="113"/>
      <c r="EU294" s="103"/>
      <c r="EV294" s="113"/>
      <c r="EW294" s="103"/>
      <c r="EX294" s="113"/>
      <c r="EY294" s="103"/>
      <c r="EZ294" s="113"/>
      <c r="FA294" s="103"/>
      <c r="FB294" s="113"/>
      <c r="FC294" s="103"/>
      <c r="FD294" s="113"/>
      <c r="FE294" s="103"/>
      <c r="FF294" s="113"/>
      <c r="FG294" s="103"/>
      <c r="FH294" s="113"/>
      <c r="FI294" s="103"/>
      <c r="FJ294" s="113"/>
      <c r="FK294" s="103"/>
      <c r="FL294" s="113"/>
      <c r="FM294" s="103"/>
      <c r="FN294" s="113"/>
      <c r="FO294" s="103"/>
      <c r="FP294" s="113"/>
      <c r="FQ294" s="103"/>
      <c r="FR294" s="113"/>
      <c r="FS294" s="103"/>
      <c r="FT294" s="113"/>
      <c r="FU294" s="103"/>
      <c r="FV294" s="113"/>
      <c r="FW294" s="103"/>
      <c r="FX294" s="113"/>
      <c r="FY294" s="103"/>
      <c r="FZ294" s="113"/>
      <c r="GA294" s="103"/>
      <c r="GB294" s="113"/>
      <c r="GC294" s="103"/>
      <c r="GD294" s="113"/>
      <c r="GE294" s="103"/>
      <c r="GF294" s="113"/>
      <c r="GG294" s="103"/>
      <c r="GH294" s="113"/>
      <c r="GI294" s="103"/>
      <c r="GJ294" s="113"/>
      <c r="GK294" s="103"/>
      <c r="GL294" s="113"/>
      <c r="GM294" s="103"/>
      <c r="GN294" s="113"/>
      <c r="GO294" s="103"/>
      <c r="GP294" s="113"/>
      <c r="GQ294" s="103"/>
      <c r="GR294" s="113"/>
      <c r="GS294" s="103"/>
      <c r="GT294" s="113"/>
      <c r="GU294" s="103"/>
      <c r="GV294" s="113"/>
      <c r="GW294" s="103"/>
      <c r="GX294" s="113"/>
      <c r="GY294" s="103"/>
      <c r="GZ294" s="113"/>
      <c r="HA294" s="103"/>
      <c r="HB294" s="113"/>
      <c r="HC294" s="103"/>
      <c r="HD294" s="113"/>
      <c r="HE294" s="103"/>
      <c r="HF294" s="113"/>
      <c r="HG294" s="103"/>
      <c r="HH294" s="113"/>
      <c r="HI294" s="103"/>
      <c r="HJ294" s="113"/>
      <c r="HK294" s="103"/>
      <c r="HL294" s="113"/>
      <c r="HM294" s="103"/>
      <c r="HN294" s="113"/>
      <c r="HO294" s="103"/>
      <c r="HP294" s="113"/>
      <c r="HQ294" s="103"/>
      <c r="HR294" s="113"/>
      <c r="HS294" s="103"/>
      <c r="HT294" s="113"/>
      <c r="HU294" s="103"/>
      <c r="HV294" s="113"/>
      <c r="HW294" s="103"/>
      <c r="HX294" s="113"/>
      <c r="HY294" s="103"/>
      <c r="HZ294" s="113"/>
      <c r="IA294" s="103"/>
      <c r="IB294" s="113"/>
      <c r="IC294" s="103"/>
      <c r="ID294" s="113"/>
      <c r="IE294" s="103"/>
      <c r="IF294" s="113"/>
      <c r="IG294" s="103"/>
      <c r="IH294" s="113"/>
      <c r="II294" s="103"/>
      <c r="IJ294" s="113"/>
      <c r="IK294" s="103"/>
      <c r="IL294" s="113"/>
      <c r="IM294" s="103"/>
      <c r="IN294" s="113"/>
      <c r="IO294" s="103"/>
      <c r="IP294" s="113"/>
      <c r="IQ294" s="103"/>
      <c r="IR294" s="113"/>
      <c r="IS294" s="103"/>
      <c r="IT294" s="113"/>
      <c r="IU294" s="103"/>
      <c r="IV294" s="113"/>
      <c r="IW294" s="103"/>
      <c r="IX294" s="113"/>
      <c r="IY294" s="103"/>
      <c r="IZ294" s="113"/>
      <c r="JA294" s="103"/>
      <c r="JB294" s="113"/>
      <c r="JC294" s="103"/>
      <c r="JD294" s="113"/>
      <c r="JE294" s="103"/>
      <c r="JF294" s="113"/>
      <c r="JG294" s="103"/>
      <c r="JH294" s="113"/>
      <c r="JI294" s="103"/>
      <c r="JJ294" s="113"/>
      <c r="JK294" s="103"/>
      <c r="JL294" s="113"/>
      <c r="JM294" s="103"/>
      <c r="JN294" s="113"/>
      <c r="JO294" s="103"/>
      <c r="JP294" s="113"/>
      <c r="JQ294" s="103"/>
      <c r="JR294" s="113"/>
      <c r="JS294" s="103"/>
      <c r="JT294" s="113"/>
      <c r="JU294" s="103"/>
      <c r="JV294" s="113"/>
      <c r="JW294" s="103"/>
      <c r="JX294" s="113"/>
      <c r="JY294" s="103"/>
      <c r="JZ294" s="113"/>
      <c r="KA294" s="103"/>
      <c r="KB294" s="113"/>
      <c r="KC294" s="103"/>
      <c r="KD294" s="113"/>
      <c r="KE294" s="103"/>
      <c r="KF294" s="113"/>
      <c r="KG294" s="103"/>
      <c r="KH294" s="113"/>
      <c r="KI294" s="103"/>
      <c r="KJ294" s="113"/>
      <c r="KK294" s="103"/>
      <c r="KL294" s="113"/>
      <c r="KM294" s="103"/>
      <c r="KN294" s="113"/>
      <c r="KO294" s="103"/>
      <c r="KP294" s="113"/>
      <c r="KQ294" s="103"/>
      <c r="KR294" s="113"/>
      <c r="KS294" s="103"/>
      <c r="KT294" s="113"/>
      <c r="KU294" s="103"/>
      <c r="KV294" s="113"/>
      <c r="KW294" s="103"/>
      <c r="KX294" s="113"/>
      <c r="KY294" s="103"/>
      <c r="KZ294" s="113"/>
      <c r="LA294" s="103"/>
      <c r="LB294" s="113"/>
      <c r="LC294" s="103"/>
      <c r="LD294" s="113"/>
      <c r="LE294" s="103"/>
      <c r="LF294" s="113"/>
      <c r="LG294" s="103"/>
      <c r="LH294" s="113"/>
      <c r="LI294" s="103"/>
      <c r="LJ294" s="113"/>
      <c r="LK294" s="103"/>
      <c r="LL294" s="113"/>
      <c r="LM294" s="103"/>
      <c r="LN294" s="113"/>
      <c r="LO294" s="103"/>
      <c r="LP294" s="113"/>
      <c r="LQ294" s="103"/>
      <c r="LR294" s="113"/>
      <c r="LS294" s="103"/>
      <c r="LT294" s="113"/>
      <c r="LU294" s="103"/>
      <c r="LV294" s="113"/>
      <c r="LW294" s="103"/>
      <c r="LX294" s="113"/>
      <c r="LY294" s="103"/>
      <c r="LZ294" s="113"/>
      <c r="MA294" s="103"/>
      <c r="MB294" s="113"/>
      <c r="MC294" s="103"/>
      <c r="MD294" s="113"/>
      <c r="ME294" s="103"/>
      <c r="MF294" s="113"/>
      <c r="MG294" s="103"/>
      <c r="MH294" s="113"/>
      <c r="MI294" s="103"/>
      <c r="MJ294" s="113"/>
      <c r="MK294" s="103"/>
      <c r="ML294" s="113"/>
      <c r="MM294" s="103"/>
      <c r="MN294" s="113"/>
      <c r="MO294" s="103"/>
      <c r="MP294" s="113"/>
      <c r="MQ294" s="103"/>
      <c r="MR294" s="113"/>
      <c r="MS294" s="103"/>
      <c r="MT294" s="113"/>
      <c r="MU294" s="103"/>
      <c r="MV294" s="113"/>
      <c r="MW294" s="103"/>
      <c r="MX294" s="113"/>
      <c r="MY294" s="103"/>
      <c r="MZ294" s="113"/>
      <c r="NA294" s="103"/>
      <c r="NB294" s="113"/>
      <c r="NC294" s="103"/>
      <c r="ND294" s="113"/>
      <c r="NE294" s="103"/>
      <c r="NF294" s="113"/>
      <c r="NG294" s="103"/>
      <c r="NH294" s="113"/>
      <c r="NI294" s="103"/>
      <c r="NJ294" s="113"/>
      <c r="NK294" s="103"/>
      <c r="NL294" s="113"/>
      <c r="NM294" s="103"/>
      <c r="NN294" s="113"/>
      <c r="NO294" s="103"/>
      <c r="NP294" s="113"/>
      <c r="NQ294" s="103"/>
      <c r="NR294" s="113"/>
      <c r="NS294" s="103"/>
      <c r="NT294" s="113"/>
      <c r="NU294" s="103"/>
      <c r="NV294" s="113"/>
      <c r="NW294" s="103"/>
      <c r="NX294" s="113"/>
      <c r="NY294" s="103"/>
      <c r="NZ294" s="113"/>
      <c r="OA294" s="103"/>
      <c r="OB294" s="113"/>
      <c r="OC294" s="103"/>
      <c r="OD294" s="113"/>
      <c r="OE294" s="103"/>
      <c r="OF294" s="113"/>
      <c r="OG294" s="103"/>
      <c r="OH294" s="113"/>
      <c r="OI294" s="103"/>
      <c r="OJ294" s="113"/>
      <c r="OK294" s="103"/>
      <c r="OL294" s="113"/>
      <c r="OM294" s="103"/>
      <c r="ON294" s="113"/>
      <c r="OO294" s="103"/>
      <c r="OP294" s="113"/>
      <c r="OQ294" s="103"/>
      <c r="OR294" s="113"/>
      <c r="OS294" s="103"/>
      <c r="OT294" s="113"/>
      <c r="OU294" s="103"/>
      <c r="OV294" s="113"/>
      <c r="OW294" s="103"/>
      <c r="OX294" s="113"/>
      <c r="OY294" s="103"/>
      <c r="OZ294" s="113"/>
      <c r="PA294" s="103"/>
      <c r="PB294" s="113"/>
      <c r="PC294" s="103"/>
      <c r="PD294" s="113"/>
      <c r="PE294" s="103"/>
      <c r="PF294" s="113"/>
      <c r="PG294" s="103"/>
      <c r="PH294" s="113"/>
      <c r="PI294" s="103"/>
      <c r="PJ294" s="113"/>
      <c r="PK294" s="103"/>
      <c r="PL294" s="113"/>
      <c r="PM294" s="103"/>
      <c r="PN294" s="113"/>
      <c r="PO294" s="103"/>
      <c r="PP294" s="113"/>
      <c r="PQ294" s="103"/>
      <c r="PR294" s="113"/>
      <c r="PS294" s="103"/>
      <c r="PT294" s="113"/>
      <c r="PU294" s="103"/>
      <c r="PV294" s="113"/>
      <c r="PW294" s="103"/>
      <c r="PX294" s="113"/>
      <c r="PY294" s="103"/>
      <c r="PZ294" s="113"/>
      <c r="QA294" s="103"/>
      <c r="QB294" s="113"/>
      <c r="QC294" s="103"/>
      <c r="QD294" s="113"/>
      <c r="QE294" s="103"/>
      <c r="QF294" s="113"/>
      <c r="QG294" s="103"/>
      <c r="QH294" s="113"/>
      <c r="QI294" s="103"/>
      <c r="QJ294" s="113"/>
      <c r="QK294" s="103"/>
      <c r="QL294" s="113"/>
      <c r="QM294" s="103"/>
      <c r="QN294" s="113"/>
      <c r="QO294" s="103"/>
      <c r="QP294" s="113"/>
      <c r="QQ294" s="103"/>
      <c r="QR294" s="113"/>
      <c r="QS294" s="103"/>
      <c r="QT294" s="113"/>
      <c r="QU294" s="103"/>
      <c r="QV294" s="113"/>
      <c r="QW294" s="103"/>
      <c r="QX294" s="113"/>
      <c r="QY294" s="103"/>
      <c r="QZ294" s="113"/>
      <c r="RA294" s="103"/>
      <c r="RB294" s="113"/>
      <c r="RC294" s="103"/>
      <c r="RD294" s="113"/>
      <c r="RE294" s="103"/>
      <c r="RF294" s="113"/>
      <c r="RG294" s="103"/>
      <c r="RH294" s="113"/>
      <c r="RI294" s="103"/>
      <c r="RJ294" s="113"/>
      <c r="RK294" s="103"/>
      <c r="RL294" s="113"/>
      <c r="RM294" s="103"/>
      <c r="RN294" s="113"/>
      <c r="RO294" s="103"/>
      <c r="RP294" s="113"/>
      <c r="RQ294" s="103"/>
      <c r="RR294" s="113"/>
      <c r="RS294" s="103"/>
      <c r="RT294" s="113"/>
      <c r="RU294" s="103"/>
      <c r="RV294" s="113"/>
      <c r="RW294" s="103"/>
      <c r="RX294" s="113"/>
      <c r="RY294" s="103"/>
      <c r="RZ294" s="113"/>
      <c r="SA294" s="103"/>
      <c r="SB294" s="113"/>
      <c r="SC294" s="103"/>
      <c r="SD294" s="113"/>
      <c r="SE294" s="103"/>
      <c r="SF294" s="113"/>
      <c r="SG294" s="103"/>
      <c r="SH294" s="113"/>
      <c r="SI294" s="103"/>
      <c r="SJ294" s="113"/>
      <c r="SK294" s="103"/>
      <c r="SL294" s="113"/>
      <c r="SM294" s="103"/>
      <c r="SN294" s="113"/>
      <c r="SO294" s="103"/>
      <c r="SP294" s="113"/>
      <c r="SQ294" s="103"/>
      <c r="SR294" s="113"/>
      <c r="SS294" s="103"/>
      <c r="ST294" s="113"/>
      <c r="SU294" s="103"/>
      <c r="SV294" s="113"/>
      <c r="SW294" s="103"/>
      <c r="SX294" s="113"/>
      <c r="SY294" s="103"/>
      <c r="SZ294" s="113"/>
      <c r="TA294" s="103"/>
      <c r="TB294" s="113"/>
      <c r="TC294" s="103"/>
      <c r="TD294" s="113"/>
      <c r="TE294" s="103"/>
      <c r="TF294" s="113"/>
      <c r="TG294" s="103"/>
      <c r="TH294" s="113"/>
      <c r="TI294" s="103"/>
      <c r="TJ294" s="113"/>
      <c r="TK294" s="103"/>
      <c r="TL294" s="113"/>
      <c r="TM294" s="103"/>
      <c r="TN294" s="113"/>
      <c r="TO294" s="103"/>
      <c r="TP294" s="113"/>
      <c r="TQ294" s="103"/>
      <c r="TR294" s="113"/>
      <c r="TS294" s="103"/>
      <c r="TT294" s="113"/>
      <c r="TU294" s="103"/>
      <c r="TV294" s="113"/>
      <c r="TW294" s="103"/>
      <c r="TX294" s="113"/>
      <c r="TY294" s="103"/>
      <c r="TZ294" s="113"/>
      <c r="UA294" s="103"/>
      <c r="UB294" s="113"/>
      <c r="UC294" s="103"/>
      <c r="UD294" s="113"/>
      <c r="UE294" s="103"/>
      <c r="UF294" s="113"/>
      <c r="UG294" s="103"/>
      <c r="UH294" s="113"/>
      <c r="UI294" s="103"/>
      <c r="UJ294" s="113"/>
      <c r="UK294" s="103"/>
      <c r="UL294" s="113"/>
      <c r="UM294" s="103"/>
      <c r="UN294" s="113"/>
      <c r="UO294" s="103"/>
      <c r="UP294" s="113"/>
      <c r="UQ294" s="103"/>
      <c r="UR294" s="113"/>
      <c r="US294" s="103"/>
      <c r="UT294" s="113"/>
      <c r="UU294" s="103"/>
      <c r="UV294" s="113"/>
      <c r="UW294" s="103"/>
      <c r="UX294" s="113"/>
      <c r="UY294" s="103"/>
      <c r="UZ294" s="113"/>
      <c r="VA294" s="103"/>
      <c r="VB294" s="113"/>
      <c r="VC294" s="103"/>
      <c r="VD294" s="113"/>
      <c r="VE294" s="103"/>
      <c r="VF294" s="113"/>
      <c r="VG294" s="103"/>
      <c r="VH294" s="113"/>
      <c r="VI294" s="103"/>
      <c r="VJ294" s="113"/>
      <c r="VK294" s="103"/>
      <c r="VL294" s="113"/>
      <c r="VM294" s="103"/>
      <c r="VN294" s="113"/>
      <c r="VO294" s="103"/>
      <c r="VP294" s="113"/>
      <c r="VQ294" s="103"/>
      <c r="VR294" s="113"/>
      <c r="VS294" s="103"/>
      <c r="VT294" s="113"/>
      <c r="VU294" s="103"/>
      <c r="VV294" s="113"/>
      <c r="VW294" s="103"/>
      <c r="VX294" s="113"/>
      <c r="VY294" s="103"/>
      <c r="VZ294" s="113"/>
      <c r="WA294" s="103"/>
      <c r="WB294" s="113"/>
      <c r="WC294" s="103"/>
      <c r="WD294" s="113"/>
      <c r="WE294" s="103"/>
      <c r="WF294" s="113"/>
      <c r="WG294" s="103"/>
      <c r="WH294" s="113"/>
      <c r="WI294" s="103"/>
      <c r="WJ294" s="113"/>
      <c r="WK294" s="103"/>
      <c r="WL294" s="113"/>
      <c r="WM294" s="103"/>
      <c r="WN294" s="113"/>
      <c r="WO294" s="103"/>
      <c r="WP294" s="113"/>
      <c r="WQ294" s="103"/>
      <c r="WR294" s="113"/>
      <c r="WS294" s="103"/>
      <c r="WT294" s="113"/>
      <c r="WU294" s="103"/>
      <c r="WV294" s="113"/>
      <c r="WW294" s="103"/>
      <c r="WX294" s="113"/>
      <c r="WY294" s="103"/>
      <c r="WZ294" s="113"/>
      <c r="XA294" s="103"/>
      <c r="XB294" s="113"/>
      <c r="XC294" s="103"/>
      <c r="XD294" s="113"/>
      <c r="XE294" s="103"/>
      <c r="XF294" s="113"/>
      <c r="XG294" s="103"/>
      <c r="XH294" s="113"/>
      <c r="XI294" s="103"/>
      <c r="XJ294" s="113"/>
      <c r="XK294" s="103"/>
      <c r="XL294" s="113"/>
      <c r="XM294" s="103"/>
      <c r="XN294" s="113"/>
      <c r="XO294" s="103"/>
      <c r="XP294" s="113"/>
      <c r="XQ294" s="103"/>
      <c r="XR294" s="113"/>
      <c r="XS294" s="103"/>
      <c r="XT294" s="113"/>
      <c r="XU294" s="103"/>
      <c r="XV294" s="113"/>
      <c r="XW294" s="103"/>
      <c r="XX294" s="113"/>
      <c r="XY294" s="103"/>
      <c r="XZ294" s="113"/>
      <c r="YA294" s="103"/>
      <c r="YB294" s="113"/>
      <c r="YC294" s="103"/>
      <c r="YD294" s="113"/>
      <c r="YE294" s="103"/>
      <c r="YF294" s="113"/>
      <c r="YG294" s="103"/>
      <c r="YH294" s="113"/>
      <c r="YI294" s="103"/>
      <c r="YJ294" s="113"/>
      <c r="YK294" s="103"/>
      <c r="YL294" s="113"/>
      <c r="YM294" s="103"/>
      <c r="YN294" s="113"/>
      <c r="YO294" s="103"/>
      <c r="YP294" s="113"/>
      <c r="YQ294" s="103"/>
      <c r="YR294" s="113"/>
      <c r="YS294" s="103"/>
      <c r="YT294" s="113"/>
      <c r="YU294" s="103"/>
      <c r="YV294" s="113"/>
      <c r="YW294" s="103"/>
      <c r="YX294" s="113"/>
      <c r="YY294" s="103"/>
      <c r="YZ294" s="113"/>
      <c r="ZA294" s="103"/>
      <c r="ZB294" s="113"/>
      <c r="ZC294" s="103"/>
      <c r="ZD294" s="113"/>
      <c r="ZE294" s="103"/>
      <c r="ZF294" s="113"/>
      <c r="ZG294" s="103"/>
      <c r="ZH294" s="113"/>
      <c r="ZI294" s="103"/>
      <c r="ZJ294" s="113"/>
      <c r="ZK294" s="103"/>
      <c r="ZL294" s="113"/>
      <c r="ZM294" s="103"/>
      <c r="ZN294" s="113"/>
      <c r="ZO294" s="103"/>
      <c r="ZP294" s="113"/>
      <c r="ZQ294" s="103"/>
      <c r="ZR294" s="113"/>
      <c r="ZS294" s="103"/>
      <c r="ZT294" s="113"/>
      <c r="ZU294" s="103"/>
      <c r="ZV294" s="113"/>
      <c r="ZW294" s="103"/>
      <c r="ZX294" s="113"/>
      <c r="ZY294" s="103"/>
      <c r="ZZ294" s="113"/>
      <c r="AAA294" s="103"/>
      <c r="AAB294" s="113"/>
      <c r="AAC294" s="103"/>
      <c r="AAD294" s="113"/>
      <c r="AAE294" s="103"/>
      <c r="AAF294" s="113"/>
      <c r="AAG294" s="103"/>
      <c r="AAH294" s="113"/>
      <c r="AAI294" s="103"/>
      <c r="AAJ294" s="113"/>
      <c r="AAK294" s="103"/>
      <c r="AAL294" s="113"/>
      <c r="AAM294" s="103"/>
      <c r="AAN294" s="113"/>
      <c r="AAO294" s="103"/>
      <c r="AAP294" s="113"/>
      <c r="AAQ294" s="103"/>
      <c r="AAR294" s="113"/>
      <c r="AAS294" s="103"/>
      <c r="AAT294" s="113"/>
      <c r="AAU294" s="103"/>
      <c r="AAV294" s="113"/>
      <c r="AAW294" s="103"/>
      <c r="AAX294" s="113"/>
      <c r="AAY294" s="103"/>
      <c r="AAZ294" s="113"/>
      <c r="ABA294" s="103"/>
      <c r="ABB294" s="113"/>
      <c r="ABC294" s="103"/>
      <c r="ABD294" s="113"/>
      <c r="ABE294" s="103"/>
      <c r="ABF294" s="113"/>
      <c r="ABG294" s="103"/>
      <c r="ABH294" s="113"/>
      <c r="ABI294" s="103"/>
      <c r="ABJ294" s="113"/>
      <c r="ABK294" s="103"/>
      <c r="ABL294" s="113"/>
      <c r="ABM294" s="103"/>
      <c r="ABN294" s="113"/>
      <c r="ABO294" s="103"/>
      <c r="ABP294" s="113"/>
      <c r="ABQ294" s="103"/>
      <c r="ABR294" s="113"/>
      <c r="ABS294" s="103"/>
      <c r="ABT294" s="113"/>
      <c r="ABU294" s="103"/>
      <c r="ABV294" s="113"/>
      <c r="ABW294" s="103"/>
      <c r="ABX294" s="113"/>
      <c r="ABY294" s="103"/>
      <c r="ABZ294" s="113"/>
      <c r="ACA294" s="103"/>
      <c r="ACB294" s="113"/>
      <c r="ACC294" s="103"/>
      <c r="ACD294" s="113"/>
      <c r="ACE294" s="103"/>
      <c r="ACF294" s="113"/>
      <c r="ACG294" s="103"/>
      <c r="ACH294" s="113"/>
      <c r="ACI294" s="103"/>
      <c r="ACJ294" s="113"/>
      <c r="ACK294" s="103"/>
      <c r="ACL294" s="113"/>
      <c r="ACM294" s="103"/>
      <c r="ACN294" s="113"/>
      <c r="ACO294" s="103"/>
      <c r="ACP294" s="113"/>
      <c r="ACQ294" s="103"/>
      <c r="ACR294" s="113"/>
      <c r="ACS294" s="103"/>
      <c r="ACT294" s="113"/>
      <c r="ACU294" s="103"/>
      <c r="ACV294" s="113"/>
      <c r="ACW294" s="103"/>
      <c r="ACX294" s="113"/>
      <c r="ACY294" s="103"/>
      <c r="ACZ294" s="113"/>
      <c r="ADA294" s="103"/>
      <c r="ADB294" s="113"/>
      <c r="ADC294" s="103"/>
      <c r="ADD294" s="113"/>
      <c r="ADE294" s="103"/>
      <c r="ADF294" s="113"/>
      <c r="ADG294" s="103"/>
      <c r="ADH294" s="113"/>
      <c r="ADI294" s="103"/>
      <c r="ADJ294" s="113"/>
      <c r="ADK294" s="103"/>
      <c r="ADL294" s="113"/>
      <c r="ADM294" s="103"/>
      <c r="ADN294" s="113"/>
      <c r="ADO294" s="103"/>
      <c r="ADP294" s="113"/>
      <c r="ADQ294" s="103"/>
      <c r="ADR294" s="113"/>
      <c r="ADS294" s="103"/>
      <c r="ADT294" s="113"/>
      <c r="ADU294" s="103"/>
      <c r="ADV294" s="113"/>
      <c r="ADW294" s="103"/>
      <c r="ADX294" s="113"/>
      <c r="ADY294" s="103"/>
      <c r="ADZ294" s="113"/>
      <c r="AEA294" s="103"/>
      <c r="AEB294" s="113"/>
      <c r="AEC294" s="103"/>
      <c r="AED294" s="113"/>
      <c r="AEE294" s="103"/>
      <c r="AEF294" s="113"/>
      <c r="AEG294" s="103"/>
      <c r="AEH294" s="113"/>
      <c r="AEI294" s="103"/>
      <c r="AEJ294" s="113"/>
      <c r="AEK294" s="103"/>
      <c r="AEL294" s="113"/>
      <c r="AEM294" s="103"/>
      <c r="AEN294" s="113"/>
      <c r="AEO294" s="103"/>
      <c r="AEP294" s="113"/>
      <c r="AEQ294" s="103"/>
      <c r="AER294" s="113"/>
      <c r="AES294" s="103"/>
      <c r="AET294" s="113"/>
      <c r="AEU294" s="103"/>
      <c r="AEV294" s="113"/>
      <c r="AEW294" s="103"/>
      <c r="AEX294" s="113"/>
      <c r="AEY294" s="103"/>
      <c r="AEZ294" s="113"/>
      <c r="AFA294" s="103"/>
      <c r="AFB294" s="113"/>
      <c r="AFC294" s="103"/>
      <c r="AFD294" s="113"/>
      <c r="AFE294" s="103"/>
      <c r="AFF294" s="113"/>
      <c r="AFG294" s="103"/>
      <c r="AFH294" s="113"/>
      <c r="AFI294" s="103"/>
      <c r="AFJ294" s="113"/>
      <c r="AFK294" s="103"/>
      <c r="AFL294" s="113"/>
      <c r="AFM294" s="103"/>
      <c r="AFN294" s="113"/>
      <c r="AFO294" s="103"/>
      <c r="AFP294" s="113"/>
      <c r="AFQ294" s="103"/>
      <c r="AFR294" s="113"/>
      <c r="AFS294" s="103"/>
      <c r="AFT294" s="113"/>
      <c r="AFU294" s="103"/>
      <c r="AFV294" s="113"/>
      <c r="AFW294" s="103"/>
      <c r="AFX294" s="113"/>
      <c r="AFY294" s="103"/>
      <c r="AFZ294" s="113"/>
      <c r="AGA294" s="103"/>
      <c r="AGB294" s="113"/>
      <c r="AGC294" s="103"/>
      <c r="AGD294" s="113"/>
      <c r="AGE294" s="103"/>
      <c r="AGF294" s="113"/>
      <c r="AGG294" s="103"/>
      <c r="AGH294" s="113"/>
      <c r="AGI294" s="103"/>
      <c r="AGJ294" s="113"/>
      <c r="AGK294" s="103"/>
      <c r="AGL294" s="113"/>
      <c r="AGM294" s="103"/>
      <c r="AGN294" s="113"/>
      <c r="AGO294" s="103"/>
      <c r="AGP294" s="113"/>
      <c r="AGQ294" s="103"/>
      <c r="AGR294" s="113"/>
      <c r="AGS294" s="103"/>
      <c r="AGT294" s="113"/>
      <c r="AGU294" s="103"/>
      <c r="AGV294" s="113"/>
      <c r="AGW294" s="103"/>
      <c r="AGX294" s="113"/>
      <c r="AGY294" s="103"/>
      <c r="AGZ294" s="113"/>
      <c r="AHA294" s="103"/>
      <c r="AHB294" s="113"/>
      <c r="AHC294" s="103"/>
      <c r="AHD294" s="113"/>
      <c r="AHE294" s="103"/>
      <c r="AHF294" s="113"/>
      <c r="AHG294" s="103"/>
      <c r="AHH294" s="113"/>
      <c r="AHI294" s="103"/>
      <c r="AHJ294" s="113"/>
      <c r="AHK294" s="103"/>
      <c r="AHL294" s="113"/>
      <c r="AHM294" s="103"/>
      <c r="AHN294" s="113"/>
      <c r="AHO294" s="103"/>
      <c r="AHP294" s="113"/>
      <c r="AHQ294" s="103"/>
      <c r="AHR294" s="113"/>
      <c r="AHS294" s="103"/>
      <c r="AHT294" s="113"/>
      <c r="AHU294" s="103"/>
      <c r="AHV294" s="113"/>
      <c r="AHW294" s="103"/>
      <c r="AHX294" s="113"/>
      <c r="AHY294" s="103"/>
      <c r="AHZ294" s="113"/>
      <c r="AIA294" s="103"/>
      <c r="AIB294" s="113"/>
      <c r="AIC294" s="103"/>
      <c r="AID294" s="113"/>
      <c r="AIE294" s="103"/>
      <c r="AIF294" s="113"/>
      <c r="AIG294" s="103"/>
      <c r="AIH294" s="113"/>
      <c r="AII294" s="103"/>
      <c r="AIJ294" s="113"/>
      <c r="AIK294" s="103"/>
      <c r="AIL294" s="113"/>
      <c r="AIM294" s="103"/>
      <c r="AIN294" s="113"/>
      <c r="AIO294" s="103"/>
      <c r="AIP294" s="113"/>
      <c r="AIQ294" s="103"/>
      <c r="AIR294" s="113"/>
      <c r="AIS294" s="103"/>
      <c r="AIT294" s="113"/>
      <c r="AIU294" s="103"/>
      <c r="AIV294" s="113"/>
      <c r="AIW294" s="103"/>
      <c r="AIX294" s="113"/>
      <c r="AIY294" s="103"/>
      <c r="AIZ294" s="113"/>
      <c r="AJA294" s="103"/>
      <c r="AJB294" s="113"/>
      <c r="AJC294" s="103"/>
      <c r="AJD294" s="113"/>
      <c r="AJE294" s="103"/>
      <c r="AJF294" s="113"/>
      <c r="AJG294" s="103"/>
      <c r="AJH294" s="113"/>
      <c r="AJI294" s="103"/>
      <c r="AJJ294" s="113"/>
      <c r="AJK294" s="103"/>
      <c r="AJL294" s="113"/>
      <c r="AJM294" s="103"/>
      <c r="AJN294" s="113"/>
      <c r="AJO294" s="103"/>
      <c r="AJP294" s="113"/>
      <c r="AJQ294" s="103"/>
      <c r="AJR294" s="113"/>
      <c r="AJS294" s="103"/>
      <c r="AJT294" s="113"/>
      <c r="AJU294" s="103"/>
      <c r="AJV294" s="113"/>
      <c r="AJW294" s="103"/>
      <c r="AJX294" s="113"/>
      <c r="AJY294" s="103"/>
      <c r="AJZ294" s="113"/>
      <c r="AKA294" s="103"/>
      <c r="AKB294" s="113"/>
      <c r="AKC294" s="103"/>
      <c r="AKD294" s="113"/>
      <c r="AKE294" s="103"/>
      <c r="AKF294" s="113"/>
      <c r="AKG294" s="103"/>
      <c r="AKH294" s="113"/>
      <c r="AKI294" s="103"/>
      <c r="AKJ294" s="113"/>
      <c r="AKK294" s="103"/>
      <c r="AKL294" s="113"/>
      <c r="AKM294" s="103"/>
      <c r="AKN294" s="113"/>
      <c r="AKO294" s="103"/>
      <c r="AKP294" s="113"/>
      <c r="AKQ294" s="103"/>
      <c r="AKR294" s="113"/>
      <c r="AKS294" s="103"/>
      <c r="AKT294" s="113"/>
      <c r="AKU294" s="103"/>
      <c r="AKV294" s="113"/>
      <c r="AKW294" s="103"/>
      <c r="AKX294" s="113"/>
      <c r="AKY294" s="103"/>
      <c r="AKZ294" s="113"/>
      <c r="ALA294" s="103"/>
      <c r="ALB294" s="113"/>
      <c r="ALC294" s="103"/>
      <c r="ALD294" s="113"/>
      <c r="ALE294" s="103"/>
      <c r="ALF294" s="113"/>
      <c r="ALG294" s="103"/>
      <c r="ALH294" s="113"/>
      <c r="ALI294" s="103"/>
      <c r="ALJ294" s="113"/>
      <c r="ALK294" s="103"/>
      <c r="ALL294" s="113"/>
      <c r="ALM294" s="103"/>
      <c r="ALN294" s="113"/>
      <c r="ALO294" s="103"/>
      <c r="ALP294" s="113"/>
      <c r="ALQ294" s="103"/>
      <c r="ALR294" s="113"/>
      <c r="ALS294" s="103"/>
      <c r="ALT294" s="113"/>
      <c r="ALU294" s="103"/>
      <c r="ALV294" s="113"/>
      <c r="ALW294" s="103"/>
      <c r="ALX294" s="113"/>
      <c r="ALY294" s="103"/>
      <c r="ALZ294" s="113"/>
      <c r="AMA294" s="103"/>
      <c r="AMB294" s="113"/>
      <c r="AMC294" s="103"/>
      <c r="AMD294" s="113"/>
      <c r="AME294" s="103"/>
      <c r="AMF294" s="113"/>
      <c r="AMG294" s="103"/>
      <c r="AMH294" s="113"/>
      <c r="AMI294" s="103"/>
      <c r="AMJ294" s="113"/>
      <c r="AMK294" s="103"/>
      <c r="AML294" s="113"/>
      <c r="AMM294" s="103"/>
      <c r="AMN294" s="113"/>
      <c r="AMO294" s="103"/>
      <c r="AMP294" s="113"/>
      <c r="AMQ294" s="103"/>
      <c r="AMR294" s="113"/>
      <c r="AMS294" s="103"/>
      <c r="AMT294" s="113"/>
      <c r="AMU294" s="103"/>
      <c r="AMV294" s="113"/>
      <c r="AMW294" s="103"/>
      <c r="AMX294" s="113"/>
      <c r="AMY294" s="103"/>
      <c r="AMZ294" s="113"/>
      <c r="ANA294" s="103"/>
      <c r="ANB294" s="113"/>
      <c r="ANC294" s="103"/>
      <c r="AND294" s="113"/>
      <c r="ANE294" s="103"/>
      <c r="ANF294" s="113"/>
      <c r="ANG294" s="103"/>
      <c r="ANH294" s="113"/>
      <c r="ANI294" s="103"/>
      <c r="ANJ294" s="113"/>
      <c r="ANK294" s="103"/>
      <c r="ANL294" s="113"/>
      <c r="ANM294" s="103"/>
      <c r="ANN294" s="113"/>
      <c r="ANO294" s="103"/>
      <c r="ANP294" s="113"/>
      <c r="ANQ294" s="103"/>
      <c r="ANR294" s="113"/>
      <c r="ANS294" s="103"/>
      <c r="ANT294" s="113"/>
      <c r="ANU294" s="103"/>
      <c r="ANV294" s="113"/>
      <c r="ANW294" s="103"/>
      <c r="ANX294" s="113"/>
      <c r="ANY294" s="103"/>
      <c r="ANZ294" s="113"/>
      <c r="AOA294" s="103"/>
      <c r="AOB294" s="113"/>
      <c r="AOC294" s="103"/>
      <c r="AOD294" s="113"/>
      <c r="AOE294" s="103"/>
      <c r="AOF294" s="113"/>
      <c r="AOG294" s="103"/>
      <c r="AOH294" s="113"/>
      <c r="AOI294" s="103"/>
      <c r="AOJ294" s="113"/>
      <c r="AOK294" s="103"/>
      <c r="AOL294" s="113"/>
      <c r="AOM294" s="103"/>
      <c r="AON294" s="113"/>
      <c r="AOO294" s="103"/>
      <c r="AOP294" s="113"/>
      <c r="AOQ294" s="103"/>
      <c r="AOR294" s="113"/>
      <c r="AOS294" s="103"/>
      <c r="AOT294" s="113"/>
      <c r="AOU294" s="103"/>
      <c r="AOV294" s="113"/>
      <c r="AOW294" s="103"/>
      <c r="AOX294" s="113"/>
      <c r="AOY294" s="103"/>
      <c r="AOZ294" s="113"/>
      <c r="APA294" s="103"/>
      <c r="APB294" s="113"/>
      <c r="APC294" s="103"/>
      <c r="APD294" s="113"/>
      <c r="APE294" s="103"/>
      <c r="APF294" s="113"/>
      <c r="APG294" s="103"/>
      <c r="APH294" s="113"/>
      <c r="API294" s="103"/>
      <c r="APJ294" s="113"/>
      <c r="APK294" s="103"/>
      <c r="APL294" s="113"/>
      <c r="APM294" s="103"/>
      <c r="APN294" s="113"/>
      <c r="APO294" s="103"/>
      <c r="APP294" s="113"/>
      <c r="APQ294" s="103"/>
      <c r="APR294" s="113"/>
      <c r="APS294" s="103"/>
      <c r="APT294" s="113"/>
      <c r="APU294" s="103"/>
      <c r="APV294" s="113"/>
      <c r="APW294" s="103"/>
      <c r="APX294" s="113"/>
      <c r="APY294" s="103"/>
      <c r="APZ294" s="113"/>
      <c r="AQA294" s="103"/>
      <c r="AQB294" s="113"/>
      <c r="AQC294" s="103"/>
      <c r="AQD294" s="113"/>
      <c r="AQE294" s="103"/>
      <c r="AQF294" s="113"/>
      <c r="AQG294" s="103"/>
      <c r="AQH294" s="113"/>
      <c r="AQI294" s="103"/>
      <c r="AQJ294" s="113"/>
      <c r="AQK294" s="103"/>
      <c r="AQL294" s="113"/>
      <c r="AQM294" s="103"/>
      <c r="AQN294" s="113"/>
      <c r="AQO294" s="103"/>
      <c r="AQP294" s="113"/>
      <c r="AQQ294" s="103"/>
      <c r="AQR294" s="113"/>
      <c r="AQS294" s="103"/>
      <c r="AQT294" s="113"/>
      <c r="AQU294" s="103"/>
      <c r="AQV294" s="113"/>
      <c r="AQW294" s="103"/>
      <c r="AQX294" s="113"/>
      <c r="AQY294" s="103"/>
      <c r="AQZ294" s="113"/>
      <c r="ARA294" s="103"/>
      <c r="ARB294" s="113"/>
      <c r="ARC294" s="103"/>
      <c r="ARD294" s="113"/>
      <c r="ARE294" s="103"/>
      <c r="ARF294" s="113"/>
      <c r="ARG294" s="103"/>
      <c r="ARH294" s="113"/>
      <c r="ARI294" s="103"/>
      <c r="ARJ294" s="113"/>
      <c r="ARK294" s="103"/>
      <c r="ARL294" s="113"/>
      <c r="ARM294" s="103"/>
      <c r="ARN294" s="113"/>
      <c r="ARO294" s="103"/>
      <c r="ARP294" s="113"/>
      <c r="ARQ294" s="103"/>
      <c r="ARR294" s="113"/>
      <c r="ARS294" s="103"/>
      <c r="ART294" s="113"/>
      <c r="ARU294" s="103"/>
      <c r="ARV294" s="113"/>
      <c r="ARW294" s="103"/>
      <c r="ARX294" s="113"/>
      <c r="ARY294" s="103"/>
      <c r="ARZ294" s="113"/>
      <c r="ASA294" s="103"/>
      <c r="ASB294" s="113"/>
      <c r="ASC294" s="103"/>
      <c r="ASD294" s="113"/>
      <c r="ASE294" s="103"/>
      <c r="ASF294" s="113"/>
      <c r="ASG294" s="103"/>
      <c r="ASH294" s="113"/>
      <c r="ASI294" s="103"/>
      <c r="ASJ294" s="113"/>
      <c r="ASK294" s="103"/>
      <c r="ASL294" s="113"/>
      <c r="ASM294" s="103"/>
      <c r="ASN294" s="113"/>
      <c r="ASO294" s="103"/>
      <c r="ASP294" s="113"/>
      <c r="ASQ294" s="103"/>
      <c r="ASR294" s="113"/>
      <c r="ASS294" s="103"/>
      <c r="AST294" s="113"/>
      <c r="ASU294" s="103"/>
      <c r="ASV294" s="113"/>
      <c r="ASW294" s="103"/>
      <c r="ASX294" s="113"/>
      <c r="ASY294" s="103"/>
      <c r="ASZ294" s="113"/>
      <c r="ATA294" s="103"/>
      <c r="ATB294" s="113"/>
      <c r="ATC294" s="103"/>
      <c r="ATD294" s="113"/>
      <c r="ATE294" s="103"/>
      <c r="ATF294" s="113"/>
      <c r="ATG294" s="103"/>
      <c r="ATH294" s="113"/>
      <c r="ATI294" s="103"/>
      <c r="ATJ294" s="113"/>
      <c r="ATK294" s="103"/>
      <c r="ATL294" s="113"/>
      <c r="ATM294" s="103"/>
      <c r="ATN294" s="113"/>
      <c r="ATO294" s="103"/>
      <c r="ATP294" s="113"/>
      <c r="ATQ294" s="103"/>
      <c r="ATR294" s="113"/>
      <c r="ATS294" s="103"/>
      <c r="ATT294" s="113"/>
      <c r="ATU294" s="103"/>
      <c r="ATV294" s="113"/>
      <c r="ATW294" s="103"/>
      <c r="ATX294" s="113"/>
      <c r="ATY294" s="103"/>
      <c r="ATZ294" s="113"/>
      <c r="AUA294" s="103"/>
      <c r="AUB294" s="113"/>
      <c r="AUC294" s="103"/>
      <c r="AUD294" s="113"/>
      <c r="AUE294" s="103"/>
      <c r="AUF294" s="113"/>
      <c r="AUG294" s="103"/>
      <c r="AUH294" s="113"/>
      <c r="AUI294" s="103"/>
      <c r="AUJ294" s="113"/>
      <c r="AUK294" s="103"/>
      <c r="AUL294" s="113"/>
      <c r="AUM294" s="103"/>
      <c r="AUN294" s="113"/>
      <c r="AUO294" s="103"/>
      <c r="AUP294" s="113"/>
      <c r="AUQ294" s="103"/>
      <c r="AUR294" s="113"/>
      <c r="AUS294" s="103"/>
      <c r="AUT294" s="113"/>
      <c r="AUU294" s="103"/>
      <c r="AUV294" s="113"/>
      <c r="AUW294" s="103"/>
      <c r="AUX294" s="113"/>
      <c r="AUY294" s="103"/>
      <c r="AUZ294" s="113"/>
      <c r="AVA294" s="103"/>
      <c r="AVB294" s="113"/>
      <c r="AVC294" s="103"/>
      <c r="AVD294" s="113"/>
      <c r="AVE294" s="103"/>
      <c r="AVF294" s="113"/>
      <c r="AVG294" s="103"/>
      <c r="AVH294" s="113"/>
      <c r="AVI294" s="103"/>
      <c r="AVJ294" s="113"/>
      <c r="AVK294" s="103"/>
      <c r="AVL294" s="113"/>
      <c r="AVM294" s="103"/>
      <c r="AVN294" s="113"/>
      <c r="AVO294" s="103"/>
      <c r="AVP294" s="113"/>
      <c r="AVQ294" s="103"/>
      <c r="AVR294" s="113"/>
      <c r="AVS294" s="103"/>
      <c r="AVT294" s="113"/>
      <c r="AVU294" s="103"/>
      <c r="AVV294" s="113"/>
      <c r="AVW294" s="103"/>
      <c r="AVX294" s="113"/>
      <c r="AVY294" s="103"/>
      <c r="AVZ294" s="113"/>
      <c r="AWA294" s="103"/>
      <c r="AWB294" s="113"/>
      <c r="AWC294" s="103"/>
      <c r="AWD294" s="113"/>
      <c r="AWE294" s="103"/>
      <c r="AWF294" s="113"/>
      <c r="AWG294" s="103"/>
      <c r="AWH294" s="113"/>
      <c r="AWI294" s="103"/>
      <c r="AWJ294" s="113"/>
      <c r="AWK294" s="103"/>
      <c r="AWL294" s="113"/>
      <c r="AWM294" s="103"/>
      <c r="AWN294" s="113"/>
      <c r="AWO294" s="103"/>
      <c r="AWP294" s="113"/>
      <c r="AWQ294" s="103"/>
      <c r="AWR294" s="113"/>
      <c r="AWS294" s="103"/>
      <c r="AWT294" s="113"/>
      <c r="AWU294" s="103"/>
      <c r="AWV294" s="113"/>
      <c r="AWW294" s="103"/>
      <c r="AWX294" s="113"/>
      <c r="AWY294" s="103"/>
      <c r="AWZ294" s="113"/>
      <c r="AXA294" s="103"/>
      <c r="AXB294" s="113"/>
      <c r="AXC294" s="103"/>
      <c r="AXD294" s="113"/>
      <c r="AXE294" s="103"/>
      <c r="AXF294" s="113"/>
      <c r="AXG294" s="103"/>
      <c r="AXH294" s="113"/>
      <c r="AXI294" s="103"/>
      <c r="AXJ294" s="113"/>
      <c r="AXK294" s="103"/>
      <c r="AXL294" s="113"/>
      <c r="AXM294" s="103"/>
      <c r="AXN294" s="113"/>
      <c r="AXO294" s="103"/>
      <c r="AXP294" s="113"/>
      <c r="AXQ294" s="103"/>
      <c r="AXR294" s="113"/>
      <c r="AXS294" s="103"/>
      <c r="AXT294" s="113"/>
      <c r="AXU294" s="103"/>
      <c r="AXV294" s="113"/>
      <c r="AXW294" s="103"/>
      <c r="AXX294" s="113"/>
      <c r="AXY294" s="103"/>
      <c r="AXZ294" s="113"/>
      <c r="AYA294" s="103"/>
      <c r="AYB294" s="113"/>
      <c r="AYC294" s="103"/>
      <c r="AYD294" s="113"/>
      <c r="AYE294" s="103"/>
      <c r="AYF294" s="113"/>
      <c r="AYG294" s="103"/>
      <c r="AYH294" s="113"/>
      <c r="AYI294" s="103"/>
      <c r="AYJ294" s="113"/>
      <c r="AYK294" s="103"/>
      <c r="AYL294" s="113"/>
      <c r="AYM294" s="103"/>
      <c r="AYN294" s="113"/>
      <c r="AYO294" s="103"/>
      <c r="AYP294" s="113"/>
      <c r="AYQ294" s="103"/>
      <c r="AYR294" s="113"/>
      <c r="AYS294" s="103"/>
      <c r="AYT294" s="113"/>
      <c r="AYU294" s="103"/>
      <c r="AYV294" s="113"/>
      <c r="AYW294" s="103"/>
      <c r="AYX294" s="113"/>
      <c r="AYY294" s="103"/>
      <c r="AYZ294" s="113"/>
      <c r="AZA294" s="103"/>
      <c r="AZB294" s="113"/>
      <c r="AZC294" s="103"/>
      <c r="AZD294" s="113"/>
      <c r="AZE294" s="103"/>
      <c r="AZF294" s="113"/>
      <c r="AZG294" s="103"/>
      <c r="AZH294" s="113"/>
      <c r="AZI294" s="103"/>
      <c r="AZJ294" s="113"/>
      <c r="AZK294" s="103"/>
      <c r="AZL294" s="113"/>
      <c r="AZM294" s="103"/>
      <c r="AZN294" s="113"/>
      <c r="AZO294" s="103"/>
      <c r="AZP294" s="113"/>
      <c r="AZQ294" s="103"/>
      <c r="AZR294" s="113"/>
      <c r="AZS294" s="103"/>
      <c r="AZT294" s="113"/>
      <c r="AZU294" s="103"/>
      <c r="AZV294" s="113"/>
      <c r="AZW294" s="103"/>
      <c r="AZX294" s="113"/>
      <c r="AZY294" s="103"/>
      <c r="AZZ294" s="113"/>
      <c r="BAA294" s="103"/>
      <c r="BAB294" s="113"/>
      <c r="BAC294" s="103"/>
      <c r="BAD294" s="113"/>
      <c r="BAE294" s="103"/>
      <c r="BAF294" s="113"/>
      <c r="BAG294" s="103"/>
      <c r="BAH294" s="113"/>
      <c r="BAI294" s="103"/>
      <c r="BAJ294" s="113"/>
      <c r="BAK294" s="103"/>
      <c r="BAL294" s="113"/>
      <c r="BAM294" s="103"/>
      <c r="BAN294" s="113"/>
      <c r="BAO294" s="103"/>
      <c r="BAP294" s="113"/>
      <c r="BAQ294" s="103"/>
      <c r="BAR294" s="113"/>
      <c r="BAS294" s="103"/>
      <c r="BAT294" s="113"/>
      <c r="BAU294" s="103"/>
      <c r="BAV294" s="113"/>
      <c r="BAW294" s="103"/>
      <c r="BAX294" s="113"/>
      <c r="BAY294" s="103"/>
      <c r="BAZ294" s="113"/>
      <c r="BBA294" s="103"/>
      <c r="BBB294" s="113"/>
      <c r="BBC294" s="103"/>
      <c r="BBD294" s="113"/>
      <c r="BBE294" s="103"/>
      <c r="BBF294" s="113"/>
      <c r="BBG294" s="103"/>
      <c r="BBH294" s="113"/>
      <c r="BBI294" s="103"/>
      <c r="BBJ294" s="113"/>
      <c r="BBK294" s="103"/>
      <c r="BBL294" s="113"/>
      <c r="BBM294" s="103"/>
      <c r="BBN294" s="113"/>
      <c r="BBO294" s="103"/>
      <c r="BBP294" s="113"/>
      <c r="BBQ294" s="103"/>
      <c r="BBR294" s="113"/>
      <c r="BBS294" s="103"/>
      <c r="BBT294" s="113"/>
      <c r="BBU294" s="103"/>
      <c r="BBV294" s="113"/>
      <c r="BBW294" s="103"/>
      <c r="BBX294" s="113"/>
      <c r="BBY294" s="103"/>
      <c r="BBZ294" s="113"/>
      <c r="BCA294" s="103"/>
      <c r="BCB294" s="113"/>
      <c r="BCC294" s="103"/>
      <c r="BCD294" s="113"/>
      <c r="BCE294" s="103"/>
      <c r="BCF294" s="113"/>
      <c r="BCG294" s="103"/>
      <c r="BCH294" s="113"/>
      <c r="BCI294" s="103"/>
      <c r="BCJ294" s="113"/>
      <c r="BCK294" s="103"/>
      <c r="BCL294" s="113"/>
      <c r="BCM294" s="103"/>
      <c r="BCN294" s="113"/>
      <c r="BCO294" s="103"/>
      <c r="BCP294" s="113"/>
      <c r="BCQ294" s="103"/>
      <c r="BCR294" s="113"/>
      <c r="BCS294" s="103"/>
      <c r="BCT294" s="113"/>
      <c r="BCU294" s="103"/>
      <c r="BCV294" s="113"/>
      <c r="BCW294" s="103"/>
      <c r="BCX294" s="113"/>
      <c r="BCY294" s="103"/>
      <c r="BCZ294" s="113"/>
      <c r="BDA294" s="103"/>
      <c r="BDB294" s="113"/>
      <c r="BDC294" s="103"/>
      <c r="BDD294" s="113"/>
      <c r="BDE294" s="103"/>
      <c r="BDF294" s="113"/>
      <c r="BDG294" s="103"/>
      <c r="BDH294" s="113"/>
      <c r="BDI294" s="103"/>
      <c r="BDJ294" s="113"/>
      <c r="BDK294" s="103"/>
      <c r="BDL294" s="113"/>
      <c r="BDM294" s="103"/>
      <c r="BDN294" s="113"/>
      <c r="BDO294" s="103"/>
      <c r="BDP294" s="113"/>
      <c r="BDQ294" s="103"/>
      <c r="BDR294" s="113"/>
      <c r="BDS294" s="103"/>
      <c r="BDT294" s="113"/>
      <c r="BDU294" s="103"/>
      <c r="BDV294" s="113"/>
      <c r="BDW294" s="103"/>
      <c r="BDX294" s="113"/>
      <c r="BDY294" s="103"/>
      <c r="BDZ294" s="113"/>
      <c r="BEA294" s="103"/>
      <c r="BEB294" s="113"/>
      <c r="BEC294" s="103"/>
      <c r="BED294" s="113"/>
      <c r="BEE294" s="103"/>
      <c r="BEF294" s="113"/>
      <c r="BEG294" s="103"/>
      <c r="BEH294" s="113"/>
      <c r="BEI294" s="103"/>
      <c r="BEJ294" s="113"/>
      <c r="BEK294" s="103"/>
      <c r="BEL294" s="113"/>
      <c r="BEM294" s="103"/>
      <c r="BEN294" s="113"/>
      <c r="BEO294" s="103"/>
      <c r="BEP294" s="113"/>
      <c r="BEQ294" s="103"/>
      <c r="BER294" s="113"/>
      <c r="BES294" s="103"/>
      <c r="BET294" s="113"/>
      <c r="BEU294" s="103"/>
      <c r="BEV294" s="113"/>
      <c r="BEW294" s="103"/>
      <c r="BEX294" s="113"/>
      <c r="BEY294" s="103"/>
      <c r="BEZ294" s="113"/>
      <c r="BFA294" s="103"/>
      <c r="BFB294" s="113"/>
      <c r="BFC294" s="103"/>
      <c r="BFD294" s="113"/>
      <c r="BFE294" s="103"/>
      <c r="BFF294" s="113"/>
      <c r="BFG294" s="103"/>
      <c r="BFH294" s="113"/>
      <c r="BFI294" s="103"/>
      <c r="BFJ294" s="113"/>
      <c r="BFK294" s="103"/>
      <c r="BFL294" s="113"/>
      <c r="BFM294" s="103"/>
      <c r="BFN294" s="113"/>
      <c r="BFO294" s="103"/>
      <c r="BFP294" s="113"/>
      <c r="BFQ294" s="103"/>
      <c r="BFR294" s="113"/>
      <c r="BFS294" s="103"/>
      <c r="BFT294" s="113"/>
      <c r="BFU294" s="103"/>
      <c r="BFV294" s="113"/>
      <c r="BFW294" s="103"/>
      <c r="BFX294" s="113"/>
      <c r="BFY294" s="103"/>
      <c r="BFZ294" s="113"/>
      <c r="BGA294" s="103"/>
      <c r="BGB294" s="113"/>
      <c r="BGC294" s="103"/>
      <c r="BGD294" s="113"/>
      <c r="BGE294" s="103"/>
      <c r="BGF294" s="113"/>
      <c r="BGG294" s="103"/>
      <c r="BGH294" s="113"/>
      <c r="BGI294" s="103"/>
      <c r="BGJ294" s="113"/>
      <c r="BGK294" s="103"/>
      <c r="BGL294" s="113"/>
      <c r="BGM294" s="103"/>
      <c r="BGN294" s="113"/>
      <c r="BGO294" s="103"/>
      <c r="BGP294" s="113"/>
      <c r="BGQ294" s="103"/>
      <c r="BGR294" s="113"/>
      <c r="BGS294" s="103"/>
      <c r="BGT294" s="113"/>
      <c r="BGU294" s="103"/>
      <c r="BGV294" s="113"/>
      <c r="BGW294" s="103"/>
      <c r="BGX294" s="113"/>
      <c r="BGY294" s="103"/>
      <c r="BGZ294" s="113"/>
      <c r="BHA294" s="103"/>
      <c r="BHB294" s="113"/>
      <c r="BHC294" s="103"/>
      <c r="BHD294" s="113"/>
      <c r="BHE294" s="103"/>
      <c r="BHF294" s="113"/>
      <c r="BHG294" s="103"/>
      <c r="BHH294" s="113"/>
      <c r="BHI294" s="103"/>
      <c r="BHJ294" s="113"/>
      <c r="BHK294" s="103"/>
      <c r="BHL294" s="113"/>
      <c r="BHM294" s="103"/>
      <c r="BHN294" s="113"/>
      <c r="BHO294" s="103"/>
      <c r="BHP294" s="113"/>
      <c r="BHQ294" s="103"/>
      <c r="BHR294" s="113"/>
      <c r="BHS294" s="103"/>
      <c r="BHT294" s="113"/>
      <c r="BHU294" s="103"/>
      <c r="BHV294" s="113"/>
      <c r="BHW294" s="103"/>
      <c r="BHX294" s="113"/>
      <c r="BHY294" s="103"/>
      <c r="BHZ294" s="113"/>
      <c r="BIA294" s="103"/>
      <c r="BIB294" s="113"/>
      <c r="BIC294" s="103"/>
      <c r="BID294" s="113"/>
      <c r="BIE294" s="103"/>
      <c r="BIF294" s="113"/>
      <c r="BIG294" s="103"/>
      <c r="BIH294" s="113"/>
      <c r="BII294" s="103"/>
      <c r="BIJ294" s="113"/>
      <c r="BIK294" s="103"/>
      <c r="BIL294" s="113"/>
      <c r="BIM294" s="103"/>
      <c r="BIN294" s="113"/>
      <c r="BIO294" s="103"/>
      <c r="BIP294" s="113"/>
      <c r="BIQ294" s="103"/>
      <c r="BIR294" s="113"/>
      <c r="BIS294" s="103"/>
      <c r="BIT294" s="113"/>
      <c r="BIU294" s="103"/>
      <c r="BIV294" s="113"/>
      <c r="BIW294" s="103"/>
      <c r="BIX294" s="113"/>
      <c r="BIY294" s="103"/>
      <c r="BIZ294" s="113"/>
      <c r="BJA294" s="103"/>
      <c r="BJB294" s="113"/>
      <c r="BJC294" s="103"/>
      <c r="BJD294" s="113"/>
      <c r="BJE294" s="103"/>
      <c r="BJF294" s="113"/>
      <c r="BJG294" s="103"/>
      <c r="BJH294" s="113"/>
      <c r="BJI294" s="103"/>
      <c r="BJJ294" s="113"/>
      <c r="BJK294" s="103"/>
      <c r="BJL294" s="113"/>
      <c r="BJM294" s="103"/>
      <c r="BJN294" s="113"/>
      <c r="BJO294" s="103"/>
      <c r="BJP294" s="113"/>
      <c r="BJQ294" s="103"/>
      <c r="BJR294" s="113"/>
      <c r="BJS294" s="103"/>
      <c r="BJT294" s="113"/>
      <c r="BJU294" s="103"/>
      <c r="BJV294" s="113"/>
      <c r="BJW294" s="103"/>
      <c r="BJX294" s="113"/>
      <c r="BJY294" s="103"/>
      <c r="BJZ294" s="113"/>
      <c r="BKA294" s="103"/>
      <c r="BKB294" s="113"/>
      <c r="BKC294" s="103"/>
      <c r="BKD294" s="113"/>
      <c r="BKE294" s="103"/>
      <c r="BKF294" s="113"/>
      <c r="BKG294" s="103"/>
      <c r="BKH294" s="113"/>
      <c r="BKI294" s="103"/>
      <c r="BKJ294" s="113"/>
      <c r="BKK294" s="103"/>
      <c r="BKL294" s="113"/>
      <c r="BKM294" s="103"/>
      <c r="BKN294" s="113"/>
      <c r="BKO294" s="103"/>
      <c r="BKP294" s="113"/>
      <c r="BKQ294" s="103"/>
      <c r="BKR294" s="113"/>
      <c r="BKS294" s="103"/>
      <c r="BKT294" s="113"/>
      <c r="BKU294" s="103"/>
      <c r="BKV294" s="113"/>
      <c r="BKW294" s="103"/>
      <c r="BKX294" s="113"/>
      <c r="BKY294" s="103"/>
      <c r="BKZ294" s="113"/>
      <c r="BLA294" s="103"/>
      <c r="BLB294" s="113"/>
      <c r="BLC294" s="103"/>
      <c r="BLD294" s="113"/>
      <c r="BLE294" s="103"/>
      <c r="BLF294" s="113"/>
      <c r="BLG294" s="103"/>
      <c r="BLH294" s="113"/>
      <c r="BLI294" s="103"/>
      <c r="BLJ294" s="113"/>
      <c r="BLK294" s="103"/>
      <c r="BLL294" s="113"/>
      <c r="BLM294" s="103"/>
      <c r="BLN294" s="113"/>
      <c r="BLO294" s="103"/>
      <c r="BLP294" s="113"/>
      <c r="BLQ294" s="103"/>
      <c r="BLR294" s="113"/>
      <c r="BLS294" s="103"/>
      <c r="BLT294" s="113"/>
      <c r="BLU294" s="103"/>
      <c r="BLV294" s="113"/>
      <c r="BLW294" s="103"/>
      <c r="BLX294" s="113"/>
      <c r="BLY294" s="103"/>
      <c r="BLZ294" s="113"/>
      <c r="BMA294" s="103"/>
      <c r="BMB294" s="113"/>
      <c r="BMC294" s="103"/>
      <c r="BMD294" s="113"/>
      <c r="BME294" s="103"/>
      <c r="BMF294" s="113"/>
      <c r="BMG294" s="103"/>
      <c r="BMH294" s="113"/>
      <c r="BMI294" s="103"/>
      <c r="BMJ294" s="113"/>
      <c r="BMK294" s="103"/>
      <c r="BML294" s="113"/>
      <c r="BMM294" s="103"/>
      <c r="BMN294" s="113"/>
      <c r="BMO294" s="103"/>
      <c r="BMP294" s="113"/>
      <c r="BMQ294" s="103"/>
      <c r="BMR294" s="113"/>
      <c r="BMS294" s="103"/>
      <c r="BMT294" s="113"/>
      <c r="BMU294" s="103"/>
      <c r="BMV294" s="113"/>
      <c r="BMW294" s="103"/>
      <c r="BMX294" s="113"/>
      <c r="BMY294" s="103"/>
      <c r="BMZ294" s="113"/>
      <c r="BNA294" s="103"/>
      <c r="BNB294" s="113"/>
      <c r="BNC294" s="103"/>
      <c r="BND294" s="113"/>
      <c r="BNE294" s="103"/>
      <c r="BNF294" s="113"/>
      <c r="BNG294" s="103"/>
      <c r="BNH294" s="113"/>
      <c r="BNI294" s="103"/>
      <c r="BNJ294" s="113"/>
      <c r="BNK294" s="103"/>
      <c r="BNL294" s="113"/>
      <c r="BNM294" s="103"/>
      <c r="BNN294" s="113"/>
      <c r="BNO294" s="103"/>
      <c r="BNP294" s="113"/>
      <c r="BNQ294" s="103"/>
      <c r="BNR294" s="113"/>
      <c r="BNS294" s="103"/>
      <c r="BNT294" s="113"/>
      <c r="BNU294" s="103"/>
      <c r="BNV294" s="113"/>
      <c r="BNW294" s="103"/>
      <c r="BNX294" s="113"/>
      <c r="BNY294" s="103"/>
      <c r="BNZ294" s="113"/>
      <c r="BOA294" s="103"/>
      <c r="BOB294" s="113"/>
      <c r="BOC294" s="103"/>
      <c r="BOD294" s="113"/>
      <c r="BOE294" s="103"/>
      <c r="BOF294" s="113"/>
      <c r="BOG294" s="103"/>
      <c r="BOH294" s="113"/>
      <c r="BOI294" s="103"/>
      <c r="BOJ294" s="113"/>
      <c r="BOK294" s="103"/>
      <c r="BOL294" s="113"/>
      <c r="BOM294" s="103"/>
      <c r="BON294" s="113"/>
      <c r="BOO294" s="103"/>
      <c r="BOP294" s="113"/>
      <c r="BOQ294" s="103"/>
      <c r="BOR294" s="113"/>
      <c r="BOS294" s="103"/>
      <c r="BOT294" s="113"/>
      <c r="BOU294" s="103"/>
      <c r="BOV294" s="113"/>
      <c r="BOW294" s="103"/>
      <c r="BOX294" s="113"/>
      <c r="BOY294" s="103"/>
      <c r="BOZ294" s="113"/>
      <c r="BPA294" s="103"/>
      <c r="BPB294" s="113"/>
      <c r="BPC294" s="103"/>
      <c r="BPD294" s="113"/>
      <c r="BPE294" s="103"/>
      <c r="BPF294" s="113"/>
      <c r="BPG294" s="103"/>
      <c r="BPH294" s="113"/>
      <c r="BPI294" s="103"/>
      <c r="BPJ294" s="113"/>
      <c r="BPK294" s="103"/>
      <c r="BPL294" s="113"/>
      <c r="BPM294" s="103"/>
      <c r="BPN294" s="113"/>
      <c r="BPO294" s="103"/>
      <c r="BPP294" s="113"/>
      <c r="BPQ294" s="103"/>
      <c r="BPR294" s="113"/>
      <c r="BPS294" s="103"/>
      <c r="BPT294" s="113"/>
      <c r="BPU294" s="103"/>
      <c r="BPV294" s="113"/>
      <c r="BPW294" s="103"/>
      <c r="BPX294" s="113"/>
      <c r="BPY294" s="103"/>
      <c r="BPZ294" s="113"/>
      <c r="BQA294" s="103"/>
      <c r="BQB294" s="113"/>
      <c r="BQC294" s="103"/>
      <c r="BQD294" s="113"/>
      <c r="BQE294" s="103"/>
      <c r="BQF294" s="113"/>
      <c r="BQG294" s="103"/>
      <c r="BQH294" s="113"/>
      <c r="BQI294" s="103"/>
      <c r="BQJ294" s="113"/>
      <c r="BQK294" s="103"/>
      <c r="BQL294" s="113"/>
      <c r="BQM294" s="103"/>
      <c r="BQN294" s="113"/>
      <c r="BQO294" s="103"/>
      <c r="BQP294" s="113"/>
      <c r="BQQ294" s="103"/>
      <c r="BQR294" s="113"/>
      <c r="BQS294" s="103"/>
      <c r="BQT294" s="113"/>
      <c r="BQU294" s="103"/>
      <c r="BQV294" s="113"/>
      <c r="BQW294" s="103"/>
      <c r="BQX294" s="113"/>
      <c r="BQY294" s="103"/>
      <c r="BQZ294" s="113"/>
      <c r="BRA294" s="103"/>
      <c r="BRB294" s="113"/>
      <c r="BRC294" s="103"/>
      <c r="BRD294" s="113"/>
      <c r="BRE294" s="103"/>
      <c r="BRF294" s="113"/>
      <c r="BRG294" s="103"/>
      <c r="BRH294" s="113"/>
      <c r="BRI294" s="103"/>
      <c r="BRJ294" s="113"/>
      <c r="BRK294" s="103"/>
      <c r="BRL294" s="113"/>
      <c r="BRM294" s="103"/>
      <c r="BRN294" s="113"/>
      <c r="BRO294" s="103"/>
      <c r="BRP294" s="113"/>
      <c r="BRQ294" s="103"/>
      <c r="BRR294" s="113"/>
      <c r="BRS294" s="103"/>
      <c r="BRT294" s="113"/>
      <c r="BRU294" s="103"/>
      <c r="BRV294" s="113"/>
      <c r="BRW294" s="103"/>
      <c r="BRX294" s="113"/>
      <c r="BRY294" s="103"/>
      <c r="BRZ294" s="113"/>
      <c r="BSA294" s="103"/>
      <c r="BSB294" s="113"/>
      <c r="BSC294" s="103"/>
      <c r="BSD294" s="113"/>
      <c r="BSE294" s="103"/>
      <c r="BSF294" s="113"/>
      <c r="BSG294" s="103"/>
      <c r="BSH294" s="113"/>
      <c r="BSI294" s="103"/>
      <c r="BSJ294" s="113"/>
      <c r="BSK294" s="103"/>
      <c r="BSL294" s="113"/>
      <c r="BSM294" s="103"/>
      <c r="BSN294" s="113"/>
      <c r="BSO294" s="103"/>
      <c r="BSP294" s="113"/>
      <c r="BSQ294" s="103"/>
      <c r="BSR294" s="113"/>
      <c r="BSS294" s="103"/>
      <c r="BST294" s="113"/>
      <c r="BSU294" s="103"/>
      <c r="BSV294" s="113"/>
      <c r="BSW294" s="103"/>
      <c r="BSX294" s="113"/>
      <c r="BSY294" s="103"/>
      <c r="BSZ294" s="113"/>
      <c r="BTA294" s="103"/>
      <c r="BTB294" s="113"/>
      <c r="BTC294" s="103"/>
      <c r="BTD294" s="113"/>
      <c r="BTE294" s="103"/>
      <c r="BTF294" s="113"/>
      <c r="BTG294" s="103"/>
      <c r="BTH294" s="113"/>
      <c r="BTI294" s="103"/>
      <c r="BTJ294" s="113"/>
      <c r="BTK294" s="103"/>
      <c r="BTL294" s="113"/>
      <c r="BTM294" s="103"/>
      <c r="BTN294" s="113"/>
      <c r="BTO294" s="103"/>
      <c r="BTP294" s="113"/>
      <c r="BTQ294" s="103"/>
      <c r="BTR294" s="113"/>
      <c r="BTS294" s="103"/>
      <c r="BTT294" s="113"/>
      <c r="BTU294" s="103"/>
      <c r="BTV294" s="113"/>
      <c r="BTW294" s="103"/>
      <c r="BTX294" s="113"/>
      <c r="BTY294" s="103"/>
      <c r="BTZ294" s="113"/>
      <c r="BUA294" s="103"/>
      <c r="BUB294" s="113"/>
      <c r="BUC294" s="103"/>
      <c r="BUD294" s="113"/>
      <c r="BUE294" s="103"/>
      <c r="BUF294" s="113"/>
      <c r="BUG294" s="103"/>
      <c r="BUH294" s="113"/>
      <c r="BUI294" s="103"/>
      <c r="BUJ294" s="113"/>
      <c r="BUK294" s="103"/>
      <c r="BUL294" s="113"/>
      <c r="BUM294" s="103"/>
      <c r="BUN294" s="113"/>
      <c r="BUO294" s="103"/>
      <c r="BUP294" s="113"/>
      <c r="BUQ294" s="103"/>
      <c r="BUR294" s="113"/>
      <c r="BUS294" s="103"/>
      <c r="BUT294" s="113"/>
      <c r="BUU294" s="103"/>
      <c r="BUV294" s="113"/>
      <c r="BUW294" s="103"/>
      <c r="BUX294" s="113"/>
      <c r="BUY294" s="103"/>
      <c r="BUZ294" s="113"/>
      <c r="BVA294" s="103"/>
      <c r="BVB294" s="113"/>
      <c r="BVC294" s="103"/>
      <c r="BVD294" s="113"/>
      <c r="BVE294" s="103"/>
      <c r="BVF294" s="113"/>
      <c r="BVG294" s="103"/>
      <c r="BVH294" s="113"/>
      <c r="BVI294" s="103"/>
      <c r="BVJ294" s="113"/>
      <c r="BVK294" s="103"/>
      <c r="BVL294" s="113"/>
      <c r="BVM294" s="103"/>
      <c r="BVN294" s="113"/>
      <c r="BVO294" s="103"/>
      <c r="BVP294" s="113"/>
      <c r="BVQ294" s="103"/>
      <c r="BVR294" s="113"/>
      <c r="BVS294" s="103"/>
      <c r="BVT294" s="113"/>
      <c r="BVU294" s="103"/>
      <c r="BVV294" s="113"/>
      <c r="BVW294" s="103"/>
      <c r="BVX294" s="113"/>
      <c r="BVY294" s="103"/>
      <c r="BVZ294" s="113"/>
      <c r="BWA294" s="103"/>
      <c r="BWB294" s="113"/>
      <c r="BWC294" s="103"/>
      <c r="BWD294" s="113"/>
      <c r="BWE294" s="103"/>
      <c r="BWF294" s="113"/>
      <c r="BWG294" s="103"/>
      <c r="BWH294" s="113"/>
      <c r="BWI294" s="103"/>
      <c r="BWJ294" s="113"/>
      <c r="BWK294" s="103"/>
      <c r="BWL294" s="113"/>
      <c r="BWM294" s="103"/>
      <c r="BWN294" s="113"/>
      <c r="BWO294" s="103"/>
      <c r="BWP294" s="113"/>
      <c r="BWQ294" s="103"/>
      <c r="BWR294" s="113"/>
      <c r="BWS294" s="103"/>
      <c r="BWT294" s="113"/>
      <c r="BWU294" s="103"/>
      <c r="BWV294" s="113"/>
      <c r="BWW294" s="103"/>
      <c r="BWX294" s="113"/>
      <c r="BWY294" s="103"/>
      <c r="BWZ294" s="113"/>
      <c r="BXA294" s="103"/>
      <c r="BXB294" s="113"/>
      <c r="BXC294" s="103"/>
      <c r="BXD294" s="113"/>
      <c r="BXE294" s="103"/>
      <c r="BXF294" s="113"/>
      <c r="BXG294" s="103"/>
      <c r="BXH294" s="113"/>
      <c r="BXI294" s="103"/>
      <c r="BXJ294" s="113"/>
      <c r="BXK294" s="103"/>
      <c r="BXL294" s="113"/>
      <c r="BXM294" s="103"/>
      <c r="BXN294" s="113"/>
      <c r="BXO294" s="103"/>
      <c r="BXP294" s="113"/>
      <c r="BXQ294" s="103"/>
      <c r="BXR294" s="113"/>
      <c r="BXS294" s="103"/>
      <c r="BXT294" s="113"/>
      <c r="BXU294" s="103"/>
      <c r="BXV294" s="113"/>
      <c r="BXW294" s="103"/>
      <c r="BXX294" s="113"/>
      <c r="BXY294" s="103"/>
      <c r="BXZ294" s="113"/>
      <c r="BYA294" s="103"/>
      <c r="BYB294" s="113"/>
      <c r="BYC294" s="103"/>
      <c r="BYD294" s="113"/>
      <c r="BYE294" s="103"/>
      <c r="BYF294" s="113"/>
      <c r="BYG294" s="103"/>
      <c r="BYH294" s="113"/>
      <c r="BYI294" s="103"/>
      <c r="BYJ294" s="113"/>
      <c r="BYK294" s="103"/>
      <c r="BYL294" s="113"/>
      <c r="BYM294" s="103"/>
      <c r="BYN294" s="113"/>
      <c r="BYO294" s="103"/>
      <c r="BYP294" s="113"/>
      <c r="BYQ294" s="103"/>
      <c r="BYR294" s="113"/>
      <c r="BYS294" s="103"/>
      <c r="BYT294" s="113"/>
      <c r="BYU294" s="103"/>
      <c r="BYV294" s="113"/>
      <c r="BYW294" s="103"/>
      <c r="BYX294" s="113"/>
      <c r="BYY294" s="103"/>
      <c r="BYZ294" s="113"/>
      <c r="BZA294" s="103"/>
      <c r="BZB294" s="113"/>
      <c r="BZC294" s="103"/>
      <c r="BZD294" s="113"/>
      <c r="BZE294" s="103"/>
      <c r="BZF294" s="113"/>
      <c r="BZG294" s="103"/>
      <c r="BZH294" s="113"/>
      <c r="BZI294" s="103"/>
      <c r="BZJ294" s="113"/>
      <c r="BZK294" s="103"/>
      <c r="BZL294" s="113"/>
      <c r="BZM294" s="103"/>
      <c r="BZN294" s="113"/>
      <c r="BZO294" s="103"/>
      <c r="BZP294" s="113"/>
      <c r="BZQ294" s="103"/>
      <c r="BZR294" s="113"/>
      <c r="BZS294" s="103"/>
      <c r="BZT294" s="113"/>
      <c r="BZU294" s="103"/>
      <c r="BZV294" s="113"/>
      <c r="BZW294" s="103"/>
      <c r="BZX294" s="113"/>
      <c r="BZY294" s="103"/>
      <c r="BZZ294" s="113"/>
      <c r="CAA294" s="103"/>
      <c r="CAB294" s="113"/>
      <c r="CAC294" s="103"/>
      <c r="CAD294" s="113"/>
      <c r="CAE294" s="103"/>
      <c r="CAF294" s="113"/>
      <c r="CAG294" s="103"/>
      <c r="CAH294" s="113"/>
      <c r="CAI294" s="103"/>
      <c r="CAJ294" s="113"/>
      <c r="CAK294" s="103"/>
      <c r="CAL294" s="113"/>
      <c r="CAM294" s="103"/>
      <c r="CAN294" s="113"/>
      <c r="CAO294" s="103"/>
      <c r="CAP294" s="113"/>
      <c r="CAQ294" s="103"/>
      <c r="CAR294" s="113"/>
      <c r="CAS294" s="103"/>
      <c r="CAT294" s="113"/>
      <c r="CAU294" s="103"/>
      <c r="CAV294" s="113"/>
      <c r="CAW294" s="103"/>
      <c r="CAX294" s="113"/>
      <c r="CAY294" s="103"/>
      <c r="CAZ294" s="113"/>
      <c r="CBA294" s="103"/>
      <c r="CBB294" s="113"/>
      <c r="CBC294" s="103"/>
      <c r="CBD294" s="113"/>
      <c r="CBE294" s="103"/>
      <c r="CBF294" s="113"/>
      <c r="CBG294" s="103"/>
      <c r="CBH294" s="113"/>
      <c r="CBI294" s="103"/>
      <c r="CBJ294" s="113"/>
      <c r="CBK294" s="103"/>
      <c r="CBL294" s="113"/>
      <c r="CBM294" s="103"/>
      <c r="CBN294" s="113"/>
      <c r="CBO294" s="103"/>
      <c r="CBP294" s="113"/>
      <c r="CBQ294" s="103"/>
      <c r="CBR294" s="113"/>
      <c r="CBS294" s="103"/>
      <c r="CBT294" s="113"/>
      <c r="CBU294" s="103"/>
      <c r="CBV294" s="113"/>
      <c r="CBW294" s="103"/>
      <c r="CBX294" s="113"/>
      <c r="CBY294" s="103"/>
      <c r="CBZ294" s="113"/>
      <c r="CCA294" s="103"/>
      <c r="CCB294" s="113"/>
      <c r="CCC294" s="103"/>
      <c r="CCD294" s="113"/>
      <c r="CCE294" s="103"/>
      <c r="CCF294" s="113"/>
      <c r="CCG294" s="103"/>
      <c r="CCH294" s="113"/>
      <c r="CCI294" s="103"/>
      <c r="CCJ294" s="113"/>
      <c r="CCK294" s="103"/>
      <c r="CCL294" s="113"/>
      <c r="CCM294" s="103"/>
      <c r="CCN294" s="113"/>
      <c r="CCO294" s="103"/>
      <c r="CCP294" s="113"/>
      <c r="CCQ294" s="103"/>
      <c r="CCR294" s="113"/>
      <c r="CCS294" s="103"/>
      <c r="CCT294" s="113"/>
      <c r="CCU294" s="103"/>
      <c r="CCV294" s="113"/>
      <c r="CCW294" s="103"/>
      <c r="CCX294" s="113"/>
      <c r="CCY294" s="103"/>
      <c r="CCZ294" s="113"/>
      <c r="CDA294" s="103"/>
      <c r="CDB294" s="113"/>
      <c r="CDC294" s="103"/>
      <c r="CDD294" s="113"/>
      <c r="CDE294" s="103"/>
      <c r="CDF294" s="113"/>
      <c r="CDG294" s="103"/>
      <c r="CDH294" s="113"/>
      <c r="CDI294" s="103"/>
      <c r="CDJ294" s="113"/>
      <c r="CDK294" s="103"/>
      <c r="CDL294" s="113"/>
      <c r="CDM294" s="103"/>
      <c r="CDN294" s="113"/>
      <c r="CDO294" s="103"/>
      <c r="CDP294" s="113"/>
      <c r="CDQ294" s="103"/>
      <c r="CDR294" s="113"/>
      <c r="CDS294" s="103"/>
      <c r="CDT294" s="113"/>
      <c r="CDU294" s="103"/>
      <c r="CDV294" s="113"/>
      <c r="CDW294" s="103"/>
      <c r="CDX294" s="113"/>
      <c r="CDY294" s="103"/>
      <c r="CDZ294" s="113"/>
      <c r="CEA294" s="103"/>
      <c r="CEB294" s="113"/>
      <c r="CEC294" s="103"/>
      <c r="CED294" s="113"/>
      <c r="CEE294" s="103"/>
      <c r="CEF294" s="113"/>
      <c r="CEG294" s="103"/>
      <c r="CEH294" s="113"/>
      <c r="CEI294" s="103"/>
      <c r="CEJ294" s="113"/>
      <c r="CEK294" s="103"/>
      <c r="CEL294" s="113"/>
      <c r="CEM294" s="103"/>
      <c r="CEN294" s="113"/>
      <c r="CEO294" s="103"/>
      <c r="CEP294" s="113"/>
      <c r="CEQ294" s="103"/>
      <c r="CER294" s="113"/>
      <c r="CES294" s="103"/>
      <c r="CET294" s="113"/>
      <c r="CEU294" s="103"/>
      <c r="CEV294" s="113"/>
      <c r="CEW294" s="103"/>
      <c r="CEX294" s="113"/>
      <c r="CEY294" s="103"/>
      <c r="CEZ294" s="113"/>
      <c r="CFA294" s="103"/>
      <c r="CFB294" s="113"/>
      <c r="CFC294" s="103"/>
      <c r="CFD294" s="113"/>
      <c r="CFE294" s="103"/>
      <c r="CFF294" s="113"/>
      <c r="CFG294" s="103"/>
      <c r="CFH294" s="113"/>
      <c r="CFI294" s="103"/>
      <c r="CFJ294" s="113"/>
      <c r="CFK294" s="103"/>
      <c r="CFL294" s="113"/>
      <c r="CFM294" s="103"/>
      <c r="CFN294" s="113"/>
      <c r="CFO294" s="103"/>
      <c r="CFP294" s="113"/>
      <c r="CFQ294" s="103"/>
      <c r="CFR294" s="113"/>
      <c r="CFS294" s="103"/>
      <c r="CFT294" s="113"/>
      <c r="CFU294" s="103"/>
      <c r="CFV294" s="113"/>
      <c r="CFW294" s="103"/>
      <c r="CFX294" s="113"/>
      <c r="CFY294" s="103"/>
      <c r="CFZ294" s="113"/>
      <c r="CGA294" s="103"/>
      <c r="CGB294" s="113"/>
      <c r="CGC294" s="103"/>
      <c r="CGD294" s="113"/>
      <c r="CGE294" s="103"/>
      <c r="CGF294" s="113"/>
      <c r="CGG294" s="103"/>
      <c r="CGH294" s="113"/>
      <c r="CGI294" s="103"/>
      <c r="CGJ294" s="113"/>
      <c r="CGK294" s="103"/>
      <c r="CGL294" s="113"/>
      <c r="CGM294" s="103"/>
      <c r="CGN294" s="113"/>
      <c r="CGO294" s="103"/>
      <c r="CGP294" s="113"/>
      <c r="CGQ294" s="103"/>
      <c r="CGR294" s="113"/>
      <c r="CGS294" s="103"/>
      <c r="CGT294" s="113"/>
      <c r="CGU294" s="103"/>
      <c r="CGV294" s="113"/>
      <c r="CGW294" s="103"/>
      <c r="CGX294" s="113"/>
      <c r="CGY294" s="103"/>
      <c r="CGZ294" s="113"/>
      <c r="CHA294" s="103"/>
      <c r="CHB294" s="113"/>
      <c r="CHC294" s="103"/>
      <c r="CHD294" s="113"/>
      <c r="CHE294" s="103"/>
      <c r="CHF294" s="113"/>
      <c r="CHG294" s="103"/>
      <c r="CHH294" s="113"/>
      <c r="CHI294" s="103"/>
      <c r="CHJ294" s="113"/>
      <c r="CHK294" s="103"/>
      <c r="CHL294" s="113"/>
      <c r="CHM294" s="103"/>
      <c r="CHN294" s="113"/>
      <c r="CHO294" s="103"/>
      <c r="CHP294" s="113"/>
      <c r="CHQ294" s="103"/>
      <c r="CHR294" s="113"/>
      <c r="CHS294" s="103"/>
      <c r="CHT294" s="113"/>
      <c r="CHU294" s="103"/>
      <c r="CHV294" s="113"/>
      <c r="CHW294" s="103"/>
      <c r="CHX294" s="113"/>
      <c r="CHY294" s="103"/>
      <c r="CHZ294" s="113"/>
      <c r="CIA294" s="103"/>
      <c r="CIB294" s="113"/>
      <c r="CIC294" s="103"/>
      <c r="CID294" s="113"/>
      <c r="CIE294" s="103"/>
      <c r="CIF294" s="113"/>
      <c r="CIG294" s="103"/>
      <c r="CIH294" s="113"/>
      <c r="CII294" s="103"/>
      <c r="CIJ294" s="113"/>
      <c r="CIK294" s="103"/>
      <c r="CIL294" s="113"/>
      <c r="CIM294" s="103"/>
      <c r="CIN294" s="113"/>
      <c r="CIO294" s="103"/>
      <c r="CIP294" s="113"/>
      <c r="CIQ294" s="103"/>
      <c r="CIR294" s="113"/>
      <c r="CIS294" s="103"/>
      <c r="CIT294" s="113"/>
      <c r="CIU294" s="103"/>
      <c r="CIV294" s="113"/>
      <c r="CIW294" s="103"/>
      <c r="CIX294" s="113"/>
      <c r="CIY294" s="103"/>
      <c r="CIZ294" s="113"/>
      <c r="CJA294" s="103"/>
      <c r="CJB294" s="113"/>
      <c r="CJC294" s="103"/>
      <c r="CJD294" s="113"/>
      <c r="CJE294" s="103"/>
      <c r="CJF294" s="113"/>
      <c r="CJG294" s="103"/>
      <c r="CJH294" s="113"/>
      <c r="CJI294" s="103"/>
      <c r="CJJ294" s="113"/>
      <c r="CJK294" s="103"/>
      <c r="CJL294" s="113"/>
      <c r="CJM294" s="103"/>
      <c r="CJN294" s="113"/>
      <c r="CJO294" s="103"/>
      <c r="CJP294" s="113"/>
      <c r="CJQ294" s="103"/>
      <c r="CJR294" s="113"/>
      <c r="CJS294" s="103"/>
      <c r="CJT294" s="113"/>
      <c r="CJU294" s="103"/>
      <c r="CJV294" s="113"/>
      <c r="CJW294" s="103"/>
      <c r="CJX294" s="113"/>
      <c r="CJY294" s="103"/>
      <c r="CJZ294" s="113"/>
      <c r="CKA294" s="103"/>
      <c r="CKB294" s="113"/>
      <c r="CKC294" s="103"/>
      <c r="CKD294" s="113"/>
      <c r="CKE294" s="103"/>
      <c r="CKF294" s="113"/>
      <c r="CKG294" s="103"/>
      <c r="CKH294" s="113"/>
      <c r="CKI294" s="103"/>
      <c r="CKJ294" s="113"/>
      <c r="CKK294" s="103"/>
      <c r="CKL294" s="113"/>
      <c r="CKM294" s="103"/>
      <c r="CKN294" s="113"/>
      <c r="CKO294" s="103"/>
      <c r="CKP294" s="113"/>
      <c r="CKQ294" s="103"/>
      <c r="CKR294" s="113"/>
      <c r="CKS294" s="103"/>
      <c r="CKT294" s="113"/>
      <c r="CKU294" s="103"/>
      <c r="CKV294" s="113"/>
      <c r="CKW294" s="103"/>
      <c r="CKX294" s="113"/>
      <c r="CKY294" s="103"/>
      <c r="CKZ294" s="113"/>
      <c r="CLA294" s="103"/>
      <c r="CLB294" s="113"/>
      <c r="CLC294" s="103"/>
      <c r="CLD294" s="113"/>
      <c r="CLE294" s="103"/>
      <c r="CLF294" s="113"/>
      <c r="CLG294" s="103"/>
      <c r="CLH294" s="113"/>
      <c r="CLI294" s="103"/>
      <c r="CLJ294" s="113"/>
      <c r="CLK294" s="103"/>
      <c r="CLL294" s="113"/>
      <c r="CLM294" s="103"/>
      <c r="CLN294" s="113"/>
      <c r="CLO294" s="103"/>
      <c r="CLP294" s="113"/>
      <c r="CLQ294" s="103"/>
      <c r="CLR294" s="113"/>
      <c r="CLS294" s="103"/>
      <c r="CLT294" s="113"/>
      <c r="CLU294" s="103"/>
      <c r="CLV294" s="113"/>
      <c r="CLW294" s="103"/>
      <c r="CLX294" s="113"/>
      <c r="CLY294" s="103"/>
      <c r="CLZ294" s="113"/>
      <c r="CMA294" s="103"/>
      <c r="CMB294" s="113"/>
      <c r="CMC294" s="103"/>
      <c r="CMD294" s="113"/>
      <c r="CME294" s="103"/>
      <c r="CMF294" s="113"/>
      <c r="CMG294" s="103"/>
      <c r="CMH294" s="113"/>
      <c r="CMI294" s="103"/>
      <c r="CMJ294" s="113"/>
      <c r="CMK294" s="103"/>
      <c r="CML294" s="113"/>
      <c r="CMM294" s="103"/>
      <c r="CMN294" s="113"/>
      <c r="CMO294" s="103"/>
      <c r="CMP294" s="113"/>
      <c r="CMQ294" s="103"/>
      <c r="CMR294" s="113"/>
      <c r="CMS294" s="103"/>
      <c r="CMT294" s="113"/>
      <c r="CMU294" s="103"/>
      <c r="CMV294" s="113"/>
      <c r="CMW294" s="103"/>
      <c r="CMX294" s="113"/>
      <c r="CMY294" s="103"/>
      <c r="CMZ294" s="113"/>
      <c r="CNA294" s="103"/>
      <c r="CNB294" s="113"/>
      <c r="CNC294" s="103"/>
      <c r="CND294" s="113"/>
      <c r="CNE294" s="103"/>
      <c r="CNF294" s="113"/>
      <c r="CNG294" s="103"/>
      <c r="CNH294" s="113"/>
      <c r="CNI294" s="103"/>
      <c r="CNJ294" s="113"/>
      <c r="CNK294" s="103"/>
      <c r="CNL294" s="113"/>
      <c r="CNM294" s="103"/>
      <c r="CNN294" s="113"/>
      <c r="CNO294" s="103"/>
      <c r="CNP294" s="113"/>
      <c r="CNQ294" s="103"/>
      <c r="CNR294" s="113"/>
      <c r="CNS294" s="103"/>
      <c r="CNT294" s="113"/>
      <c r="CNU294" s="103"/>
      <c r="CNV294" s="113"/>
      <c r="CNW294" s="103"/>
      <c r="CNX294" s="113"/>
      <c r="CNY294" s="103"/>
      <c r="CNZ294" s="113"/>
      <c r="COA294" s="103"/>
      <c r="COB294" s="113"/>
      <c r="COC294" s="103"/>
      <c r="COD294" s="113"/>
      <c r="COE294" s="103"/>
      <c r="COF294" s="113"/>
      <c r="COG294" s="103"/>
      <c r="COH294" s="113"/>
      <c r="COI294" s="103"/>
      <c r="COJ294" s="113"/>
      <c r="COK294" s="103"/>
      <c r="COL294" s="113"/>
      <c r="COM294" s="103"/>
      <c r="CON294" s="113"/>
      <c r="COO294" s="103"/>
      <c r="COP294" s="113"/>
      <c r="COQ294" s="103"/>
      <c r="COR294" s="113"/>
      <c r="COS294" s="103"/>
      <c r="COT294" s="113"/>
      <c r="COU294" s="103"/>
      <c r="COV294" s="113"/>
      <c r="COW294" s="103"/>
      <c r="COX294" s="113"/>
      <c r="COY294" s="103"/>
      <c r="COZ294" s="113"/>
      <c r="CPA294" s="103"/>
      <c r="CPB294" s="113"/>
      <c r="CPC294" s="103"/>
      <c r="CPD294" s="113"/>
      <c r="CPE294" s="103"/>
      <c r="CPF294" s="113"/>
      <c r="CPG294" s="103"/>
      <c r="CPH294" s="113"/>
      <c r="CPI294" s="103"/>
      <c r="CPJ294" s="113"/>
      <c r="CPK294" s="103"/>
      <c r="CPL294" s="113"/>
      <c r="CPM294" s="103"/>
      <c r="CPN294" s="113"/>
      <c r="CPO294" s="103"/>
      <c r="CPP294" s="113"/>
      <c r="CPQ294" s="103"/>
      <c r="CPR294" s="113"/>
      <c r="CPS294" s="103"/>
      <c r="CPT294" s="113"/>
      <c r="CPU294" s="103"/>
      <c r="CPV294" s="113"/>
      <c r="CPW294" s="103"/>
      <c r="CPX294" s="113"/>
      <c r="CPY294" s="103"/>
      <c r="CPZ294" s="113"/>
      <c r="CQA294" s="103"/>
      <c r="CQB294" s="113"/>
      <c r="CQC294" s="103"/>
      <c r="CQD294" s="113"/>
      <c r="CQE294" s="103"/>
      <c r="CQF294" s="113"/>
      <c r="CQG294" s="103"/>
      <c r="CQH294" s="113"/>
      <c r="CQI294" s="103"/>
      <c r="CQJ294" s="113"/>
      <c r="CQK294" s="103"/>
      <c r="CQL294" s="113"/>
      <c r="CQM294" s="103"/>
      <c r="CQN294" s="113"/>
      <c r="CQO294" s="103"/>
      <c r="CQP294" s="113"/>
      <c r="CQQ294" s="103"/>
      <c r="CQR294" s="113"/>
      <c r="CQS294" s="103"/>
      <c r="CQT294" s="113"/>
      <c r="CQU294" s="103"/>
      <c r="CQV294" s="113"/>
      <c r="CQW294" s="103"/>
      <c r="CQX294" s="113"/>
      <c r="CQY294" s="103"/>
      <c r="CQZ294" s="113"/>
      <c r="CRA294" s="103"/>
      <c r="CRB294" s="113"/>
      <c r="CRC294" s="103"/>
      <c r="CRD294" s="113"/>
      <c r="CRE294" s="103"/>
      <c r="CRF294" s="113"/>
      <c r="CRG294" s="103"/>
      <c r="CRH294" s="113"/>
      <c r="CRI294" s="103"/>
      <c r="CRJ294" s="113"/>
      <c r="CRK294" s="103"/>
      <c r="CRL294" s="113"/>
      <c r="CRM294" s="103"/>
      <c r="CRN294" s="113"/>
      <c r="CRO294" s="103"/>
      <c r="CRP294" s="113"/>
      <c r="CRQ294" s="103"/>
      <c r="CRR294" s="113"/>
      <c r="CRS294" s="103"/>
      <c r="CRT294" s="113"/>
      <c r="CRU294" s="103"/>
      <c r="CRV294" s="113"/>
      <c r="CRW294" s="103"/>
      <c r="CRX294" s="113"/>
      <c r="CRY294" s="103"/>
      <c r="CRZ294" s="113"/>
      <c r="CSA294" s="103"/>
      <c r="CSB294" s="113"/>
      <c r="CSC294" s="103"/>
      <c r="CSD294" s="113"/>
      <c r="CSE294" s="103"/>
      <c r="CSF294" s="113"/>
      <c r="CSG294" s="103"/>
      <c r="CSH294" s="113"/>
      <c r="CSI294" s="103"/>
      <c r="CSJ294" s="113"/>
      <c r="CSK294" s="103"/>
      <c r="CSL294" s="113"/>
      <c r="CSM294" s="103"/>
      <c r="CSN294" s="113"/>
      <c r="CSO294" s="103"/>
      <c r="CSP294" s="113"/>
      <c r="CSQ294" s="103"/>
      <c r="CSR294" s="113"/>
      <c r="CSS294" s="103"/>
      <c r="CST294" s="113"/>
      <c r="CSU294" s="103"/>
      <c r="CSV294" s="113"/>
      <c r="CSW294" s="103"/>
      <c r="CSX294" s="113"/>
      <c r="CSY294" s="103"/>
      <c r="CSZ294" s="113"/>
      <c r="CTA294" s="103"/>
      <c r="CTB294" s="113"/>
      <c r="CTC294" s="103"/>
      <c r="CTD294" s="113"/>
      <c r="CTE294" s="103"/>
      <c r="CTF294" s="113"/>
      <c r="CTG294" s="103"/>
      <c r="CTH294" s="113"/>
      <c r="CTI294" s="103"/>
      <c r="CTJ294" s="113"/>
      <c r="CTK294" s="103"/>
      <c r="CTL294" s="113"/>
      <c r="CTM294" s="103"/>
      <c r="CTN294" s="113"/>
      <c r="CTO294" s="103"/>
      <c r="CTP294" s="113"/>
      <c r="CTQ294" s="103"/>
      <c r="CTR294" s="113"/>
      <c r="CTS294" s="103"/>
      <c r="CTT294" s="113"/>
      <c r="CTU294" s="103"/>
      <c r="CTV294" s="113"/>
      <c r="CTW294" s="103"/>
      <c r="CTX294" s="113"/>
      <c r="CTY294" s="103"/>
      <c r="CTZ294" s="113"/>
      <c r="CUA294" s="103"/>
      <c r="CUB294" s="113"/>
      <c r="CUC294" s="103"/>
      <c r="CUD294" s="113"/>
      <c r="CUE294" s="103"/>
      <c r="CUF294" s="113"/>
      <c r="CUG294" s="103"/>
      <c r="CUH294" s="113"/>
      <c r="CUI294" s="103"/>
      <c r="CUJ294" s="113"/>
      <c r="CUK294" s="103"/>
      <c r="CUL294" s="113"/>
      <c r="CUM294" s="103"/>
      <c r="CUN294" s="113"/>
      <c r="CUO294" s="103"/>
      <c r="CUP294" s="113"/>
      <c r="CUQ294" s="103"/>
      <c r="CUR294" s="113"/>
      <c r="CUS294" s="103"/>
      <c r="CUT294" s="113"/>
      <c r="CUU294" s="103"/>
      <c r="CUV294" s="113"/>
      <c r="CUW294" s="103"/>
      <c r="CUX294" s="113"/>
      <c r="CUY294" s="103"/>
      <c r="CUZ294" s="113"/>
      <c r="CVA294" s="103"/>
      <c r="CVB294" s="113"/>
      <c r="CVC294" s="103"/>
      <c r="CVD294" s="113"/>
      <c r="CVE294" s="103"/>
      <c r="CVF294" s="113"/>
      <c r="CVG294" s="103"/>
      <c r="CVH294" s="113"/>
      <c r="CVI294" s="103"/>
      <c r="CVJ294" s="113"/>
      <c r="CVK294" s="103"/>
      <c r="CVL294" s="113"/>
      <c r="CVM294" s="103"/>
      <c r="CVN294" s="113"/>
      <c r="CVO294" s="103"/>
      <c r="CVP294" s="113"/>
      <c r="CVQ294" s="103"/>
      <c r="CVR294" s="113"/>
      <c r="CVS294" s="103"/>
      <c r="CVT294" s="113"/>
      <c r="CVU294" s="103"/>
      <c r="CVV294" s="113"/>
      <c r="CVW294" s="103"/>
      <c r="CVX294" s="113"/>
      <c r="CVY294" s="103"/>
      <c r="CVZ294" s="113"/>
      <c r="CWA294" s="103"/>
      <c r="CWB294" s="113"/>
      <c r="CWC294" s="103"/>
      <c r="CWD294" s="113"/>
      <c r="CWE294" s="103"/>
      <c r="CWF294" s="113"/>
      <c r="CWG294" s="103"/>
      <c r="CWH294" s="113"/>
      <c r="CWI294" s="103"/>
      <c r="CWJ294" s="113"/>
      <c r="CWK294" s="103"/>
      <c r="CWL294" s="113"/>
      <c r="CWM294" s="103"/>
      <c r="CWN294" s="113"/>
      <c r="CWO294" s="103"/>
      <c r="CWP294" s="113"/>
      <c r="CWQ294" s="103"/>
      <c r="CWR294" s="113"/>
      <c r="CWS294" s="103"/>
      <c r="CWT294" s="113"/>
      <c r="CWU294" s="103"/>
      <c r="CWV294" s="113"/>
      <c r="CWW294" s="103"/>
      <c r="CWX294" s="113"/>
      <c r="CWY294" s="103"/>
      <c r="CWZ294" s="113"/>
      <c r="CXA294" s="103"/>
      <c r="CXB294" s="113"/>
      <c r="CXC294" s="103"/>
      <c r="CXD294" s="113"/>
      <c r="CXE294" s="103"/>
      <c r="CXF294" s="113"/>
      <c r="CXG294" s="103"/>
      <c r="CXH294" s="113"/>
      <c r="CXI294" s="103"/>
      <c r="CXJ294" s="113"/>
      <c r="CXK294" s="103"/>
      <c r="CXL294" s="113"/>
      <c r="CXM294" s="103"/>
      <c r="CXN294" s="113"/>
      <c r="CXO294" s="103"/>
      <c r="CXP294" s="113"/>
      <c r="CXQ294" s="103"/>
      <c r="CXR294" s="113"/>
      <c r="CXS294" s="103"/>
      <c r="CXT294" s="113"/>
      <c r="CXU294" s="103"/>
      <c r="CXV294" s="113"/>
      <c r="CXW294" s="103"/>
      <c r="CXX294" s="113"/>
      <c r="CXY294" s="103"/>
      <c r="CXZ294" s="113"/>
      <c r="CYA294" s="103"/>
      <c r="CYB294" s="113"/>
      <c r="CYC294" s="103"/>
      <c r="CYD294" s="113"/>
      <c r="CYE294" s="103"/>
      <c r="CYF294" s="113"/>
      <c r="CYG294" s="103"/>
      <c r="CYH294" s="113"/>
      <c r="CYI294" s="103"/>
      <c r="CYJ294" s="113"/>
      <c r="CYK294" s="103"/>
      <c r="CYL294" s="113"/>
      <c r="CYM294" s="103"/>
      <c r="CYN294" s="113"/>
      <c r="CYO294" s="103"/>
      <c r="CYP294" s="113"/>
      <c r="CYQ294" s="103"/>
      <c r="CYR294" s="113"/>
      <c r="CYS294" s="103"/>
      <c r="CYT294" s="113"/>
      <c r="CYU294" s="103"/>
      <c r="CYV294" s="113"/>
      <c r="CYW294" s="103"/>
      <c r="CYX294" s="113"/>
      <c r="CYY294" s="103"/>
      <c r="CYZ294" s="113"/>
      <c r="CZA294" s="103"/>
      <c r="CZB294" s="113"/>
      <c r="CZC294" s="103"/>
      <c r="CZD294" s="113"/>
      <c r="CZE294" s="103"/>
      <c r="CZF294" s="113"/>
      <c r="CZG294" s="103"/>
      <c r="CZH294" s="113"/>
      <c r="CZI294" s="103"/>
      <c r="CZJ294" s="113"/>
      <c r="CZK294" s="103"/>
      <c r="CZL294" s="113"/>
      <c r="CZM294" s="103"/>
      <c r="CZN294" s="113"/>
      <c r="CZO294" s="103"/>
      <c r="CZP294" s="113"/>
      <c r="CZQ294" s="103"/>
      <c r="CZR294" s="113"/>
      <c r="CZS294" s="103"/>
      <c r="CZT294" s="113"/>
      <c r="CZU294" s="103"/>
      <c r="CZV294" s="113"/>
      <c r="CZW294" s="103"/>
      <c r="CZX294" s="113"/>
      <c r="CZY294" s="103"/>
      <c r="CZZ294" s="113"/>
      <c r="DAA294" s="103"/>
      <c r="DAB294" s="113"/>
      <c r="DAC294" s="103"/>
      <c r="DAD294" s="113"/>
      <c r="DAE294" s="103"/>
      <c r="DAF294" s="113"/>
      <c r="DAG294" s="103"/>
      <c r="DAH294" s="113"/>
      <c r="DAI294" s="103"/>
      <c r="DAJ294" s="113"/>
      <c r="DAK294" s="103"/>
      <c r="DAL294" s="113"/>
      <c r="DAM294" s="103"/>
      <c r="DAN294" s="113"/>
      <c r="DAO294" s="103"/>
      <c r="DAP294" s="113"/>
      <c r="DAQ294" s="103"/>
      <c r="DAR294" s="113"/>
      <c r="DAS294" s="103"/>
      <c r="DAT294" s="113"/>
      <c r="DAU294" s="103"/>
      <c r="DAV294" s="113"/>
      <c r="DAW294" s="103"/>
      <c r="DAX294" s="113"/>
      <c r="DAY294" s="103"/>
      <c r="DAZ294" s="113"/>
      <c r="DBA294" s="103"/>
      <c r="DBB294" s="113"/>
      <c r="DBC294" s="103"/>
      <c r="DBD294" s="113"/>
      <c r="DBE294" s="103"/>
      <c r="DBF294" s="113"/>
      <c r="DBG294" s="103"/>
      <c r="DBH294" s="113"/>
      <c r="DBI294" s="103"/>
      <c r="DBJ294" s="113"/>
      <c r="DBK294" s="103"/>
      <c r="DBL294" s="113"/>
      <c r="DBM294" s="103"/>
      <c r="DBN294" s="113"/>
      <c r="DBO294" s="103"/>
      <c r="DBP294" s="113"/>
      <c r="DBQ294" s="103"/>
      <c r="DBR294" s="113"/>
      <c r="DBS294" s="103"/>
      <c r="DBT294" s="113"/>
      <c r="DBU294" s="103"/>
      <c r="DBV294" s="113"/>
      <c r="DBW294" s="103"/>
      <c r="DBX294" s="113"/>
      <c r="DBY294" s="103"/>
      <c r="DBZ294" s="113"/>
      <c r="DCA294" s="103"/>
      <c r="DCB294" s="113"/>
      <c r="DCC294" s="103"/>
      <c r="DCD294" s="113"/>
      <c r="DCE294" s="103"/>
      <c r="DCF294" s="113"/>
      <c r="DCG294" s="103"/>
      <c r="DCH294" s="113"/>
      <c r="DCI294" s="103"/>
      <c r="DCJ294" s="113"/>
      <c r="DCK294" s="103"/>
      <c r="DCL294" s="113"/>
      <c r="DCM294" s="103"/>
      <c r="DCN294" s="113"/>
      <c r="DCO294" s="103"/>
      <c r="DCP294" s="113"/>
      <c r="DCQ294" s="103"/>
      <c r="DCR294" s="113"/>
      <c r="DCS294" s="103"/>
      <c r="DCT294" s="113"/>
      <c r="DCU294" s="103"/>
      <c r="DCV294" s="113"/>
      <c r="DCW294" s="103"/>
      <c r="DCX294" s="113"/>
      <c r="DCY294" s="103"/>
      <c r="DCZ294" s="113"/>
      <c r="DDA294" s="103"/>
      <c r="DDB294" s="113"/>
      <c r="DDC294" s="103"/>
      <c r="DDD294" s="113"/>
      <c r="DDE294" s="103"/>
      <c r="DDF294" s="113"/>
      <c r="DDG294" s="103"/>
      <c r="DDH294" s="113"/>
      <c r="DDI294" s="103"/>
      <c r="DDJ294" s="113"/>
      <c r="DDK294" s="103"/>
      <c r="DDL294" s="113"/>
      <c r="DDM294" s="103"/>
      <c r="DDN294" s="113"/>
      <c r="DDO294" s="103"/>
      <c r="DDP294" s="113"/>
      <c r="DDQ294" s="103"/>
      <c r="DDR294" s="113"/>
      <c r="DDS294" s="103"/>
      <c r="DDT294" s="113"/>
      <c r="DDU294" s="103"/>
      <c r="DDV294" s="113"/>
      <c r="DDW294" s="103"/>
      <c r="DDX294" s="113"/>
      <c r="DDY294" s="103"/>
      <c r="DDZ294" s="113"/>
      <c r="DEA294" s="103"/>
      <c r="DEB294" s="113"/>
      <c r="DEC294" s="103"/>
      <c r="DED294" s="113"/>
      <c r="DEE294" s="103"/>
      <c r="DEF294" s="113"/>
      <c r="DEG294" s="103"/>
      <c r="DEH294" s="113"/>
      <c r="DEI294" s="103"/>
      <c r="DEJ294" s="113"/>
      <c r="DEK294" s="103"/>
      <c r="DEL294" s="113"/>
      <c r="DEM294" s="103"/>
      <c r="DEN294" s="113"/>
      <c r="DEO294" s="103"/>
      <c r="DEP294" s="113"/>
      <c r="DEQ294" s="103"/>
      <c r="DER294" s="113"/>
      <c r="DES294" s="103"/>
      <c r="DET294" s="113"/>
      <c r="DEU294" s="103"/>
      <c r="DEV294" s="113"/>
      <c r="DEW294" s="103"/>
      <c r="DEX294" s="113"/>
      <c r="DEY294" s="103"/>
      <c r="DEZ294" s="113"/>
      <c r="DFA294" s="103"/>
      <c r="DFB294" s="113"/>
      <c r="DFC294" s="103"/>
      <c r="DFD294" s="113"/>
      <c r="DFE294" s="103"/>
      <c r="DFF294" s="113"/>
      <c r="DFG294" s="103"/>
      <c r="DFH294" s="113"/>
      <c r="DFI294" s="103"/>
      <c r="DFJ294" s="113"/>
      <c r="DFK294" s="103"/>
      <c r="DFL294" s="113"/>
      <c r="DFM294" s="103"/>
      <c r="DFN294" s="113"/>
      <c r="DFO294" s="103"/>
      <c r="DFP294" s="113"/>
      <c r="DFQ294" s="103"/>
      <c r="DFR294" s="113"/>
      <c r="DFS294" s="103"/>
      <c r="DFT294" s="113"/>
      <c r="DFU294" s="103"/>
      <c r="DFV294" s="113"/>
      <c r="DFW294" s="103"/>
      <c r="DFX294" s="113"/>
      <c r="DFY294" s="103"/>
      <c r="DFZ294" s="113"/>
      <c r="DGA294" s="103"/>
      <c r="DGB294" s="113"/>
      <c r="DGC294" s="103"/>
      <c r="DGD294" s="113"/>
      <c r="DGE294" s="103"/>
      <c r="DGF294" s="113"/>
      <c r="DGG294" s="103"/>
      <c r="DGH294" s="113"/>
      <c r="DGI294" s="103"/>
      <c r="DGJ294" s="113"/>
      <c r="DGK294" s="103"/>
      <c r="DGL294" s="113"/>
      <c r="DGM294" s="103"/>
      <c r="DGN294" s="113"/>
      <c r="DGO294" s="103"/>
      <c r="DGP294" s="113"/>
      <c r="DGQ294" s="103"/>
      <c r="DGR294" s="113"/>
      <c r="DGS294" s="103"/>
      <c r="DGT294" s="113"/>
      <c r="DGU294" s="103"/>
      <c r="DGV294" s="113"/>
      <c r="DGW294" s="103"/>
      <c r="DGX294" s="113"/>
      <c r="DGY294" s="103"/>
      <c r="DGZ294" s="113"/>
      <c r="DHA294" s="103"/>
      <c r="DHB294" s="113"/>
      <c r="DHC294" s="103"/>
      <c r="DHD294" s="113"/>
      <c r="DHE294" s="103"/>
      <c r="DHF294" s="113"/>
      <c r="DHG294" s="103"/>
      <c r="DHH294" s="113"/>
      <c r="DHI294" s="103"/>
      <c r="DHJ294" s="113"/>
      <c r="DHK294" s="103"/>
      <c r="DHL294" s="113"/>
      <c r="DHM294" s="103"/>
      <c r="DHN294" s="113"/>
      <c r="DHO294" s="103"/>
      <c r="DHP294" s="113"/>
      <c r="DHQ294" s="103"/>
      <c r="DHR294" s="113"/>
      <c r="DHS294" s="103"/>
      <c r="DHT294" s="113"/>
      <c r="DHU294" s="103"/>
      <c r="DHV294" s="113"/>
      <c r="DHW294" s="103"/>
      <c r="DHX294" s="113"/>
      <c r="DHY294" s="103"/>
      <c r="DHZ294" s="113"/>
      <c r="DIA294" s="103"/>
      <c r="DIB294" s="113"/>
      <c r="DIC294" s="103"/>
      <c r="DID294" s="113"/>
      <c r="DIE294" s="103"/>
      <c r="DIF294" s="113"/>
      <c r="DIG294" s="103"/>
      <c r="DIH294" s="113"/>
      <c r="DII294" s="103"/>
      <c r="DIJ294" s="113"/>
      <c r="DIK294" s="103"/>
      <c r="DIL294" s="113"/>
      <c r="DIM294" s="103"/>
      <c r="DIN294" s="113"/>
      <c r="DIO294" s="103"/>
      <c r="DIP294" s="113"/>
      <c r="DIQ294" s="103"/>
      <c r="DIR294" s="113"/>
      <c r="DIS294" s="103"/>
      <c r="DIT294" s="113"/>
      <c r="DIU294" s="103"/>
      <c r="DIV294" s="113"/>
      <c r="DIW294" s="103"/>
      <c r="DIX294" s="113"/>
      <c r="DIY294" s="103"/>
      <c r="DIZ294" s="113"/>
      <c r="DJA294" s="103"/>
      <c r="DJB294" s="113"/>
      <c r="DJC294" s="103"/>
      <c r="DJD294" s="113"/>
      <c r="DJE294" s="103"/>
      <c r="DJF294" s="113"/>
      <c r="DJG294" s="103"/>
      <c r="DJH294" s="113"/>
      <c r="DJI294" s="103"/>
      <c r="DJJ294" s="113"/>
      <c r="DJK294" s="103"/>
      <c r="DJL294" s="113"/>
      <c r="DJM294" s="103"/>
      <c r="DJN294" s="113"/>
      <c r="DJO294" s="103"/>
      <c r="DJP294" s="113"/>
      <c r="DJQ294" s="103"/>
      <c r="DJR294" s="113"/>
      <c r="DJS294" s="103"/>
      <c r="DJT294" s="113"/>
      <c r="DJU294" s="103"/>
      <c r="DJV294" s="113"/>
      <c r="DJW294" s="103"/>
      <c r="DJX294" s="113"/>
      <c r="DJY294" s="103"/>
      <c r="DJZ294" s="113"/>
      <c r="DKA294" s="103"/>
      <c r="DKB294" s="113"/>
      <c r="DKC294" s="103"/>
      <c r="DKD294" s="113"/>
      <c r="DKE294" s="103"/>
      <c r="DKF294" s="113"/>
      <c r="DKG294" s="103"/>
      <c r="DKH294" s="113"/>
      <c r="DKI294" s="103"/>
      <c r="DKJ294" s="113"/>
      <c r="DKK294" s="103"/>
      <c r="DKL294" s="113"/>
      <c r="DKM294" s="103"/>
      <c r="DKN294" s="113"/>
      <c r="DKO294" s="103"/>
      <c r="DKP294" s="113"/>
      <c r="DKQ294" s="103"/>
      <c r="DKR294" s="113"/>
      <c r="DKS294" s="103"/>
      <c r="DKT294" s="113"/>
      <c r="DKU294" s="103"/>
      <c r="DKV294" s="113"/>
      <c r="DKW294" s="103"/>
      <c r="DKX294" s="113"/>
      <c r="DKY294" s="103"/>
      <c r="DKZ294" s="113"/>
      <c r="DLA294" s="103"/>
      <c r="DLB294" s="113"/>
      <c r="DLC294" s="103"/>
      <c r="DLD294" s="113"/>
      <c r="DLE294" s="103"/>
      <c r="DLF294" s="113"/>
      <c r="DLG294" s="103"/>
      <c r="DLH294" s="113"/>
      <c r="DLI294" s="103"/>
      <c r="DLJ294" s="113"/>
      <c r="DLK294" s="103"/>
      <c r="DLL294" s="113"/>
      <c r="DLM294" s="103"/>
      <c r="DLN294" s="113"/>
      <c r="DLO294" s="103"/>
      <c r="DLP294" s="113"/>
      <c r="DLQ294" s="103"/>
      <c r="DLR294" s="113"/>
      <c r="DLS294" s="103"/>
      <c r="DLT294" s="113"/>
      <c r="DLU294" s="103"/>
      <c r="DLV294" s="113"/>
      <c r="DLW294" s="103"/>
      <c r="DLX294" s="113"/>
      <c r="DLY294" s="103"/>
      <c r="DLZ294" s="113"/>
      <c r="DMA294" s="103"/>
      <c r="DMB294" s="113"/>
      <c r="DMC294" s="103"/>
      <c r="DMD294" s="113"/>
      <c r="DME294" s="103"/>
      <c r="DMF294" s="113"/>
      <c r="DMG294" s="103"/>
      <c r="DMH294" s="113"/>
      <c r="DMI294" s="103"/>
      <c r="DMJ294" s="113"/>
      <c r="DMK294" s="103"/>
      <c r="DML294" s="113"/>
      <c r="DMM294" s="103"/>
      <c r="DMN294" s="113"/>
      <c r="DMO294" s="103"/>
      <c r="DMP294" s="113"/>
      <c r="DMQ294" s="103"/>
      <c r="DMR294" s="113"/>
      <c r="DMS294" s="103"/>
      <c r="DMT294" s="113"/>
      <c r="DMU294" s="103"/>
      <c r="DMV294" s="113"/>
      <c r="DMW294" s="103"/>
      <c r="DMX294" s="113"/>
      <c r="DMY294" s="103"/>
      <c r="DMZ294" s="113"/>
      <c r="DNA294" s="103"/>
      <c r="DNB294" s="113"/>
      <c r="DNC294" s="103"/>
      <c r="DND294" s="113"/>
      <c r="DNE294" s="103"/>
      <c r="DNF294" s="113"/>
      <c r="DNG294" s="103"/>
      <c r="DNH294" s="113"/>
      <c r="DNI294" s="103"/>
      <c r="DNJ294" s="113"/>
      <c r="DNK294" s="103"/>
      <c r="DNL294" s="113"/>
      <c r="DNM294" s="103"/>
      <c r="DNN294" s="113"/>
      <c r="DNO294" s="103"/>
      <c r="DNP294" s="113"/>
      <c r="DNQ294" s="103"/>
      <c r="DNR294" s="113"/>
      <c r="DNS294" s="103"/>
      <c r="DNT294" s="113"/>
      <c r="DNU294" s="103"/>
      <c r="DNV294" s="113"/>
      <c r="DNW294" s="103"/>
      <c r="DNX294" s="113"/>
      <c r="DNY294" s="103"/>
      <c r="DNZ294" s="113"/>
      <c r="DOA294" s="103"/>
      <c r="DOB294" s="113"/>
      <c r="DOC294" s="103"/>
      <c r="DOD294" s="113"/>
      <c r="DOE294" s="103"/>
      <c r="DOF294" s="113"/>
      <c r="DOG294" s="103"/>
      <c r="DOH294" s="113"/>
      <c r="DOI294" s="103"/>
      <c r="DOJ294" s="113"/>
      <c r="DOK294" s="103"/>
      <c r="DOL294" s="113"/>
      <c r="DOM294" s="103"/>
      <c r="DON294" s="113"/>
      <c r="DOO294" s="103"/>
      <c r="DOP294" s="113"/>
      <c r="DOQ294" s="103"/>
      <c r="DOR294" s="113"/>
      <c r="DOS294" s="103"/>
      <c r="DOT294" s="113"/>
      <c r="DOU294" s="103"/>
      <c r="DOV294" s="113"/>
      <c r="DOW294" s="103"/>
      <c r="DOX294" s="113"/>
      <c r="DOY294" s="103"/>
      <c r="DOZ294" s="113"/>
      <c r="DPA294" s="103"/>
      <c r="DPB294" s="113"/>
      <c r="DPC294" s="103"/>
      <c r="DPD294" s="113"/>
      <c r="DPE294" s="103"/>
      <c r="DPF294" s="113"/>
      <c r="DPG294" s="103"/>
      <c r="DPH294" s="113"/>
      <c r="DPI294" s="103"/>
      <c r="DPJ294" s="113"/>
      <c r="DPK294" s="103"/>
      <c r="DPL294" s="113"/>
      <c r="DPM294" s="103"/>
      <c r="DPN294" s="113"/>
      <c r="DPO294" s="103"/>
      <c r="DPP294" s="113"/>
      <c r="DPQ294" s="103"/>
      <c r="DPR294" s="113"/>
      <c r="DPS294" s="103"/>
      <c r="DPT294" s="113"/>
      <c r="DPU294" s="103"/>
      <c r="DPV294" s="113"/>
      <c r="DPW294" s="103"/>
      <c r="DPX294" s="113"/>
      <c r="DPY294" s="103"/>
      <c r="DPZ294" s="113"/>
      <c r="DQA294" s="103"/>
      <c r="DQB294" s="113"/>
      <c r="DQC294" s="103"/>
      <c r="DQD294" s="113"/>
      <c r="DQE294" s="103"/>
      <c r="DQF294" s="113"/>
      <c r="DQG294" s="103"/>
      <c r="DQH294" s="113"/>
      <c r="DQI294" s="103"/>
      <c r="DQJ294" s="113"/>
      <c r="DQK294" s="103"/>
      <c r="DQL294" s="113"/>
      <c r="DQM294" s="103"/>
      <c r="DQN294" s="113"/>
      <c r="DQO294" s="103"/>
      <c r="DQP294" s="113"/>
      <c r="DQQ294" s="103"/>
      <c r="DQR294" s="113"/>
      <c r="DQS294" s="103"/>
      <c r="DQT294" s="113"/>
      <c r="DQU294" s="103"/>
      <c r="DQV294" s="113"/>
      <c r="DQW294" s="103"/>
      <c r="DQX294" s="113"/>
      <c r="DQY294" s="103"/>
      <c r="DQZ294" s="113"/>
      <c r="DRA294" s="103"/>
      <c r="DRB294" s="113"/>
      <c r="DRC294" s="103"/>
      <c r="DRD294" s="113"/>
      <c r="DRE294" s="103"/>
      <c r="DRF294" s="113"/>
      <c r="DRG294" s="103"/>
      <c r="DRH294" s="113"/>
      <c r="DRI294" s="103"/>
      <c r="DRJ294" s="113"/>
      <c r="DRK294" s="103"/>
      <c r="DRL294" s="113"/>
      <c r="DRM294" s="103"/>
      <c r="DRN294" s="113"/>
      <c r="DRO294" s="103"/>
      <c r="DRP294" s="113"/>
      <c r="DRQ294" s="103"/>
      <c r="DRR294" s="113"/>
      <c r="DRS294" s="103"/>
      <c r="DRT294" s="113"/>
      <c r="DRU294" s="103"/>
      <c r="DRV294" s="113"/>
      <c r="DRW294" s="103"/>
      <c r="DRX294" s="113"/>
      <c r="DRY294" s="103"/>
      <c r="DRZ294" s="113"/>
      <c r="DSA294" s="103"/>
      <c r="DSB294" s="113"/>
      <c r="DSC294" s="103"/>
      <c r="DSD294" s="113"/>
      <c r="DSE294" s="103"/>
      <c r="DSF294" s="113"/>
      <c r="DSG294" s="103"/>
      <c r="DSH294" s="113"/>
      <c r="DSI294" s="103"/>
      <c r="DSJ294" s="113"/>
      <c r="DSK294" s="103"/>
      <c r="DSL294" s="113"/>
      <c r="DSM294" s="103"/>
      <c r="DSN294" s="113"/>
      <c r="DSO294" s="103"/>
      <c r="DSP294" s="113"/>
      <c r="DSQ294" s="103"/>
      <c r="DSR294" s="113"/>
      <c r="DSS294" s="103"/>
      <c r="DST294" s="113"/>
      <c r="DSU294" s="103"/>
      <c r="DSV294" s="113"/>
      <c r="DSW294" s="103"/>
      <c r="DSX294" s="113"/>
      <c r="DSY294" s="103"/>
      <c r="DSZ294" s="113"/>
      <c r="DTA294" s="103"/>
      <c r="DTB294" s="113"/>
      <c r="DTC294" s="103"/>
      <c r="DTD294" s="113"/>
      <c r="DTE294" s="103"/>
      <c r="DTF294" s="113"/>
      <c r="DTG294" s="103"/>
      <c r="DTH294" s="113"/>
      <c r="DTI294" s="103"/>
      <c r="DTJ294" s="113"/>
      <c r="DTK294" s="103"/>
      <c r="DTL294" s="113"/>
      <c r="DTM294" s="103"/>
      <c r="DTN294" s="113"/>
      <c r="DTO294" s="103"/>
      <c r="DTP294" s="113"/>
      <c r="DTQ294" s="103"/>
      <c r="DTR294" s="113"/>
      <c r="DTS294" s="103"/>
      <c r="DTT294" s="113"/>
      <c r="DTU294" s="103"/>
      <c r="DTV294" s="113"/>
      <c r="DTW294" s="103"/>
      <c r="DTX294" s="113"/>
      <c r="DTY294" s="103"/>
      <c r="DTZ294" s="113"/>
      <c r="DUA294" s="103"/>
      <c r="DUB294" s="113"/>
      <c r="DUC294" s="103"/>
      <c r="DUD294" s="113"/>
      <c r="DUE294" s="103"/>
      <c r="DUF294" s="113"/>
      <c r="DUG294" s="103"/>
      <c r="DUH294" s="113"/>
      <c r="DUI294" s="103"/>
      <c r="DUJ294" s="113"/>
      <c r="DUK294" s="103"/>
      <c r="DUL294" s="113"/>
      <c r="DUM294" s="103"/>
      <c r="DUN294" s="113"/>
      <c r="DUO294" s="103"/>
      <c r="DUP294" s="113"/>
      <c r="DUQ294" s="103"/>
      <c r="DUR294" s="113"/>
      <c r="DUS294" s="103"/>
      <c r="DUT294" s="113"/>
      <c r="DUU294" s="103"/>
      <c r="DUV294" s="113"/>
      <c r="DUW294" s="103"/>
      <c r="DUX294" s="113"/>
      <c r="DUY294" s="103"/>
      <c r="DUZ294" s="113"/>
      <c r="DVA294" s="103"/>
      <c r="DVB294" s="113"/>
      <c r="DVC294" s="103"/>
      <c r="DVD294" s="113"/>
      <c r="DVE294" s="103"/>
      <c r="DVF294" s="113"/>
      <c r="DVG294" s="103"/>
      <c r="DVH294" s="113"/>
      <c r="DVI294" s="103"/>
      <c r="DVJ294" s="113"/>
      <c r="DVK294" s="103"/>
      <c r="DVL294" s="113"/>
      <c r="DVM294" s="103"/>
      <c r="DVN294" s="113"/>
      <c r="DVO294" s="103"/>
      <c r="DVP294" s="113"/>
      <c r="DVQ294" s="103"/>
      <c r="DVR294" s="113"/>
      <c r="DVS294" s="103"/>
      <c r="DVT294" s="113"/>
      <c r="DVU294" s="103"/>
      <c r="DVV294" s="113"/>
      <c r="DVW294" s="103"/>
      <c r="DVX294" s="113"/>
      <c r="DVY294" s="103"/>
      <c r="DVZ294" s="113"/>
      <c r="DWA294" s="103"/>
      <c r="DWB294" s="113"/>
      <c r="DWC294" s="103"/>
      <c r="DWD294" s="113"/>
      <c r="DWE294" s="103"/>
      <c r="DWF294" s="113"/>
      <c r="DWG294" s="103"/>
      <c r="DWH294" s="113"/>
      <c r="DWI294" s="103"/>
      <c r="DWJ294" s="113"/>
      <c r="DWK294" s="103"/>
      <c r="DWL294" s="113"/>
      <c r="DWM294" s="103"/>
      <c r="DWN294" s="113"/>
      <c r="DWO294" s="103"/>
      <c r="DWP294" s="113"/>
      <c r="DWQ294" s="103"/>
      <c r="DWR294" s="113"/>
      <c r="DWS294" s="103"/>
      <c r="DWT294" s="113"/>
      <c r="DWU294" s="103"/>
      <c r="DWV294" s="113"/>
      <c r="DWW294" s="103"/>
      <c r="DWX294" s="113"/>
      <c r="DWY294" s="103"/>
      <c r="DWZ294" s="113"/>
      <c r="DXA294" s="103"/>
      <c r="DXB294" s="113"/>
      <c r="DXC294" s="103"/>
      <c r="DXD294" s="113"/>
      <c r="DXE294" s="103"/>
      <c r="DXF294" s="113"/>
      <c r="DXG294" s="103"/>
      <c r="DXH294" s="113"/>
      <c r="DXI294" s="103"/>
      <c r="DXJ294" s="113"/>
      <c r="DXK294" s="103"/>
      <c r="DXL294" s="113"/>
      <c r="DXM294" s="103"/>
      <c r="DXN294" s="113"/>
      <c r="DXO294" s="103"/>
      <c r="DXP294" s="113"/>
      <c r="DXQ294" s="103"/>
      <c r="DXR294" s="113"/>
      <c r="DXS294" s="103"/>
      <c r="DXT294" s="113"/>
      <c r="DXU294" s="103"/>
      <c r="DXV294" s="113"/>
      <c r="DXW294" s="103"/>
      <c r="DXX294" s="113"/>
      <c r="DXY294" s="103"/>
      <c r="DXZ294" s="113"/>
      <c r="DYA294" s="103"/>
      <c r="DYB294" s="113"/>
      <c r="DYC294" s="103"/>
      <c r="DYD294" s="113"/>
      <c r="DYE294" s="103"/>
      <c r="DYF294" s="113"/>
      <c r="DYG294" s="103"/>
      <c r="DYH294" s="113"/>
      <c r="DYI294" s="103"/>
      <c r="DYJ294" s="113"/>
      <c r="DYK294" s="103"/>
      <c r="DYL294" s="113"/>
      <c r="DYM294" s="103"/>
      <c r="DYN294" s="113"/>
      <c r="DYO294" s="103"/>
      <c r="DYP294" s="113"/>
      <c r="DYQ294" s="103"/>
      <c r="DYR294" s="113"/>
      <c r="DYS294" s="103"/>
      <c r="DYT294" s="113"/>
      <c r="DYU294" s="103"/>
      <c r="DYV294" s="113"/>
      <c r="DYW294" s="103"/>
      <c r="DYX294" s="113"/>
      <c r="DYY294" s="103"/>
      <c r="DYZ294" s="113"/>
      <c r="DZA294" s="103"/>
      <c r="DZB294" s="113"/>
      <c r="DZC294" s="103"/>
      <c r="DZD294" s="113"/>
      <c r="DZE294" s="103"/>
      <c r="DZF294" s="113"/>
      <c r="DZG294" s="103"/>
      <c r="DZH294" s="113"/>
      <c r="DZI294" s="103"/>
      <c r="DZJ294" s="113"/>
      <c r="DZK294" s="103"/>
      <c r="DZL294" s="113"/>
      <c r="DZM294" s="103"/>
      <c r="DZN294" s="113"/>
      <c r="DZO294" s="103"/>
      <c r="DZP294" s="113"/>
      <c r="DZQ294" s="103"/>
      <c r="DZR294" s="113"/>
      <c r="DZS294" s="103"/>
      <c r="DZT294" s="113"/>
      <c r="DZU294" s="103"/>
      <c r="DZV294" s="113"/>
      <c r="DZW294" s="103"/>
      <c r="DZX294" s="113"/>
      <c r="DZY294" s="103"/>
      <c r="DZZ294" s="113"/>
      <c r="EAA294" s="103"/>
      <c r="EAB294" s="113"/>
      <c r="EAC294" s="103"/>
      <c r="EAD294" s="113"/>
      <c r="EAE294" s="103"/>
      <c r="EAF294" s="113"/>
      <c r="EAG294" s="103"/>
      <c r="EAH294" s="113"/>
      <c r="EAI294" s="103"/>
      <c r="EAJ294" s="113"/>
      <c r="EAK294" s="103"/>
      <c r="EAL294" s="113"/>
      <c r="EAM294" s="103"/>
      <c r="EAN294" s="113"/>
      <c r="EAO294" s="103"/>
      <c r="EAP294" s="113"/>
      <c r="EAQ294" s="103"/>
      <c r="EAR294" s="113"/>
      <c r="EAS294" s="103"/>
      <c r="EAT294" s="113"/>
      <c r="EAU294" s="103"/>
      <c r="EAV294" s="113"/>
      <c r="EAW294" s="103"/>
      <c r="EAX294" s="113"/>
      <c r="EAY294" s="103"/>
      <c r="EAZ294" s="113"/>
      <c r="EBA294" s="103"/>
      <c r="EBB294" s="113"/>
      <c r="EBC294" s="103"/>
      <c r="EBD294" s="113"/>
      <c r="EBE294" s="103"/>
      <c r="EBF294" s="113"/>
      <c r="EBG294" s="103"/>
      <c r="EBH294" s="113"/>
      <c r="EBI294" s="103"/>
      <c r="EBJ294" s="113"/>
      <c r="EBK294" s="103"/>
      <c r="EBL294" s="113"/>
      <c r="EBM294" s="103"/>
      <c r="EBN294" s="113"/>
      <c r="EBO294" s="103"/>
      <c r="EBP294" s="113"/>
      <c r="EBQ294" s="103"/>
      <c r="EBR294" s="113"/>
      <c r="EBS294" s="103"/>
      <c r="EBT294" s="113"/>
      <c r="EBU294" s="103"/>
      <c r="EBV294" s="113"/>
      <c r="EBW294" s="103"/>
      <c r="EBX294" s="113"/>
      <c r="EBY294" s="103"/>
      <c r="EBZ294" s="113"/>
      <c r="ECA294" s="103"/>
      <c r="ECB294" s="113"/>
      <c r="ECC294" s="103"/>
      <c r="ECD294" s="113"/>
      <c r="ECE294" s="103"/>
      <c r="ECF294" s="113"/>
      <c r="ECG294" s="103"/>
      <c r="ECH294" s="113"/>
      <c r="ECI294" s="103"/>
      <c r="ECJ294" s="113"/>
      <c r="ECK294" s="103"/>
      <c r="ECL294" s="113"/>
      <c r="ECM294" s="103"/>
      <c r="ECN294" s="113"/>
      <c r="ECO294" s="103"/>
      <c r="ECP294" s="113"/>
      <c r="ECQ294" s="103"/>
      <c r="ECR294" s="113"/>
      <c r="ECS294" s="103"/>
      <c r="ECT294" s="113"/>
      <c r="ECU294" s="103"/>
      <c r="ECV294" s="113"/>
      <c r="ECW294" s="103"/>
      <c r="ECX294" s="113"/>
      <c r="ECY294" s="103"/>
      <c r="ECZ294" s="113"/>
      <c r="EDA294" s="103"/>
      <c r="EDB294" s="113"/>
      <c r="EDC294" s="103"/>
      <c r="EDD294" s="113"/>
      <c r="EDE294" s="103"/>
      <c r="EDF294" s="113"/>
      <c r="EDG294" s="103"/>
      <c r="EDH294" s="113"/>
      <c r="EDI294" s="103"/>
      <c r="EDJ294" s="113"/>
      <c r="EDK294" s="103"/>
      <c r="EDL294" s="113"/>
      <c r="EDM294" s="103"/>
      <c r="EDN294" s="113"/>
      <c r="EDO294" s="103"/>
      <c r="EDP294" s="113"/>
      <c r="EDQ294" s="103"/>
      <c r="EDR294" s="113"/>
      <c r="EDS294" s="103"/>
      <c r="EDT294" s="113"/>
      <c r="EDU294" s="103"/>
      <c r="EDV294" s="113"/>
      <c r="EDW294" s="103"/>
      <c r="EDX294" s="113"/>
      <c r="EDY294" s="103"/>
      <c r="EDZ294" s="113"/>
      <c r="EEA294" s="103"/>
      <c r="EEB294" s="113"/>
      <c r="EEC294" s="103"/>
      <c r="EED294" s="113"/>
      <c r="EEE294" s="103"/>
      <c r="EEF294" s="113"/>
      <c r="EEG294" s="103"/>
      <c r="EEH294" s="113"/>
      <c r="EEI294" s="103"/>
      <c r="EEJ294" s="113"/>
      <c r="EEK294" s="103"/>
      <c r="EEL294" s="113"/>
      <c r="EEM294" s="103"/>
      <c r="EEN294" s="113"/>
      <c r="EEO294" s="103"/>
      <c r="EEP294" s="113"/>
      <c r="EEQ294" s="103"/>
      <c r="EER294" s="113"/>
      <c r="EES294" s="103"/>
      <c r="EET294" s="113"/>
      <c r="EEU294" s="103"/>
      <c r="EEV294" s="113"/>
      <c r="EEW294" s="103"/>
      <c r="EEX294" s="113"/>
      <c r="EEY294" s="103"/>
      <c r="EEZ294" s="113"/>
      <c r="EFA294" s="103"/>
      <c r="EFB294" s="113"/>
      <c r="EFC294" s="103"/>
      <c r="EFD294" s="113"/>
      <c r="EFE294" s="103"/>
      <c r="EFF294" s="113"/>
      <c r="EFG294" s="103"/>
      <c r="EFH294" s="113"/>
      <c r="EFI294" s="103"/>
      <c r="EFJ294" s="113"/>
      <c r="EFK294" s="103"/>
      <c r="EFL294" s="113"/>
      <c r="EFM294" s="103"/>
      <c r="EFN294" s="113"/>
      <c r="EFO294" s="103"/>
      <c r="EFP294" s="113"/>
      <c r="EFQ294" s="103"/>
      <c r="EFR294" s="113"/>
      <c r="EFS294" s="103"/>
      <c r="EFT294" s="113"/>
      <c r="EFU294" s="103"/>
      <c r="EFV294" s="113"/>
      <c r="EFW294" s="103"/>
      <c r="EFX294" s="113"/>
      <c r="EFY294" s="103"/>
      <c r="EFZ294" s="113"/>
      <c r="EGA294" s="103"/>
      <c r="EGB294" s="113"/>
      <c r="EGC294" s="103"/>
      <c r="EGD294" s="113"/>
      <c r="EGE294" s="103"/>
      <c r="EGF294" s="113"/>
      <c r="EGG294" s="103"/>
      <c r="EGH294" s="113"/>
      <c r="EGI294" s="103"/>
      <c r="EGJ294" s="113"/>
      <c r="EGK294" s="103"/>
      <c r="EGL294" s="113"/>
      <c r="EGM294" s="103"/>
      <c r="EGN294" s="113"/>
      <c r="EGO294" s="103"/>
      <c r="EGP294" s="113"/>
      <c r="EGQ294" s="103"/>
      <c r="EGR294" s="113"/>
      <c r="EGS294" s="103"/>
      <c r="EGT294" s="113"/>
      <c r="EGU294" s="103"/>
      <c r="EGV294" s="113"/>
      <c r="EGW294" s="103"/>
      <c r="EGX294" s="113"/>
      <c r="EGY294" s="103"/>
      <c r="EGZ294" s="113"/>
      <c r="EHA294" s="103"/>
      <c r="EHB294" s="113"/>
      <c r="EHC294" s="103"/>
      <c r="EHD294" s="113"/>
      <c r="EHE294" s="103"/>
      <c r="EHF294" s="113"/>
      <c r="EHG294" s="103"/>
      <c r="EHH294" s="113"/>
      <c r="EHI294" s="103"/>
      <c r="EHJ294" s="113"/>
      <c r="EHK294" s="103"/>
      <c r="EHL294" s="113"/>
      <c r="EHM294" s="103"/>
      <c r="EHN294" s="113"/>
      <c r="EHO294" s="103"/>
      <c r="EHP294" s="113"/>
      <c r="EHQ294" s="103"/>
      <c r="EHR294" s="113"/>
      <c r="EHS294" s="103"/>
      <c r="EHT294" s="113"/>
      <c r="EHU294" s="103"/>
      <c r="EHV294" s="113"/>
      <c r="EHW294" s="103"/>
      <c r="EHX294" s="113"/>
      <c r="EHY294" s="103"/>
      <c r="EHZ294" s="113"/>
      <c r="EIA294" s="103"/>
      <c r="EIB294" s="113"/>
      <c r="EIC294" s="103"/>
      <c r="EID294" s="113"/>
      <c r="EIE294" s="103"/>
      <c r="EIF294" s="113"/>
      <c r="EIG294" s="103"/>
      <c r="EIH294" s="113"/>
      <c r="EII294" s="103"/>
      <c r="EIJ294" s="113"/>
      <c r="EIK294" s="103"/>
      <c r="EIL294" s="113"/>
      <c r="EIM294" s="103"/>
      <c r="EIN294" s="113"/>
      <c r="EIO294" s="103"/>
      <c r="EIP294" s="113"/>
      <c r="EIQ294" s="103"/>
      <c r="EIR294" s="113"/>
      <c r="EIS294" s="103"/>
      <c r="EIT294" s="113"/>
      <c r="EIU294" s="103"/>
      <c r="EIV294" s="113"/>
      <c r="EIW294" s="103"/>
      <c r="EIX294" s="113"/>
      <c r="EIY294" s="103"/>
      <c r="EIZ294" s="113"/>
      <c r="EJA294" s="103"/>
      <c r="EJB294" s="113"/>
      <c r="EJC294" s="103"/>
      <c r="EJD294" s="113"/>
      <c r="EJE294" s="103"/>
      <c r="EJF294" s="113"/>
      <c r="EJG294" s="103"/>
      <c r="EJH294" s="113"/>
      <c r="EJI294" s="103"/>
      <c r="EJJ294" s="113"/>
      <c r="EJK294" s="103"/>
      <c r="EJL294" s="113"/>
      <c r="EJM294" s="103"/>
      <c r="EJN294" s="113"/>
      <c r="EJO294" s="103"/>
      <c r="EJP294" s="113"/>
      <c r="EJQ294" s="103"/>
      <c r="EJR294" s="113"/>
      <c r="EJS294" s="103"/>
      <c r="EJT294" s="113"/>
      <c r="EJU294" s="103"/>
      <c r="EJV294" s="113"/>
      <c r="EJW294" s="103"/>
      <c r="EJX294" s="113"/>
      <c r="EJY294" s="103"/>
      <c r="EJZ294" s="113"/>
      <c r="EKA294" s="103"/>
      <c r="EKB294" s="113"/>
      <c r="EKC294" s="103"/>
      <c r="EKD294" s="113"/>
      <c r="EKE294" s="103"/>
      <c r="EKF294" s="113"/>
      <c r="EKG294" s="103"/>
      <c r="EKH294" s="113"/>
      <c r="EKI294" s="103"/>
      <c r="EKJ294" s="113"/>
      <c r="EKK294" s="103"/>
      <c r="EKL294" s="113"/>
      <c r="EKM294" s="103"/>
      <c r="EKN294" s="113"/>
      <c r="EKO294" s="103"/>
      <c r="EKP294" s="113"/>
      <c r="EKQ294" s="103"/>
      <c r="EKR294" s="113"/>
      <c r="EKS294" s="103"/>
      <c r="EKT294" s="113"/>
      <c r="EKU294" s="103"/>
      <c r="EKV294" s="113"/>
      <c r="EKW294" s="103"/>
      <c r="EKX294" s="113"/>
      <c r="EKY294" s="103"/>
      <c r="EKZ294" s="113"/>
      <c r="ELA294" s="103"/>
      <c r="ELB294" s="113"/>
      <c r="ELC294" s="103"/>
      <c r="ELD294" s="113"/>
      <c r="ELE294" s="103"/>
      <c r="ELF294" s="113"/>
      <c r="ELG294" s="103"/>
      <c r="ELH294" s="113"/>
      <c r="ELI294" s="103"/>
      <c r="ELJ294" s="113"/>
      <c r="ELK294" s="103"/>
      <c r="ELL294" s="113"/>
      <c r="ELM294" s="103"/>
      <c r="ELN294" s="113"/>
      <c r="ELO294" s="103"/>
      <c r="ELP294" s="113"/>
      <c r="ELQ294" s="103"/>
      <c r="ELR294" s="113"/>
      <c r="ELS294" s="103"/>
      <c r="ELT294" s="113"/>
      <c r="ELU294" s="103"/>
      <c r="ELV294" s="113"/>
      <c r="ELW294" s="103"/>
      <c r="ELX294" s="113"/>
      <c r="ELY294" s="103"/>
      <c r="ELZ294" s="113"/>
      <c r="EMA294" s="103"/>
      <c r="EMB294" s="113"/>
      <c r="EMC294" s="103"/>
      <c r="EMD294" s="113"/>
      <c r="EME294" s="103"/>
      <c r="EMF294" s="113"/>
      <c r="EMG294" s="103"/>
      <c r="EMH294" s="113"/>
      <c r="EMI294" s="103"/>
      <c r="EMJ294" s="113"/>
      <c r="EMK294" s="103"/>
      <c r="EML294" s="113"/>
      <c r="EMM294" s="103"/>
      <c r="EMN294" s="113"/>
      <c r="EMO294" s="103"/>
      <c r="EMP294" s="113"/>
      <c r="EMQ294" s="103"/>
      <c r="EMR294" s="113"/>
      <c r="EMS294" s="103"/>
      <c r="EMT294" s="113"/>
      <c r="EMU294" s="103"/>
      <c r="EMV294" s="113"/>
      <c r="EMW294" s="103"/>
      <c r="EMX294" s="113"/>
      <c r="EMY294" s="103"/>
      <c r="EMZ294" s="113"/>
      <c r="ENA294" s="103"/>
      <c r="ENB294" s="113"/>
      <c r="ENC294" s="103"/>
      <c r="END294" s="113"/>
      <c r="ENE294" s="103"/>
      <c r="ENF294" s="113"/>
      <c r="ENG294" s="103"/>
      <c r="ENH294" s="113"/>
      <c r="ENI294" s="103"/>
      <c r="ENJ294" s="113"/>
      <c r="ENK294" s="103"/>
      <c r="ENL294" s="113"/>
      <c r="ENM294" s="103"/>
      <c r="ENN294" s="113"/>
      <c r="ENO294" s="103"/>
      <c r="ENP294" s="113"/>
      <c r="ENQ294" s="103"/>
      <c r="ENR294" s="113"/>
      <c r="ENS294" s="103"/>
      <c r="ENT294" s="113"/>
      <c r="ENU294" s="103"/>
      <c r="ENV294" s="113"/>
      <c r="ENW294" s="103"/>
      <c r="ENX294" s="113"/>
      <c r="ENY294" s="103"/>
      <c r="ENZ294" s="113"/>
      <c r="EOA294" s="103"/>
      <c r="EOB294" s="113"/>
      <c r="EOC294" s="103"/>
      <c r="EOD294" s="113"/>
      <c r="EOE294" s="103"/>
      <c r="EOF294" s="113"/>
      <c r="EOG294" s="103"/>
      <c r="EOH294" s="113"/>
      <c r="EOI294" s="103"/>
      <c r="EOJ294" s="113"/>
      <c r="EOK294" s="103"/>
      <c r="EOL294" s="113"/>
      <c r="EOM294" s="103"/>
      <c r="EON294" s="113"/>
      <c r="EOO294" s="103"/>
      <c r="EOP294" s="113"/>
      <c r="EOQ294" s="103"/>
      <c r="EOR294" s="113"/>
      <c r="EOS294" s="103"/>
      <c r="EOT294" s="113"/>
      <c r="EOU294" s="103"/>
      <c r="EOV294" s="113"/>
      <c r="EOW294" s="103"/>
      <c r="EOX294" s="113"/>
      <c r="EOY294" s="103"/>
      <c r="EOZ294" s="113"/>
      <c r="EPA294" s="103"/>
      <c r="EPB294" s="113"/>
      <c r="EPC294" s="103"/>
      <c r="EPD294" s="113"/>
      <c r="EPE294" s="103"/>
      <c r="EPF294" s="113"/>
      <c r="EPG294" s="103"/>
      <c r="EPH294" s="113"/>
      <c r="EPI294" s="103"/>
      <c r="EPJ294" s="113"/>
      <c r="EPK294" s="103"/>
      <c r="EPL294" s="113"/>
      <c r="EPM294" s="103"/>
      <c r="EPN294" s="113"/>
      <c r="EPO294" s="103"/>
      <c r="EPP294" s="113"/>
      <c r="EPQ294" s="103"/>
      <c r="EPR294" s="113"/>
      <c r="EPS294" s="103"/>
      <c r="EPT294" s="113"/>
      <c r="EPU294" s="103"/>
      <c r="EPV294" s="113"/>
      <c r="EPW294" s="103"/>
      <c r="EPX294" s="113"/>
      <c r="EPY294" s="103"/>
      <c r="EPZ294" s="113"/>
      <c r="EQA294" s="103"/>
      <c r="EQB294" s="113"/>
      <c r="EQC294" s="103"/>
      <c r="EQD294" s="113"/>
      <c r="EQE294" s="103"/>
      <c r="EQF294" s="113"/>
      <c r="EQG294" s="103"/>
      <c r="EQH294" s="113"/>
      <c r="EQI294" s="103"/>
      <c r="EQJ294" s="113"/>
      <c r="EQK294" s="103"/>
      <c r="EQL294" s="113"/>
      <c r="EQM294" s="103"/>
      <c r="EQN294" s="113"/>
      <c r="EQO294" s="103"/>
      <c r="EQP294" s="113"/>
      <c r="EQQ294" s="103"/>
      <c r="EQR294" s="113"/>
      <c r="EQS294" s="103"/>
      <c r="EQT294" s="113"/>
      <c r="EQU294" s="103"/>
      <c r="EQV294" s="113"/>
      <c r="EQW294" s="103"/>
      <c r="EQX294" s="113"/>
      <c r="EQY294" s="103"/>
      <c r="EQZ294" s="113"/>
      <c r="ERA294" s="103"/>
      <c r="ERB294" s="113"/>
      <c r="ERC294" s="103"/>
      <c r="ERD294" s="113"/>
      <c r="ERE294" s="103"/>
      <c r="ERF294" s="113"/>
      <c r="ERG294" s="103"/>
      <c r="ERH294" s="113"/>
      <c r="ERI294" s="103"/>
      <c r="ERJ294" s="113"/>
      <c r="ERK294" s="103"/>
      <c r="ERL294" s="113"/>
      <c r="ERM294" s="103"/>
      <c r="ERN294" s="113"/>
      <c r="ERO294" s="103"/>
      <c r="ERP294" s="113"/>
      <c r="ERQ294" s="103"/>
      <c r="ERR294" s="113"/>
      <c r="ERS294" s="103"/>
      <c r="ERT294" s="113"/>
      <c r="ERU294" s="103"/>
      <c r="ERV294" s="113"/>
      <c r="ERW294" s="103"/>
      <c r="ERX294" s="113"/>
      <c r="ERY294" s="103"/>
      <c r="ERZ294" s="113"/>
      <c r="ESA294" s="103"/>
      <c r="ESB294" s="113"/>
      <c r="ESC294" s="103"/>
      <c r="ESD294" s="113"/>
      <c r="ESE294" s="103"/>
      <c r="ESF294" s="113"/>
      <c r="ESG294" s="103"/>
      <c r="ESH294" s="113"/>
      <c r="ESI294" s="103"/>
      <c r="ESJ294" s="113"/>
      <c r="ESK294" s="103"/>
      <c r="ESL294" s="113"/>
      <c r="ESM294" s="103"/>
      <c r="ESN294" s="113"/>
      <c r="ESO294" s="103"/>
      <c r="ESP294" s="113"/>
      <c r="ESQ294" s="103"/>
      <c r="ESR294" s="113"/>
      <c r="ESS294" s="103"/>
      <c r="EST294" s="113"/>
      <c r="ESU294" s="103"/>
      <c r="ESV294" s="113"/>
      <c r="ESW294" s="103"/>
      <c r="ESX294" s="113"/>
      <c r="ESY294" s="103"/>
      <c r="ESZ294" s="113"/>
      <c r="ETA294" s="103"/>
      <c r="ETB294" s="113"/>
      <c r="ETC294" s="103"/>
      <c r="ETD294" s="113"/>
      <c r="ETE294" s="103"/>
      <c r="ETF294" s="113"/>
      <c r="ETG294" s="103"/>
      <c r="ETH294" s="113"/>
      <c r="ETI294" s="103"/>
      <c r="ETJ294" s="113"/>
      <c r="ETK294" s="103"/>
      <c r="ETL294" s="113"/>
      <c r="ETM294" s="103"/>
      <c r="ETN294" s="113"/>
      <c r="ETO294" s="103"/>
      <c r="ETP294" s="113"/>
      <c r="ETQ294" s="103"/>
      <c r="ETR294" s="113"/>
      <c r="ETS294" s="103"/>
      <c r="ETT294" s="113"/>
      <c r="ETU294" s="103"/>
      <c r="ETV294" s="113"/>
      <c r="ETW294" s="103"/>
      <c r="ETX294" s="113"/>
      <c r="ETY294" s="103"/>
      <c r="ETZ294" s="113"/>
      <c r="EUA294" s="103"/>
      <c r="EUB294" s="113"/>
      <c r="EUC294" s="103"/>
      <c r="EUD294" s="113"/>
      <c r="EUE294" s="103"/>
      <c r="EUF294" s="113"/>
      <c r="EUG294" s="103"/>
      <c r="EUH294" s="113"/>
      <c r="EUI294" s="103"/>
      <c r="EUJ294" s="113"/>
      <c r="EUK294" s="103"/>
      <c r="EUL294" s="113"/>
      <c r="EUM294" s="103"/>
      <c r="EUN294" s="113"/>
      <c r="EUO294" s="103"/>
      <c r="EUP294" s="113"/>
      <c r="EUQ294" s="103"/>
      <c r="EUR294" s="113"/>
      <c r="EUS294" s="103"/>
      <c r="EUT294" s="113"/>
      <c r="EUU294" s="103"/>
      <c r="EUV294" s="113"/>
      <c r="EUW294" s="103"/>
      <c r="EUX294" s="113"/>
      <c r="EUY294" s="103"/>
      <c r="EUZ294" s="113"/>
      <c r="EVA294" s="103"/>
      <c r="EVB294" s="113"/>
      <c r="EVC294" s="103"/>
      <c r="EVD294" s="113"/>
      <c r="EVE294" s="103"/>
      <c r="EVF294" s="113"/>
      <c r="EVG294" s="103"/>
      <c r="EVH294" s="113"/>
      <c r="EVI294" s="103"/>
      <c r="EVJ294" s="113"/>
      <c r="EVK294" s="103"/>
      <c r="EVL294" s="113"/>
      <c r="EVM294" s="103"/>
      <c r="EVN294" s="113"/>
      <c r="EVO294" s="103"/>
      <c r="EVP294" s="113"/>
      <c r="EVQ294" s="103"/>
      <c r="EVR294" s="113"/>
      <c r="EVS294" s="103"/>
      <c r="EVT294" s="113"/>
      <c r="EVU294" s="103"/>
      <c r="EVV294" s="113"/>
      <c r="EVW294" s="103"/>
      <c r="EVX294" s="113"/>
      <c r="EVY294" s="103"/>
      <c r="EVZ294" s="113"/>
      <c r="EWA294" s="103"/>
      <c r="EWB294" s="113"/>
      <c r="EWC294" s="103"/>
      <c r="EWD294" s="113"/>
      <c r="EWE294" s="103"/>
      <c r="EWF294" s="113"/>
      <c r="EWG294" s="103"/>
      <c r="EWH294" s="113"/>
      <c r="EWI294" s="103"/>
      <c r="EWJ294" s="113"/>
      <c r="EWK294" s="103"/>
      <c r="EWL294" s="113"/>
      <c r="EWM294" s="103"/>
      <c r="EWN294" s="113"/>
      <c r="EWO294" s="103"/>
      <c r="EWP294" s="113"/>
      <c r="EWQ294" s="103"/>
      <c r="EWR294" s="113"/>
      <c r="EWS294" s="103"/>
      <c r="EWT294" s="113"/>
      <c r="EWU294" s="103"/>
      <c r="EWV294" s="113"/>
      <c r="EWW294" s="103"/>
      <c r="EWX294" s="113"/>
      <c r="EWY294" s="103"/>
      <c r="EWZ294" s="113"/>
      <c r="EXA294" s="103"/>
      <c r="EXB294" s="113"/>
      <c r="EXC294" s="103"/>
      <c r="EXD294" s="113"/>
      <c r="EXE294" s="103"/>
      <c r="EXF294" s="113"/>
      <c r="EXG294" s="103"/>
      <c r="EXH294" s="113"/>
      <c r="EXI294" s="103"/>
      <c r="EXJ294" s="113"/>
      <c r="EXK294" s="103"/>
      <c r="EXL294" s="113"/>
      <c r="EXM294" s="103"/>
      <c r="EXN294" s="113"/>
      <c r="EXO294" s="103"/>
      <c r="EXP294" s="113"/>
      <c r="EXQ294" s="103"/>
      <c r="EXR294" s="113"/>
      <c r="EXS294" s="103"/>
      <c r="EXT294" s="113"/>
      <c r="EXU294" s="103"/>
      <c r="EXV294" s="113"/>
      <c r="EXW294" s="103"/>
      <c r="EXX294" s="113"/>
      <c r="EXY294" s="103"/>
      <c r="EXZ294" s="113"/>
      <c r="EYA294" s="103"/>
      <c r="EYB294" s="113"/>
      <c r="EYC294" s="103"/>
      <c r="EYD294" s="113"/>
      <c r="EYE294" s="103"/>
      <c r="EYF294" s="113"/>
      <c r="EYG294" s="103"/>
      <c r="EYH294" s="113"/>
      <c r="EYI294" s="103"/>
      <c r="EYJ294" s="113"/>
      <c r="EYK294" s="103"/>
      <c r="EYL294" s="113"/>
      <c r="EYM294" s="103"/>
      <c r="EYN294" s="113"/>
      <c r="EYO294" s="103"/>
      <c r="EYP294" s="113"/>
      <c r="EYQ294" s="103"/>
      <c r="EYR294" s="113"/>
      <c r="EYS294" s="103"/>
      <c r="EYT294" s="113"/>
      <c r="EYU294" s="103"/>
      <c r="EYV294" s="113"/>
      <c r="EYW294" s="103"/>
      <c r="EYX294" s="113"/>
      <c r="EYY294" s="103"/>
      <c r="EYZ294" s="113"/>
      <c r="EZA294" s="103"/>
      <c r="EZB294" s="113"/>
      <c r="EZC294" s="103"/>
      <c r="EZD294" s="113"/>
      <c r="EZE294" s="103"/>
      <c r="EZF294" s="113"/>
      <c r="EZG294" s="103"/>
      <c r="EZH294" s="113"/>
      <c r="EZI294" s="103"/>
      <c r="EZJ294" s="113"/>
      <c r="EZK294" s="103"/>
      <c r="EZL294" s="113"/>
      <c r="EZM294" s="103"/>
      <c r="EZN294" s="113"/>
      <c r="EZO294" s="103"/>
      <c r="EZP294" s="113"/>
      <c r="EZQ294" s="103"/>
      <c r="EZR294" s="113"/>
      <c r="EZS294" s="103"/>
      <c r="EZT294" s="113"/>
      <c r="EZU294" s="103"/>
      <c r="EZV294" s="113"/>
      <c r="EZW294" s="103"/>
      <c r="EZX294" s="113"/>
      <c r="EZY294" s="103"/>
      <c r="EZZ294" s="113"/>
      <c r="FAA294" s="103"/>
      <c r="FAB294" s="113"/>
      <c r="FAC294" s="103"/>
      <c r="FAD294" s="113"/>
      <c r="FAE294" s="103"/>
      <c r="FAF294" s="113"/>
      <c r="FAG294" s="103"/>
      <c r="FAH294" s="113"/>
      <c r="FAI294" s="103"/>
      <c r="FAJ294" s="113"/>
      <c r="FAK294" s="103"/>
      <c r="FAL294" s="113"/>
      <c r="FAM294" s="103"/>
      <c r="FAN294" s="113"/>
      <c r="FAO294" s="103"/>
      <c r="FAP294" s="113"/>
      <c r="FAQ294" s="103"/>
      <c r="FAR294" s="113"/>
      <c r="FAS294" s="103"/>
      <c r="FAT294" s="113"/>
      <c r="FAU294" s="103"/>
      <c r="FAV294" s="113"/>
      <c r="FAW294" s="103"/>
      <c r="FAX294" s="113"/>
      <c r="FAY294" s="103"/>
      <c r="FAZ294" s="113"/>
      <c r="FBA294" s="103"/>
      <c r="FBB294" s="113"/>
      <c r="FBC294" s="103"/>
      <c r="FBD294" s="113"/>
      <c r="FBE294" s="103"/>
      <c r="FBF294" s="113"/>
      <c r="FBG294" s="103"/>
      <c r="FBH294" s="113"/>
      <c r="FBI294" s="103"/>
      <c r="FBJ294" s="113"/>
      <c r="FBK294" s="103"/>
      <c r="FBL294" s="113"/>
      <c r="FBM294" s="103"/>
      <c r="FBN294" s="113"/>
      <c r="FBO294" s="103"/>
      <c r="FBP294" s="113"/>
      <c r="FBQ294" s="103"/>
      <c r="FBR294" s="113"/>
      <c r="FBS294" s="103"/>
      <c r="FBT294" s="113"/>
      <c r="FBU294" s="103"/>
      <c r="FBV294" s="113"/>
      <c r="FBW294" s="103"/>
      <c r="FBX294" s="113"/>
      <c r="FBY294" s="103"/>
      <c r="FBZ294" s="113"/>
      <c r="FCA294" s="103"/>
      <c r="FCB294" s="113"/>
      <c r="FCC294" s="103"/>
      <c r="FCD294" s="113"/>
      <c r="FCE294" s="103"/>
      <c r="FCF294" s="113"/>
      <c r="FCG294" s="103"/>
      <c r="FCH294" s="113"/>
      <c r="FCI294" s="103"/>
      <c r="FCJ294" s="113"/>
      <c r="FCK294" s="103"/>
      <c r="FCL294" s="113"/>
      <c r="FCM294" s="103"/>
      <c r="FCN294" s="113"/>
      <c r="FCO294" s="103"/>
      <c r="FCP294" s="113"/>
      <c r="FCQ294" s="103"/>
      <c r="FCR294" s="113"/>
      <c r="FCS294" s="103"/>
      <c r="FCT294" s="113"/>
      <c r="FCU294" s="103"/>
      <c r="FCV294" s="113"/>
      <c r="FCW294" s="103"/>
      <c r="FCX294" s="113"/>
      <c r="FCY294" s="103"/>
      <c r="FCZ294" s="113"/>
      <c r="FDA294" s="103"/>
      <c r="FDB294" s="113"/>
      <c r="FDC294" s="103"/>
      <c r="FDD294" s="113"/>
      <c r="FDE294" s="103"/>
      <c r="FDF294" s="113"/>
      <c r="FDG294" s="103"/>
      <c r="FDH294" s="113"/>
      <c r="FDI294" s="103"/>
      <c r="FDJ294" s="113"/>
      <c r="FDK294" s="103"/>
      <c r="FDL294" s="113"/>
      <c r="FDM294" s="103"/>
      <c r="FDN294" s="113"/>
      <c r="FDO294" s="103"/>
      <c r="FDP294" s="113"/>
      <c r="FDQ294" s="103"/>
      <c r="FDR294" s="113"/>
      <c r="FDS294" s="103"/>
      <c r="FDT294" s="113"/>
      <c r="FDU294" s="103"/>
      <c r="FDV294" s="113"/>
      <c r="FDW294" s="103"/>
      <c r="FDX294" s="113"/>
      <c r="FDY294" s="103"/>
      <c r="FDZ294" s="113"/>
      <c r="FEA294" s="103"/>
      <c r="FEB294" s="113"/>
      <c r="FEC294" s="103"/>
      <c r="FED294" s="113"/>
      <c r="FEE294" s="103"/>
      <c r="FEF294" s="113"/>
      <c r="FEG294" s="103"/>
      <c r="FEH294" s="113"/>
      <c r="FEI294" s="103"/>
      <c r="FEJ294" s="113"/>
      <c r="FEK294" s="103"/>
      <c r="FEL294" s="113"/>
      <c r="FEM294" s="103"/>
      <c r="FEN294" s="113"/>
      <c r="FEO294" s="103"/>
      <c r="FEP294" s="113"/>
      <c r="FEQ294" s="103"/>
      <c r="FER294" s="113"/>
      <c r="FES294" s="103"/>
      <c r="FET294" s="113"/>
      <c r="FEU294" s="103"/>
      <c r="FEV294" s="113"/>
      <c r="FEW294" s="103"/>
      <c r="FEX294" s="113"/>
      <c r="FEY294" s="103"/>
      <c r="FEZ294" s="113"/>
      <c r="FFA294" s="103"/>
      <c r="FFB294" s="113"/>
      <c r="FFC294" s="103"/>
      <c r="FFD294" s="113"/>
      <c r="FFE294" s="103"/>
      <c r="FFF294" s="113"/>
      <c r="FFG294" s="103"/>
      <c r="FFH294" s="113"/>
      <c r="FFI294" s="103"/>
      <c r="FFJ294" s="113"/>
      <c r="FFK294" s="103"/>
      <c r="FFL294" s="113"/>
      <c r="FFM294" s="103"/>
      <c r="FFN294" s="113"/>
      <c r="FFO294" s="103"/>
      <c r="FFP294" s="113"/>
      <c r="FFQ294" s="103"/>
      <c r="FFR294" s="113"/>
      <c r="FFS294" s="103"/>
      <c r="FFT294" s="113"/>
      <c r="FFU294" s="103"/>
      <c r="FFV294" s="113"/>
      <c r="FFW294" s="103"/>
      <c r="FFX294" s="113"/>
      <c r="FFY294" s="103"/>
      <c r="FFZ294" s="113"/>
      <c r="FGA294" s="103"/>
      <c r="FGB294" s="113"/>
      <c r="FGC294" s="103"/>
      <c r="FGD294" s="113"/>
      <c r="FGE294" s="103"/>
      <c r="FGF294" s="113"/>
      <c r="FGG294" s="103"/>
      <c r="FGH294" s="113"/>
      <c r="FGI294" s="103"/>
      <c r="FGJ294" s="113"/>
      <c r="FGK294" s="103"/>
      <c r="FGL294" s="113"/>
      <c r="FGM294" s="103"/>
      <c r="FGN294" s="113"/>
      <c r="FGO294" s="103"/>
      <c r="FGP294" s="113"/>
      <c r="FGQ294" s="103"/>
      <c r="FGR294" s="113"/>
      <c r="FGS294" s="103"/>
      <c r="FGT294" s="113"/>
      <c r="FGU294" s="103"/>
      <c r="FGV294" s="113"/>
      <c r="FGW294" s="103"/>
      <c r="FGX294" s="113"/>
      <c r="FGY294" s="103"/>
      <c r="FGZ294" s="113"/>
      <c r="FHA294" s="103"/>
      <c r="FHB294" s="113"/>
      <c r="FHC294" s="103"/>
      <c r="FHD294" s="113"/>
      <c r="FHE294" s="103"/>
      <c r="FHF294" s="113"/>
      <c r="FHG294" s="103"/>
      <c r="FHH294" s="113"/>
      <c r="FHI294" s="103"/>
      <c r="FHJ294" s="113"/>
      <c r="FHK294" s="103"/>
      <c r="FHL294" s="113"/>
      <c r="FHM294" s="103"/>
      <c r="FHN294" s="113"/>
      <c r="FHO294" s="103"/>
      <c r="FHP294" s="113"/>
      <c r="FHQ294" s="103"/>
      <c r="FHR294" s="113"/>
      <c r="FHS294" s="103"/>
      <c r="FHT294" s="113"/>
      <c r="FHU294" s="103"/>
      <c r="FHV294" s="113"/>
      <c r="FHW294" s="103"/>
      <c r="FHX294" s="113"/>
      <c r="FHY294" s="103"/>
      <c r="FHZ294" s="113"/>
      <c r="FIA294" s="103"/>
      <c r="FIB294" s="113"/>
      <c r="FIC294" s="103"/>
      <c r="FID294" s="113"/>
      <c r="FIE294" s="103"/>
      <c r="FIF294" s="113"/>
      <c r="FIG294" s="103"/>
      <c r="FIH294" s="113"/>
      <c r="FII294" s="103"/>
      <c r="FIJ294" s="113"/>
      <c r="FIK294" s="103"/>
      <c r="FIL294" s="113"/>
      <c r="FIM294" s="103"/>
      <c r="FIN294" s="113"/>
      <c r="FIO294" s="103"/>
      <c r="FIP294" s="113"/>
      <c r="FIQ294" s="103"/>
      <c r="FIR294" s="113"/>
      <c r="FIS294" s="103"/>
      <c r="FIT294" s="113"/>
      <c r="FIU294" s="103"/>
      <c r="FIV294" s="113"/>
      <c r="FIW294" s="103"/>
      <c r="FIX294" s="113"/>
      <c r="FIY294" s="103"/>
      <c r="FIZ294" s="113"/>
      <c r="FJA294" s="103"/>
      <c r="FJB294" s="113"/>
      <c r="FJC294" s="103"/>
      <c r="FJD294" s="113"/>
      <c r="FJE294" s="103"/>
      <c r="FJF294" s="113"/>
      <c r="FJG294" s="103"/>
      <c r="FJH294" s="113"/>
      <c r="FJI294" s="103"/>
      <c r="FJJ294" s="113"/>
      <c r="FJK294" s="103"/>
      <c r="FJL294" s="113"/>
      <c r="FJM294" s="103"/>
      <c r="FJN294" s="113"/>
      <c r="FJO294" s="103"/>
      <c r="FJP294" s="113"/>
      <c r="FJQ294" s="103"/>
      <c r="FJR294" s="113"/>
      <c r="FJS294" s="103"/>
      <c r="FJT294" s="113"/>
      <c r="FJU294" s="103"/>
      <c r="FJV294" s="113"/>
      <c r="FJW294" s="103"/>
      <c r="FJX294" s="113"/>
      <c r="FJY294" s="103"/>
      <c r="FJZ294" s="113"/>
      <c r="FKA294" s="103"/>
      <c r="FKB294" s="113"/>
      <c r="FKC294" s="103"/>
      <c r="FKD294" s="113"/>
      <c r="FKE294" s="103"/>
      <c r="FKF294" s="113"/>
      <c r="FKG294" s="103"/>
      <c r="FKH294" s="113"/>
      <c r="FKI294" s="103"/>
      <c r="FKJ294" s="113"/>
      <c r="FKK294" s="103"/>
      <c r="FKL294" s="113"/>
      <c r="FKM294" s="103"/>
      <c r="FKN294" s="113"/>
      <c r="FKO294" s="103"/>
      <c r="FKP294" s="113"/>
      <c r="FKQ294" s="103"/>
      <c r="FKR294" s="113"/>
      <c r="FKS294" s="103"/>
      <c r="FKT294" s="113"/>
      <c r="FKU294" s="103"/>
      <c r="FKV294" s="113"/>
      <c r="FKW294" s="103"/>
      <c r="FKX294" s="113"/>
      <c r="FKY294" s="103"/>
      <c r="FKZ294" s="113"/>
      <c r="FLA294" s="103"/>
      <c r="FLB294" s="113"/>
      <c r="FLC294" s="103"/>
      <c r="FLD294" s="113"/>
      <c r="FLE294" s="103"/>
      <c r="FLF294" s="113"/>
      <c r="FLG294" s="103"/>
      <c r="FLH294" s="113"/>
      <c r="FLI294" s="103"/>
      <c r="FLJ294" s="113"/>
      <c r="FLK294" s="103"/>
      <c r="FLL294" s="113"/>
      <c r="FLM294" s="103"/>
      <c r="FLN294" s="113"/>
      <c r="FLO294" s="103"/>
      <c r="FLP294" s="113"/>
      <c r="FLQ294" s="103"/>
      <c r="FLR294" s="113"/>
      <c r="FLS294" s="103"/>
      <c r="FLT294" s="113"/>
      <c r="FLU294" s="103"/>
      <c r="FLV294" s="113"/>
      <c r="FLW294" s="103"/>
      <c r="FLX294" s="113"/>
      <c r="FLY294" s="103"/>
      <c r="FLZ294" s="113"/>
      <c r="FMA294" s="103"/>
      <c r="FMB294" s="113"/>
      <c r="FMC294" s="103"/>
      <c r="FMD294" s="113"/>
      <c r="FME294" s="103"/>
      <c r="FMF294" s="113"/>
      <c r="FMG294" s="103"/>
      <c r="FMH294" s="113"/>
      <c r="FMI294" s="103"/>
      <c r="FMJ294" s="113"/>
      <c r="FMK294" s="103"/>
      <c r="FML294" s="113"/>
      <c r="FMM294" s="103"/>
      <c r="FMN294" s="113"/>
      <c r="FMO294" s="103"/>
      <c r="FMP294" s="113"/>
      <c r="FMQ294" s="103"/>
      <c r="FMR294" s="113"/>
      <c r="FMS294" s="103"/>
      <c r="FMT294" s="113"/>
      <c r="FMU294" s="103"/>
      <c r="FMV294" s="113"/>
      <c r="FMW294" s="103"/>
      <c r="FMX294" s="113"/>
      <c r="FMY294" s="103"/>
      <c r="FMZ294" s="113"/>
      <c r="FNA294" s="103"/>
      <c r="FNB294" s="113"/>
      <c r="FNC294" s="103"/>
      <c r="FND294" s="113"/>
      <c r="FNE294" s="103"/>
      <c r="FNF294" s="113"/>
      <c r="FNG294" s="103"/>
      <c r="FNH294" s="113"/>
      <c r="FNI294" s="103"/>
      <c r="FNJ294" s="113"/>
      <c r="FNK294" s="103"/>
      <c r="FNL294" s="113"/>
      <c r="FNM294" s="103"/>
      <c r="FNN294" s="113"/>
      <c r="FNO294" s="103"/>
      <c r="FNP294" s="113"/>
      <c r="FNQ294" s="103"/>
      <c r="FNR294" s="113"/>
      <c r="FNS294" s="103"/>
      <c r="FNT294" s="113"/>
      <c r="FNU294" s="103"/>
      <c r="FNV294" s="113"/>
      <c r="FNW294" s="103"/>
      <c r="FNX294" s="113"/>
      <c r="FNY294" s="103"/>
      <c r="FNZ294" s="113"/>
      <c r="FOA294" s="103"/>
      <c r="FOB294" s="113"/>
      <c r="FOC294" s="103"/>
      <c r="FOD294" s="113"/>
      <c r="FOE294" s="103"/>
      <c r="FOF294" s="113"/>
      <c r="FOG294" s="103"/>
      <c r="FOH294" s="113"/>
      <c r="FOI294" s="103"/>
      <c r="FOJ294" s="113"/>
      <c r="FOK294" s="103"/>
      <c r="FOL294" s="113"/>
      <c r="FOM294" s="103"/>
      <c r="FON294" s="113"/>
      <c r="FOO294" s="103"/>
      <c r="FOP294" s="113"/>
      <c r="FOQ294" s="103"/>
      <c r="FOR294" s="113"/>
      <c r="FOS294" s="103"/>
      <c r="FOT294" s="113"/>
      <c r="FOU294" s="103"/>
      <c r="FOV294" s="113"/>
      <c r="FOW294" s="103"/>
      <c r="FOX294" s="113"/>
      <c r="FOY294" s="103"/>
      <c r="FOZ294" s="113"/>
      <c r="FPA294" s="103"/>
      <c r="FPB294" s="113"/>
      <c r="FPC294" s="103"/>
      <c r="FPD294" s="113"/>
      <c r="FPE294" s="103"/>
      <c r="FPF294" s="113"/>
      <c r="FPG294" s="103"/>
      <c r="FPH294" s="113"/>
      <c r="FPI294" s="103"/>
      <c r="FPJ294" s="113"/>
      <c r="FPK294" s="103"/>
      <c r="FPL294" s="113"/>
      <c r="FPM294" s="103"/>
      <c r="FPN294" s="113"/>
      <c r="FPO294" s="103"/>
      <c r="FPP294" s="113"/>
      <c r="FPQ294" s="103"/>
      <c r="FPR294" s="113"/>
      <c r="FPS294" s="103"/>
      <c r="FPT294" s="113"/>
      <c r="FPU294" s="103"/>
      <c r="FPV294" s="113"/>
      <c r="FPW294" s="103"/>
      <c r="FPX294" s="113"/>
      <c r="FPY294" s="103"/>
      <c r="FPZ294" s="113"/>
      <c r="FQA294" s="103"/>
      <c r="FQB294" s="113"/>
      <c r="FQC294" s="103"/>
      <c r="FQD294" s="113"/>
      <c r="FQE294" s="103"/>
      <c r="FQF294" s="113"/>
      <c r="FQG294" s="103"/>
      <c r="FQH294" s="113"/>
      <c r="FQI294" s="103"/>
      <c r="FQJ294" s="113"/>
      <c r="FQK294" s="103"/>
      <c r="FQL294" s="113"/>
      <c r="FQM294" s="103"/>
      <c r="FQN294" s="113"/>
      <c r="FQO294" s="103"/>
      <c r="FQP294" s="113"/>
      <c r="FQQ294" s="103"/>
      <c r="FQR294" s="113"/>
      <c r="FQS294" s="103"/>
      <c r="FQT294" s="113"/>
      <c r="FQU294" s="103"/>
      <c r="FQV294" s="113"/>
      <c r="FQW294" s="103"/>
      <c r="FQX294" s="113"/>
      <c r="FQY294" s="103"/>
      <c r="FQZ294" s="113"/>
      <c r="FRA294" s="103"/>
      <c r="FRB294" s="113"/>
      <c r="FRC294" s="103"/>
      <c r="FRD294" s="113"/>
      <c r="FRE294" s="103"/>
      <c r="FRF294" s="113"/>
      <c r="FRG294" s="103"/>
      <c r="FRH294" s="113"/>
      <c r="FRI294" s="103"/>
      <c r="FRJ294" s="113"/>
      <c r="FRK294" s="103"/>
      <c r="FRL294" s="113"/>
      <c r="FRM294" s="103"/>
      <c r="FRN294" s="113"/>
      <c r="FRO294" s="103"/>
      <c r="FRP294" s="113"/>
      <c r="FRQ294" s="103"/>
      <c r="FRR294" s="113"/>
      <c r="FRS294" s="103"/>
      <c r="FRT294" s="113"/>
      <c r="FRU294" s="103"/>
      <c r="FRV294" s="113"/>
      <c r="FRW294" s="103"/>
      <c r="FRX294" s="113"/>
      <c r="FRY294" s="103"/>
      <c r="FRZ294" s="113"/>
      <c r="FSA294" s="103"/>
      <c r="FSB294" s="113"/>
      <c r="FSC294" s="103"/>
      <c r="FSD294" s="113"/>
      <c r="FSE294" s="103"/>
      <c r="FSF294" s="113"/>
      <c r="FSG294" s="103"/>
      <c r="FSH294" s="113"/>
      <c r="FSI294" s="103"/>
      <c r="FSJ294" s="113"/>
      <c r="FSK294" s="103"/>
      <c r="FSL294" s="113"/>
      <c r="FSM294" s="103"/>
      <c r="FSN294" s="113"/>
      <c r="FSO294" s="103"/>
      <c r="FSP294" s="113"/>
      <c r="FSQ294" s="103"/>
      <c r="FSR294" s="113"/>
      <c r="FSS294" s="103"/>
      <c r="FST294" s="113"/>
      <c r="FSU294" s="103"/>
      <c r="FSV294" s="113"/>
      <c r="FSW294" s="103"/>
      <c r="FSX294" s="113"/>
      <c r="FSY294" s="103"/>
      <c r="FSZ294" s="113"/>
      <c r="FTA294" s="103"/>
      <c r="FTB294" s="113"/>
      <c r="FTC294" s="103"/>
      <c r="FTD294" s="113"/>
      <c r="FTE294" s="103"/>
      <c r="FTF294" s="113"/>
      <c r="FTG294" s="103"/>
      <c r="FTH294" s="113"/>
      <c r="FTI294" s="103"/>
      <c r="FTJ294" s="113"/>
      <c r="FTK294" s="103"/>
      <c r="FTL294" s="113"/>
      <c r="FTM294" s="103"/>
      <c r="FTN294" s="113"/>
      <c r="FTO294" s="103"/>
      <c r="FTP294" s="113"/>
      <c r="FTQ294" s="103"/>
      <c r="FTR294" s="113"/>
      <c r="FTS294" s="103"/>
      <c r="FTT294" s="113"/>
      <c r="FTU294" s="103"/>
      <c r="FTV294" s="113"/>
      <c r="FTW294" s="103"/>
      <c r="FTX294" s="113"/>
      <c r="FTY294" s="103"/>
      <c r="FTZ294" s="113"/>
      <c r="FUA294" s="103"/>
      <c r="FUB294" s="113"/>
      <c r="FUC294" s="103"/>
      <c r="FUD294" s="113"/>
      <c r="FUE294" s="103"/>
      <c r="FUF294" s="113"/>
      <c r="FUG294" s="103"/>
      <c r="FUH294" s="113"/>
      <c r="FUI294" s="103"/>
      <c r="FUJ294" s="113"/>
      <c r="FUK294" s="103"/>
      <c r="FUL294" s="113"/>
      <c r="FUM294" s="103"/>
      <c r="FUN294" s="113"/>
      <c r="FUO294" s="103"/>
      <c r="FUP294" s="113"/>
      <c r="FUQ294" s="103"/>
      <c r="FUR294" s="113"/>
      <c r="FUS294" s="103"/>
      <c r="FUT294" s="113"/>
      <c r="FUU294" s="103"/>
      <c r="FUV294" s="113"/>
      <c r="FUW294" s="103"/>
      <c r="FUX294" s="113"/>
      <c r="FUY294" s="103"/>
      <c r="FUZ294" s="113"/>
      <c r="FVA294" s="103"/>
      <c r="FVB294" s="113"/>
      <c r="FVC294" s="103"/>
      <c r="FVD294" s="113"/>
      <c r="FVE294" s="103"/>
      <c r="FVF294" s="113"/>
      <c r="FVG294" s="103"/>
      <c r="FVH294" s="113"/>
      <c r="FVI294" s="103"/>
      <c r="FVJ294" s="113"/>
      <c r="FVK294" s="103"/>
      <c r="FVL294" s="113"/>
      <c r="FVM294" s="103"/>
      <c r="FVN294" s="113"/>
      <c r="FVO294" s="103"/>
      <c r="FVP294" s="113"/>
      <c r="FVQ294" s="103"/>
      <c r="FVR294" s="113"/>
      <c r="FVS294" s="103"/>
      <c r="FVT294" s="113"/>
      <c r="FVU294" s="103"/>
      <c r="FVV294" s="113"/>
      <c r="FVW294" s="103"/>
      <c r="FVX294" s="113"/>
      <c r="FVY294" s="103"/>
      <c r="FVZ294" s="113"/>
      <c r="FWA294" s="103"/>
      <c r="FWB294" s="113"/>
      <c r="FWC294" s="103"/>
      <c r="FWD294" s="113"/>
      <c r="FWE294" s="103"/>
      <c r="FWF294" s="113"/>
      <c r="FWG294" s="103"/>
      <c r="FWH294" s="113"/>
      <c r="FWI294" s="103"/>
      <c r="FWJ294" s="113"/>
      <c r="FWK294" s="103"/>
      <c r="FWL294" s="113"/>
      <c r="FWM294" s="103"/>
      <c r="FWN294" s="113"/>
      <c r="FWO294" s="103"/>
      <c r="FWP294" s="113"/>
      <c r="FWQ294" s="103"/>
      <c r="FWR294" s="113"/>
      <c r="FWS294" s="103"/>
      <c r="FWT294" s="113"/>
      <c r="FWU294" s="103"/>
      <c r="FWV294" s="113"/>
      <c r="FWW294" s="103"/>
      <c r="FWX294" s="113"/>
      <c r="FWY294" s="103"/>
      <c r="FWZ294" s="113"/>
      <c r="FXA294" s="103"/>
      <c r="FXB294" s="113"/>
      <c r="FXC294" s="103"/>
      <c r="FXD294" s="113"/>
      <c r="FXE294" s="103"/>
      <c r="FXF294" s="113"/>
      <c r="FXG294" s="103"/>
      <c r="FXH294" s="113"/>
      <c r="FXI294" s="103"/>
      <c r="FXJ294" s="113"/>
      <c r="FXK294" s="103"/>
      <c r="FXL294" s="113"/>
      <c r="FXM294" s="103"/>
      <c r="FXN294" s="113"/>
      <c r="FXO294" s="103"/>
      <c r="FXP294" s="113"/>
      <c r="FXQ294" s="103"/>
      <c r="FXR294" s="113"/>
      <c r="FXS294" s="103"/>
      <c r="FXT294" s="113"/>
      <c r="FXU294" s="103"/>
      <c r="FXV294" s="113"/>
      <c r="FXW294" s="103"/>
      <c r="FXX294" s="113"/>
      <c r="FXY294" s="103"/>
      <c r="FXZ294" s="113"/>
      <c r="FYA294" s="103"/>
      <c r="FYB294" s="113"/>
      <c r="FYC294" s="103"/>
      <c r="FYD294" s="113"/>
      <c r="FYE294" s="103"/>
      <c r="FYF294" s="113"/>
      <c r="FYG294" s="103"/>
      <c r="FYH294" s="113"/>
      <c r="FYI294" s="103"/>
      <c r="FYJ294" s="113"/>
      <c r="FYK294" s="103"/>
      <c r="FYL294" s="113"/>
      <c r="FYM294" s="103"/>
      <c r="FYN294" s="113"/>
      <c r="FYO294" s="103"/>
      <c r="FYP294" s="113"/>
      <c r="FYQ294" s="103"/>
      <c r="FYR294" s="113"/>
      <c r="FYS294" s="103"/>
      <c r="FYT294" s="113"/>
      <c r="FYU294" s="103"/>
      <c r="FYV294" s="113"/>
      <c r="FYW294" s="103"/>
      <c r="FYX294" s="113"/>
      <c r="FYY294" s="103"/>
      <c r="FYZ294" s="113"/>
      <c r="FZA294" s="103"/>
      <c r="FZB294" s="113"/>
      <c r="FZC294" s="103"/>
      <c r="FZD294" s="113"/>
      <c r="FZE294" s="103"/>
      <c r="FZF294" s="113"/>
      <c r="FZG294" s="103"/>
      <c r="FZH294" s="113"/>
      <c r="FZI294" s="103"/>
      <c r="FZJ294" s="113"/>
      <c r="FZK294" s="103"/>
      <c r="FZL294" s="113"/>
      <c r="FZM294" s="103"/>
      <c r="FZN294" s="113"/>
      <c r="FZO294" s="103"/>
      <c r="FZP294" s="113"/>
      <c r="FZQ294" s="103"/>
      <c r="FZR294" s="113"/>
      <c r="FZS294" s="103"/>
      <c r="FZT294" s="113"/>
      <c r="FZU294" s="103"/>
      <c r="FZV294" s="113"/>
      <c r="FZW294" s="103"/>
      <c r="FZX294" s="113"/>
      <c r="FZY294" s="103"/>
      <c r="FZZ294" s="113"/>
      <c r="GAA294" s="103"/>
      <c r="GAB294" s="113"/>
      <c r="GAC294" s="103"/>
      <c r="GAD294" s="113"/>
      <c r="GAE294" s="103"/>
      <c r="GAF294" s="113"/>
      <c r="GAG294" s="103"/>
      <c r="GAH294" s="113"/>
      <c r="GAI294" s="103"/>
      <c r="GAJ294" s="113"/>
      <c r="GAK294" s="103"/>
      <c r="GAL294" s="113"/>
      <c r="GAM294" s="103"/>
      <c r="GAN294" s="113"/>
      <c r="GAO294" s="103"/>
      <c r="GAP294" s="113"/>
      <c r="GAQ294" s="103"/>
      <c r="GAR294" s="113"/>
      <c r="GAS294" s="103"/>
      <c r="GAT294" s="113"/>
      <c r="GAU294" s="103"/>
      <c r="GAV294" s="113"/>
      <c r="GAW294" s="103"/>
      <c r="GAX294" s="113"/>
      <c r="GAY294" s="103"/>
      <c r="GAZ294" s="113"/>
      <c r="GBA294" s="103"/>
      <c r="GBB294" s="113"/>
      <c r="GBC294" s="103"/>
      <c r="GBD294" s="113"/>
      <c r="GBE294" s="103"/>
      <c r="GBF294" s="113"/>
      <c r="GBG294" s="103"/>
      <c r="GBH294" s="113"/>
      <c r="GBI294" s="103"/>
      <c r="GBJ294" s="113"/>
      <c r="GBK294" s="103"/>
      <c r="GBL294" s="113"/>
      <c r="GBM294" s="103"/>
      <c r="GBN294" s="113"/>
      <c r="GBO294" s="103"/>
      <c r="GBP294" s="113"/>
      <c r="GBQ294" s="103"/>
      <c r="GBR294" s="113"/>
      <c r="GBS294" s="103"/>
      <c r="GBT294" s="113"/>
      <c r="GBU294" s="103"/>
      <c r="GBV294" s="113"/>
      <c r="GBW294" s="103"/>
      <c r="GBX294" s="113"/>
      <c r="GBY294" s="103"/>
      <c r="GBZ294" s="113"/>
      <c r="GCA294" s="103"/>
      <c r="GCB294" s="113"/>
      <c r="GCC294" s="103"/>
      <c r="GCD294" s="113"/>
      <c r="GCE294" s="103"/>
      <c r="GCF294" s="113"/>
      <c r="GCG294" s="103"/>
      <c r="GCH294" s="113"/>
      <c r="GCI294" s="103"/>
      <c r="GCJ294" s="113"/>
      <c r="GCK294" s="103"/>
      <c r="GCL294" s="113"/>
      <c r="GCM294" s="103"/>
      <c r="GCN294" s="113"/>
      <c r="GCO294" s="103"/>
      <c r="GCP294" s="113"/>
      <c r="GCQ294" s="103"/>
      <c r="GCR294" s="113"/>
      <c r="GCS294" s="103"/>
      <c r="GCT294" s="113"/>
      <c r="GCU294" s="103"/>
      <c r="GCV294" s="113"/>
      <c r="GCW294" s="103"/>
      <c r="GCX294" s="113"/>
      <c r="GCY294" s="103"/>
      <c r="GCZ294" s="113"/>
      <c r="GDA294" s="103"/>
      <c r="GDB294" s="113"/>
      <c r="GDC294" s="103"/>
      <c r="GDD294" s="113"/>
      <c r="GDE294" s="103"/>
      <c r="GDF294" s="113"/>
      <c r="GDG294" s="103"/>
      <c r="GDH294" s="113"/>
      <c r="GDI294" s="103"/>
      <c r="GDJ294" s="113"/>
      <c r="GDK294" s="103"/>
      <c r="GDL294" s="113"/>
      <c r="GDM294" s="103"/>
      <c r="GDN294" s="113"/>
      <c r="GDO294" s="103"/>
      <c r="GDP294" s="113"/>
      <c r="GDQ294" s="103"/>
      <c r="GDR294" s="113"/>
      <c r="GDS294" s="103"/>
      <c r="GDT294" s="113"/>
      <c r="GDU294" s="103"/>
      <c r="GDV294" s="113"/>
      <c r="GDW294" s="103"/>
      <c r="GDX294" s="113"/>
      <c r="GDY294" s="103"/>
      <c r="GDZ294" s="113"/>
      <c r="GEA294" s="103"/>
      <c r="GEB294" s="113"/>
      <c r="GEC294" s="103"/>
      <c r="GED294" s="113"/>
      <c r="GEE294" s="103"/>
      <c r="GEF294" s="113"/>
      <c r="GEG294" s="103"/>
      <c r="GEH294" s="113"/>
      <c r="GEI294" s="103"/>
      <c r="GEJ294" s="113"/>
      <c r="GEK294" s="103"/>
      <c r="GEL294" s="113"/>
      <c r="GEM294" s="103"/>
      <c r="GEN294" s="113"/>
      <c r="GEO294" s="103"/>
      <c r="GEP294" s="113"/>
      <c r="GEQ294" s="103"/>
      <c r="GER294" s="113"/>
      <c r="GES294" s="103"/>
      <c r="GET294" s="113"/>
      <c r="GEU294" s="103"/>
      <c r="GEV294" s="113"/>
      <c r="GEW294" s="103"/>
      <c r="GEX294" s="113"/>
      <c r="GEY294" s="103"/>
      <c r="GEZ294" s="113"/>
      <c r="GFA294" s="103"/>
      <c r="GFB294" s="113"/>
      <c r="GFC294" s="103"/>
      <c r="GFD294" s="113"/>
      <c r="GFE294" s="103"/>
      <c r="GFF294" s="113"/>
      <c r="GFG294" s="103"/>
      <c r="GFH294" s="113"/>
      <c r="GFI294" s="103"/>
      <c r="GFJ294" s="113"/>
      <c r="GFK294" s="103"/>
      <c r="GFL294" s="113"/>
      <c r="GFM294" s="103"/>
      <c r="GFN294" s="113"/>
      <c r="GFO294" s="103"/>
      <c r="GFP294" s="113"/>
      <c r="GFQ294" s="103"/>
      <c r="GFR294" s="113"/>
      <c r="GFS294" s="103"/>
      <c r="GFT294" s="113"/>
      <c r="GFU294" s="103"/>
      <c r="GFV294" s="113"/>
      <c r="GFW294" s="103"/>
      <c r="GFX294" s="113"/>
      <c r="GFY294" s="103"/>
      <c r="GFZ294" s="113"/>
      <c r="GGA294" s="103"/>
      <c r="GGB294" s="113"/>
      <c r="GGC294" s="103"/>
      <c r="GGD294" s="113"/>
      <c r="GGE294" s="103"/>
      <c r="GGF294" s="113"/>
      <c r="GGG294" s="103"/>
      <c r="GGH294" s="113"/>
      <c r="GGI294" s="103"/>
      <c r="GGJ294" s="113"/>
      <c r="GGK294" s="103"/>
      <c r="GGL294" s="113"/>
      <c r="GGM294" s="103"/>
      <c r="GGN294" s="113"/>
      <c r="GGO294" s="103"/>
      <c r="GGP294" s="113"/>
      <c r="GGQ294" s="103"/>
      <c r="GGR294" s="113"/>
      <c r="GGS294" s="103"/>
      <c r="GGT294" s="113"/>
      <c r="GGU294" s="103"/>
      <c r="GGV294" s="113"/>
      <c r="GGW294" s="103"/>
      <c r="GGX294" s="113"/>
      <c r="GGY294" s="103"/>
      <c r="GGZ294" s="113"/>
      <c r="GHA294" s="103"/>
      <c r="GHB294" s="113"/>
      <c r="GHC294" s="103"/>
      <c r="GHD294" s="113"/>
      <c r="GHE294" s="103"/>
      <c r="GHF294" s="113"/>
      <c r="GHG294" s="103"/>
      <c r="GHH294" s="113"/>
      <c r="GHI294" s="103"/>
      <c r="GHJ294" s="113"/>
      <c r="GHK294" s="103"/>
      <c r="GHL294" s="113"/>
      <c r="GHM294" s="103"/>
      <c r="GHN294" s="113"/>
      <c r="GHO294" s="103"/>
      <c r="GHP294" s="113"/>
      <c r="GHQ294" s="103"/>
      <c r="GHR294" s="113"/>
      <c r="GHS294" s="103"/>
      <c r="GHT294" s="113"/>
      <c r="GHU294" s="103"/>
      <c r="GHV294" s="113"/>
      <c r="GHW294" s="103"/>
      <c r="GHX294" s="113"/>
      <c r="GHY294" s="103"/>
      <c r="GHZ294" s="113"/>
      <c r="GIA294" s="103"/>
      <c r="GIB294" s="113"/>
      <c r="GIC294" s="103"/>
      <c r="GID294" s="113"/>
      <c r="GIE294" s="103"/>
      <c r="GIF294" s="113"/>
      <c r="GIG294" s="103"/>
      <c r="GIH294" s="113"/>
      <c r="GII294" s="103"/>
      <c r="GIJ294" s="113"/>
      <c r="GIK294" s="103"/>
      <c r="GIL294" s="113"/>
      <c r="GIM294" s="103"/>
      <c r="GIN294" s="113"/>
      <c r="GIO294" s="103"/>
      <c r="GIP294" s="113"/>
      <c r="GIQ294" s="103"/>
      <c r="GIR294" s="113"/>
      <c r="GIS294" s="103"/>
      <c r="GIT294" s="113"/>
      <c r="GIU294" s="103"/>
      <c r="GIV294" s="113"/>
      <c r="GIW294" s="103"/>
      <c r="GIX294" s="113"/>
      <c r="GIY294" s="103"/>
      <c r="GIZ294" s="113"/>
      <c r="GJA294" s="103"/>
      <c r="GJB294" s="113"/>
      <c r="GJC294" s="103"/>
      <c r="GJD294" s="113"/>
      <c r="GJE294" s="103"/>
      <c r="GJF294" s="113"/>
      <c r="GJG294" s="103"/>
      <c r="GJH294" s="113"/>
      <c r="GJI294" s="103"/>
      <c r="GJJ294" s="113"/>
      <c r="GJK294" s="103"/>
      <c r="GJL294" s="113"/>
      <c r="GJM294" s="103"/>
      <c r="GJN294" s="113"/>
      <c r="GJO294" s="103"/>
      <c r="GJP294" s="113"/>
      <c r="GJQ294" s="103"/>
      <c r="GJR294" s="113"/>
      <c r="GJS294" s="103"/>
      <c r="GJT294" s="113"/>
      <c r="GJU294" s="103"/>
      <c r="GJV294" s="113"/>
      <c r="GJW294" s="103"/>
      <c r="GJX294" s="113"/>
      <c r="GJY294" s="103"/>
      <c r="GJZ294" s="113"/>
      <c r="GKA294" s="103"/>
      <c r="GKB294" s="113"/>
      <c r="GKC294" s="103"/>
      <c r="GKD294" s="113"/>
      <c r="GKE294" s="103"/>
      <c r="GKF294" s="113"/>
      <c r="GKG294" s="103"/>
      <c r="GKH294" s="113"/>
      <c r="GKI294" s="103"/>
      <c r="GKJ294" s="113"/>
      <c r="GKK294" s="103"/>
      <c r="GKL294" s="113"/>
      <c r="GKM294" s="103"/>
      <c r="GKN294" s="113"/>
      <c r="GKO294" s="103"/>
      <c r="GKP294" s="113"/>
      <c r="GKQ294" s="103"/>
      <c r="GKR294" s="113"/>
      <c r="GKS294" s="103"/>
      <c r="GKT294" s="113"/>
      <c r="GKU294" s="103"/>
      <c r="GKV294" s="113"/>
      <c r="GKW294" s="103"/>
      <c r="GKX294" s="113"/>
      <c r="GKY294" s="103"/>
      <c r="GKZ294" s="113"/>
      <c r="GLA294" s="103"/>
      <c r="GLB294" s="113"/>
      <c r="GLC294" s="103"/>
      <c r="GLD294" s="113"/>
      <c r="GLE294" s="103"/>
      <c r="GLF294" s="113"/>
      <c r="GLG294" s="103"/>
      <c r="GLH294" s="113"/>
      <c r="GLI294" s="103"/>
      <c r="GLJ294" s="113"/>
      <c r="GLK294" s="103"/>
      <c r="GLL294" s="113"/>
      <c r="GLM294" s="103"/>
      <c r="GLN294" s="113"/>
      <c r="GLO294" s="103"/>
      <c r="GLP294" s="113"/>
      <c r="GLQ294" s="103"/>
      <c r="GLR294" s="113"/>
      <c r="GLS294" s="103"/>
      <c r="GLT294" s="113"/>
      <c r="GLU294" s="103"/>
      <c r="GLV294" s="113"/>
      <c r="GLW294" s="103"/>
      <c r="GLX294" s="113"/>
      <c r="GLY294" s="103"/>
      <c r="GLZ294" s="113"/>
      <c r="GMA294" s="103"/>
      <c r="GMB294" s="113"/>
      <c r="GMC294" s="103"/>
      <c r="GMD294" s="113"/>
      <c r="GME294" s="103"/>
      <c r="GMF294" s="113"/>
      <c r="GMG294" s="103"/>
      <c r="GMH294" s="113"/>
      <c r="GMI294" s="103"/>
      <c r="GMJ294" s="113"/>
      <c r="GMK294" s="103"/>
      <c r="GML294" s="113"/>
      <c r="GMM294" s="103"/>
      <c r="GMN294" s="113"/>
      <c r="GMO294" s="103"/>
      <c r="GMP294" s="113"/>
      <c r="GMQ294" s="103"/>
      <c r="GMR294" s="113"/>
      <c r="GMS294" s="103"/>
      <c r="GMT294" s="113"/>
      <c r="GMU294" s="103"/>
      <c r="GMV294" s="113"/>
      <c r="GMW294" s="103"/>
      <c r="GMX294" s="113"/>
      <c r="GMY294" s="103"/>
      <c r="GMZ294" s="113"/>
      <c r="GNA294" s="103"/>
      <c r="GNB294" s="113"/>
      <c r="GNC294" s="103"/>
      <c r="GND294" s="113"/>
      <c r="GNE294" s="103"/>
      <c r="GNF294" s="113"/>
      <c r="GNG294" s="103"/>
      <c r="GNH294" s="113"/>
      <c r="GNI294" s="103"/>
      <c r="GNJ294" s="113"/>
      <c r="GNK294" s="103"/>
      <c r="GNL294" s="113"/>
      <c r="GNM294" s="103"/>
      <c r="GNN294" s="113"/>
      <c r="GNO294" s="103"/>
      <c r="GNP294" s="113"/>
      <c r="GNQ294" s="103"/>
      <c r="GNR294" s="113"/>
      <c r="GNS294" s="103"/>
      <c r="GNT294" s="113"/>
      <c r="GNU294" s="103"/>
      <c r="GNV294" s="113"/>
      <c r="GNW294" s="103"/>
      <c r="GNX294" s="113"/>
      <c r="GNY294" s="103"/>
      <c r="GNZ294" s="113"/>
      <c r="GOA294" s="103"/>
      <c r="GOB294" s="113"/>
      <c r="GOC294" s="103"/>
      <c r="GOD294" s="113"/>
      <c r="GOE294" s="103"/>
      <c r="GOF294" s="113"/>
      <c r="GOG294" s="103"/>
      <c r="GOH294" s="113"/>
      <c r="GOI294" s="103"/>
      <c r="GOJ294" s="113"/>
      <c r="GOK294" s="103"/>
      <c r="GOL294" s="113"/>
      <c r="GOM294" s="103"/>
      <c r="GON294" s="113"/>
      <c r="GOO294" s="103"/>
      <c r="GOP294" s="113"/>
      <c r="GOQ294" s="103"/>
      <c r="GOR294" s="113"/>
      <c r="GOS294" s="103"/>
      <c r="GOT294" s="113"/>
      <c r="GOU294" s="103"/>
      <c r="GOV294" s="113"/>
      <c r="GOW294" s="103"/>
      <c r="GOX294" s="113"/>
      <c r="GOY294" s="103"/>
      <c r="GOZ294" s="113"/>
      <c r="GPA294" s="103"/>
      <c r="GPB294" s="113"/>
      <c r="GPC294" s="103"/>
      <c r="GPD294" s="113"/>
      <c r="GPE294" s="103"/>
      <c r="GPF294" s="113"/>
      <c r="GPG294" s="103"/>
      <c r="GPH294" s="113"/>
      <c r="GPI294" s="103"/>
      <c r="GPJ294" s="113"/>
      <c r="GPK294" s="103"/>
      <c r="GPL294" s="113"/>
      <c r="GPM294" s="103"/>
      <c r="GPN294" s="113"/>
      <c r="GPO294" s="103"/>
      <c r="GPP294" s="113"/>
      <c r="GPQ294" s="103"/>
      <c r="GPR294" s="113"/>
      <c r="GPS294" s="103"/>
      <c r="GPT294" s="113"/>
      <c r="GPU294" s="103"/>
      <c r="GPV294" s="113"/>
      <c r="GPW294" s="103"/>
      <c r="GPX294" s="113"/>
      <c r="GPY294" s="103"/>
      <c r="GPZ294" s="113"/>
      <c r="GQA294" s="103"/>
      <c r="GQB294" s="113"/>
      <c r="GQC294" s="103"/>
      <c r="GQD294" s="113"/>
      <c r="GQE294" s="103"/>
      <c r="GQF294" s="113"/>
      <c r="GQG294" s="103"/>
      <c r="GQH294" s="113"/>
      <c r="GQI294" s="103"/>
      <c r="GQJ294" s="113"/>
      <c r="GQK294" s="103"/>
      <c r="GQL294" s="113"/>
      <c r="GQM294" s="103"/>
      <c r="GQN294" s="113"/>
      <c r="GQO294" s="103"/>
      <c r="GQP294" s="113"/>
      <c r="GQQ294" s="103"/>
      <c r="GQR294" s="113"/>
      <c r="GQS294" s="103"/>
      <c r="GQT294" s="113"/>
      <c r="GQU294" s="103"/>
      <c r="GQV294" s="113"/>
      <c r="GQW294" s="103"/>
      <c r="GQX294" s="113"/>
      <c r="GQY294" s="103"/>
      <c r="GQZ294" s="113"/>
      <c r="GRA294" s="103"/>
      <c r="GRB294" s="113"/>
      <c r="GRC294" s="103"/>
      <c r="GRD294" s="113"/>
      <c r="GRE294" s="103"/>
      <c r="GRF294" s="113"/>
      <c r="GRG294" s="103"/>
      <c r="GRH294" s="113"/>
      <c r="GRI294" s="103"/>
      <c r="GRJ294" s="113"/>
      <c r="GRK294" s="103"/>
      <c r="GRL294" s="113"/>
      <c r="GRM294" s="103"/>
      <c r="GRN294" s="113"/>
      <c r="GRO294" s="103"/>
      <c r="GRP294" s="113"/>
      <c r="GRQ294" s="103"/>
      <c r="GRR294" s="113"/>
      <c r="GRS294" s="103"/>
      <c r="GRT294" s="113"/>
      <c r="GRU294" s="103"/>
      <c r="GRV294" s="113"/>
      <c r="GRW294" s="103"/>
      <c r="GRX294" s="113"/>
      <c r="GRY294" s="103"/>
      <c r="GRZ294" s="113"/>
      <c r="GSA294" s="103"/>
      <c r="GSB294" s="113"/>
      <c r="GSC294" s="103"/>
      <c r="GSD294" s="113"/>
      <c r="GSE294" s="103"/>
      <c r="GSF294" s="113"/>
      <c r="GSG294" s="103"/>
      <c r="GSH294" s="113"/>
      <c r="GSI294" s="103"/>
      <c r="GSJ294" s="113"/>
      <c r="GSK294" s="103"/>
      <c r="GSL294" s="113"/>
      <c r="GSM294" s="103"/>
      <c r="GSN294" s="113"/>
      <c r="GSO294" s="103"/>
      <c r="GSP294" s="113"/>
      <c r="GSQ294" s="103"/>
      <c r="GSR294" s="113"/>
      <c r="GSS294" s="103"/>
      <c r="GST294" s="113"/>
      <c r="GSU294" s="103"/>
      <c r="GSV294" s="113"/>
      <c r="GSW294" s="103"/>
      <c r="GSX294" s="113"/>
      <c r="GSY294" s="103"/>
      <c r="GSZ294" s="113"/>
      <c r="GTA294" s="103"/>
      <c r="GTB294" s="113"/>
      <c r="GTC294" s="103"/>
      <c r="GTD294" s="113"/>
      <c r="GTE294" s="103"/>
      <c r="GTF294" s="113"/>
      <c r="GTG294" s="103"/>
      <c r="GTH294" s="113"/>
      <c r="GTI294" s="103"/>
      <c r="GTJ294" s="113"/>
      <c r="GTK294" s="103"/>
      <c r="GTL294" s="113"/>
      <c r="GTM294" s="103"/>
      <c r="GTN294" s="113"/>
      <c r="GTO294" s="103"/>
      <c r="GTP294" s="113"/>
      <c r="GTQ294" s="103"/>
      <c r="GTR294" s="113"/>
      <c r="GTS294" s="103"/>
      <c r="GTT294" s="113"/>
      <c r="GTU294" s="103"/>
      <c r="GTV294" s="113"/>
      <c r="GTW294" s="103"/>
      <c r="GTX294" s="113"/>
      <c r="GTY294" s="103"/>
      <c r="GTZ294" s="113"/>
      <c r="GUA294" s="103"/>
      <c r="GUB294" s="113"/>
      <c r="GUC294" s="103"/>
      <c r="GUD294" s="113"/>
      <c r="GUE294" s="103"/>
      <c r="GUF294" s="113"/>
      <c r="GUG294" s="103"/>
      <c r="GUH294" s="113"/>
      <c r="GUI294" s="103"/>
      <c r="GUJ294" s="113"/>
      <c r="GUK294" s="103"/>
      <c r="GUL294" s="113"/>
      <c r="GUM294" s="103"/>
      <c r="GUN294" s="113"/>
      <c r="GUO294" s="103"/>
      <c r="GUP294" s="113"/>
      <c r="GUQ294" s="103"/>
      <c r="GUR294" s="113"/>
      <c r="GUS294" s="103"/>
      <c r="GUT294" s="113"/>
      <c r="GUU294" s="103"/>
      <c r="GUV294" s="113"/>
      <c r="GUW294" s="103"/>
      <c r="GUX294" s="113"/>
      <c r="GUY294" s="103"/>
      <c r="GUZ294" s="113"/>
      <c r="GVA294" s="103"/>
      <c r="GVB294" s="113"/>
      <c r="GVC294" s="103"/>
      <c r="GVD294" s="113"/>
      <c r="GVE294" s="103"/>
      <c r="GVF294" s="113"/>
      <c r="GVG294" s="103"/>
      <c r="GVH294" s="113"/>
      <c r="GVI294" s="103"/>
      <c r="GVJ294" s="113"/>
      <c r="GVK294" s="103"/>
      <c r="GVL294" s="113"/>
      <c r="GVM294" s="103"/>
      <c r="GVN294" s="113"/>
      <c r="GVO294" s="103"/>
      <c r="GVP294" s="113"/>
      <c r="GVQ294" s="103"/>
      <c r="GVR294" s="113"/>
      <c r="GVS294" s="103"/>
      <c r="GVT294" s="113"/>
      <c r="GVU294" s="103"/>
      <c r="GVV294" s="113"/>
      <c r="GVW294" s="103"/>
      <c r="GVX294" s="113"/>
      <c r="GVY294" s="103"/>
      <c r="GVZ294" s="113"/>
      <c r="GWA294" s="103"/>
      <c r="GWB294" s="113"/>
      <c r="GWC294" s="103"/>
      <c r="GWD294" s="113"/>
      <c r="GWE294" s="103"/>
      <c r="GWF294" s="113"/>
      <c r="GWG294" s="103"/>
      <c r="GWH294" s="113"/>
      <c r="GWI294" s="103"/>
      <c r="GWJ294" s="113"/>
      <c r="GWK294" s="103"/>
      <c r="GWL294" s="113"/>
      <c r="GWM294" s="103"/>
      <c r="GWN294" s="113"/>
      <c r="GWO294" s="103"/>
      <c r="GWP294" s="113"/>
      <c r="GWQ294" s="103"/>
      <c r="GWR294" s="113"/>
      <c r="GWS294" s="103"/>
      <c r="GWT294" s="113"/>
      <c r="GWU294" s="103"/>
      <c r="GWV294" s="113"/>
      <c r="GWW294" s="103"/>
      <c r="GWX294" s="113"/>
      <c r="GWY294" s="103"/>
      <c r="GWZ294" s="113"/>
      <c r="GXA294" s="103"/>
      <c r="GXB294" s="113"/>
      <c r="GXC294" s="103"/>
      <c r="GXD294" s="113"/>
      <c r="GXE294" s="103"/>
      <c r="GXF294" s="113"/>
      <c r="GXG294" s="103"/>
      <c r="GXH294" s="113"/>
      <c r="GXI294" s="103"/>
      <c r="GXJ294" s="113"/>
      <c r="GXK294" s="103"/>
      <c r="GXL294" s="113"/>
      <c r="GXM294" s="103"/>
      <c r="GXN294" s="113"/>
      <c r="GXO294" s="103"/>
      <c r="GXP294" s="113"/>
      <c r="GXQ294" s="103"/>
      <c r="GXR294" s="113"/>
      <c r="GXS294" s="103"/>
      <c r="GXT294" s="113"/>
      <c r="GXU294" s="103"/>
      <c r="GXV294" s="113"/>
      <c r="GXW294" s="103"/>
      <c r="GXX294" s="113"/>
      <c r="GXY294" s="103"/>
      <c r="GXZ294" s="113"/>
      <c r="GYA294" s="103"/>
      <c r="GYB294" s="113"/>
      <c r="GYC294" s="103"/>
      <c r="GYD294" s="113"/>
      <c r="GYE294" s="103"/>
      <c r="GYF294" s="113"/>
      <c r="GYG294" s="103"/>
      <c r="GYH294" s="113"/>
      <c r="GYI294" s="103"/>
      <c r="GYJ294" s="113"/>
      <c r="GYK294" s="103"/>
      <c r="GYL294" s="113"/>
      <c r="GYM294" s="103"/>
      <c r="GYN294" s="113"/>
      <c r="GYO294" s="103"/>
      <c r="GYP294" s="113"/>
      <c r="GYQ294" s="103"/>
      <c r="GYR294" s="113"/>
      <c r="GYS294" s="103"/>
      <c r="GYT294" s="113"/>
      <c r="GYU294" s="103"/>
      <c r="GYV294" s="113"/>
      <c r="GYW294" s="103"/>
      <c r="GYX294" s="113"/>
      <c r="GYY294" s="103"/>
      <c r="GYZ294" s="113"/>
      <c r="GZA294" s="103"/>
      <c r="GZB294" s="113"/>
      <c r="GZC294" s="103"/>
      <c r="GZD294" s="113"/>
      <c r="GZE294" s="103"/>
      <c r="GZF294" s="113"/>
      <c r="GZG294" s="103"/>
      <c r="GZH294" s="113"/>
      <c r="GZI294" s="103"/>
      <c r="GZJ294" s="113"/>
      <c r="GZK294" s="103"/>
      <c r="GZL294" s="113"/>
      <c r="GZM294" s="103"/>
      <c r="GZN294" s="113"/>
      <c r="GZO294" s="103"/>
      <c r="GZP294" s="113"/>
      <c r="GZQ294" s="103"/>
      <c r="GZR294" s="113"/>
      <c r="GZS294" s="103"/>
      <c r="GZT294" s="113"/>
      <c r="GZU294" s="103"/>
      <c r="GZV294" s="113"/>
      <c r="GZW294" s="103"/>
      <c r="GZX294" s="113"/>
      <c r="GZY294" s="103"/>
      <c r="GZZ294" s="113"/>
      <c r="HAA294" s="103"/>
      <c r="HAB294" s="113"/>
      <c r="HAC294" s="103"/>
      <c r="HAD294" s="113"/>
      <c r="HAE294" s="103"/>
      <c r="HAF294" s="113"/>
      <c r="HAG294" s="103"/>
      <c r="HAH294" s="113"/>
      <c r="HAI294" s="103"/>
      <c r="HAJ294" s="113"/>
      <c r="HAK294" s="103"/>
      <c r="HAL294" s="113"/>
      <c r="HAM294" s="103"/>
      <c r="HAN294" s="113"/>
      <c r="HAO294" s="103"/>
      <c r="HAP294" s="113"/>
      <c r="HAQ294" s="103"/>
      <c r="HAR294" s="113"/>
      <c r="HAS294" s="103"/>
      <c r="HAT294" s="113"/>
      <c r="HAU294" s="103"/>
      <c r="HAV294" s="113"/>
      <c r="HAW294" s="103"/>
      <c r="HAX294" s="113"/>
      <c r="HAY294" s="103"/>
      <c r="HAZ294" s="113"/>
      <c r="HBA294" s="103"/>
      <c r="HBB294" s="113"/>
      <c r="HBC294" s="103"/>
      <c r="HBD294" s="113"/>
      <c r="HBE294" s="103"/>
      <c r="HBF294" s="113"/>
      <c r="HBG294" s="103"/>
      <c r="HBH294" s="113"/>
      <c r="HBI294" s="103"/>
      <c r="HBJ294" s="113"/>
      <c r="HBK294" s="103"/>
      <c r="HBL294" s="113"/>
      <c r="HBM294" s="103"/>
      <c r="HBN294" s="113"/>
      <c r="HBO294" s="103"/>
      <c r="HBP294" s="113"/>
      <c r="HBQ294" s="103"/>
      <c r="HBR294" s="113"/>
      <c r="HBS294" s="103"/>
      <c r="HBT294" s="113"/>
      <c r="HBU294" s="103"/>
      <c r="HBV294" s="113"/>
      <c r="HBW294" s="103"/>
      <c r="HBX294" s="113"/>
      <c r="HBY294" s="103"/>
      <c r="HBZ294" s="113"/>
      <c r="HCA294" s="103"/>
      <c r="HCB294" s="113"/>
      <c r="HCC294" s="103"/>
      <c r="HCD294" s="113"/>
      <c r="HCE294" s="103"/>
      <c r="HCF294" s="113"/>
      <c r="HCG294" s="103"/>
      <c r="HCH294" s="113"/>
      <c r="HCI294" s="103"/>
      <c r="HCJ294" s="113"/>
      <c r="HCK294" s="103"/>
      <c r="HCL294" s="113"/>
      <c r="HCM294" s="103"/>
      <c r="HCN294" s="113"/>
      <c r="HCO294" s="103"/>
      <c r="HCP294" s="113"/>
      <c r="HCQ294" s="103"/>
      <c r="HCR294" s="113"/>
      <c r="HCS294" s="103"/>
      <c r="HCT294" s="113"/>
      <c r="HCU294" s="103"/>
      <c r="HCV294" s="113"/>
      <c r="HCW294" s="103"/>
      <c r="HCX294" s="113"/>
      <c r="HCY294" s="103"/>
      <c r="HCZ294" s="113"/>
      <c r="HDA294" s="103"/>
      <c r="HDB294" s="113"/>
      <c r="HDC294" s="103"/>
      <c r="HDD294" s="113"/>
      <c r="HDE294" s="103"/>
      <c r="HDF294" s="113"/>
      <c r="HDG294" s="103"/>
      <c r="HDH294" s="113"/>
      <c r="HDI294" s="103"/>
      <c r="HDJ294" s="113"/>
      <c r="HDK294" s="103"/>
      <c r="HDL294" s="113"/>
      <c r="HDM294" s="103"/>
      <c r="HDN294" s="113"/>
      <c r="HDO294" s="103"/>
      <c r="HDP294" s="113"/>
      <c r="HDQ294" s="103"/>
      <c r="HDR294" s="113"/>
      <c r="HDS294" s="103"/>
      <c r="HDT294" s="113"/>
      <c r="HDU294" s="103"/>
      <c r="HDV294" s="113"/>
      <c r="HDW294" s="103"/>
      <c r="HDX294" s="113"/>
      <c r="HDY294" s="103"/>
      <c r="HDZ294" s="113"/>
      <c r="HEA294" s="103"/>
      <c r="HEB294" s="113"/>
      <c r="HEC294" s="103"/>
      <c r="HED294" s="113"/>
      <c r="HEE294" s="103"/>
      <c r="HEF294" s="113"/>
      <c r="HEG294" s="103"/>
      <c r="HEH294" s="113"/>
      <c r="HEI294" s="103"/>
      <c r="HEJ294" s="113"/>
      <c r="HEK294" s="103"/>
      <c r="HEL294" s="113"/>
      <c r="HEM294" s="103"/>
      <c r="HEN294" s="113"/>
      <c r="HEO294" s="103"/>
      <c r="HEP294" s="113"/>
      <c r="HEQ294" s="103"/>
      <c r="HER294" s="113"/>
      <c r="HES294" s="103"/>
      <c r="HET294" s="113"/>
      <c r="HEU294" s="103"/>
      <c r="HEV294" s="113"/>
      <c r="HEW294" s="103"/>
      <c r="HEX294" s="113"/>
      <c r="HEY294" s="103"/>
      <c r="HEZ294" s="113"/>
      <c r="HFA294" s="103"/>
      <c r="HFB294" s="113"/>
      <c r="HFC294" s="103"/>
      <c r="HFD294" s="113"/>
      <c r="HFE294" s="103"/>
      <c r="HFF294" s="113"/>
      <c r="HFG294" s="103"/>
      <c r="HFH294" s="113"/>
      <c r="HFI294" s="103"/>
      <c r="HFJ294" s="113"/>
      <c r="HFK294" s="103"/>
      <c r="HFL294" s="113"/>
      <c r="HFM294" s="103"/>
      <c r="HFN294" s="113"/>
      <c r="HFO294" s="103"/>
      <c r="HFP294" s="113"/>
      <c r="HFQ294" s="103"/>
      <c r="HFR294" s="113"/>
      <c r="HFS294" s="103"/>
      <c r="HFT294" s="113"/>
      <c r="HFU294" s="103"/>
      <c r="HFV294" s="113"/>
      <c r="HFW294" s="103"/>
      <c r="HFX294" s="113"/>
      <c r="HFY294" s="103"/>
      <c r="HFZ294" s="113"/>
      <c r="HGA294" s="103"/>
      <c r="HGB294" s="113"/>
      <c r="HGC294" s="103"/>
      <c r="HGD294" s="113"/>
      <c r="HGE294" s="103"/>
      <c r="HGF294" s="113"/>
      <c r="HGG294" s="103"/>
      <c r="HGH294" s="113"/>
      <c r="HGI294" s="103"/>
      <c r="HGJ294" s="113"/>
      <c r="HGK294" s="103"/>
      <c r="HGL294" s="113"/>
      <c r="HGM294" s="103"/>
      <c r="HGN294" s="113"/>
      <c r="HGO294" s="103"/>
      <c r="HGP294" s="113"/>
      <c r="HGQ294" s="103"/>
      <c r="HGR294" s="113"/>
      <c r="HGS294" s="103"/>
      <c r="HGT294" s="113"/>
      <c r="HGU294" s="103"/>
      <c r="HGV294" s="113"/>
      <c r="HGW294" s="103"/>
      <c r="HGX294" s="113"/>
      <c r="HGY294" s="103"/>
      <c r="HGZ294" s="113"/>
      <c r="HHA294" s="103"/>
      <c r="HHB294" s="113"/>
      <c r="HHC294" s="103"/>
      <c r="HHD294" s="113"/>
      <c r="HHE294" s="103"/>
      <c r="HHF294" s="113"/>
      <c r="HHG294" s="103"/>
      <c r="HHH294" s="113"/>
      <c r="HHI294" s="103"/>
      <c r="HHJ294" s="113"/>
      <c r="HHK294" s="103"/>
      <c r="HHL294" s="113"/>
      <c r="HHM294" s="103"/>
      <c r="HHN294" s="113"/>
      <c r="HHO294" s="103"/>
      <c r="HHP294" s="113"/>
      <c r="HHQ294" s="103"/>
      <c r="HHR294" s="113"/>
      <c r="HHS294" s="103"/>
      <c r="HHT294" s="113"/>
      <c r="HHU294" s="103"/>
      <c r="HHV294" s="113"/>
      <c r="HHW294" s="103"/>
      <c r="HHX294" s="113"/>
      <c r="HHY294" s="103"/>
      <c r="HHZ294" s="113"/>
      <c r="HIA294" s="103"/>
      <c r="HIB294" s="113"/>
      <c r="HIC294" s="103"/>
      <c r="HID294" s="113"/>
      <c r="HIE294" s="103"/>
      <c r="HIF294" s="113"/>
      <c r="HIG294" s="103"/>
      <c r="HIH294" s="113"/>
      <c r="HII294" s="103"/>
      <c r="HIJ294" s="113"/>
      <c r="HIK294" s="103"/>
      <c r="HIL294" s="113"/>
      <c r="HIM294" s="103"/>
      <c r="HIN294" s="113"/>
      <c r="HIO294" s="103"/>
      <c r="HIP294" s="113"/>
      <c r="HIQ294" s="103"/>
      <c r="HIR294" s="113"/>
      <c r="HIS294" s="103"/>
      <c r="HIT294" s="113"/>
      <c r="HIU294" s="103"/>
      <c r="HIV294" s="113"/>
      <c r="HIW294" s="103"/>
      <c r="HIX294" s="113"/>
      <c r="HIY294" s="103"/>
      <c r="HIZ294" s="113"/>
      <c r="HJA294" s="103"/>
      <c r="HJB294" s="113"/>
      <c r="HJC294" s="103"/>
      <c r="HJD294" s="113"/>
      <c r="HJE294" s="103"/>
      <c r="HJF294" s="113"/>
      <c r="HJG294" s="103"/>
      <c r="HJH294" s="113"/>
      <c r="HJI294" s="103"/>
      <c r="HJJ294" s="113"/>
      <c r="HJK294" s="103"/>
      <c r="HJL294" s="113"/>
      <c r="HJM294" s="103"/>
      <c r="HJN294" s="113"/>
      <c r="HJO294" s="103"/>
      <c r="HJP294" s="113"/>
      <c r="HJQ294" s="103"/>
      <c r="HJR294" s="113"/>
      <c r="HJS294" s="103"/>
      <c r="HJT294" s="113"/>
      <c r="HJU294" s="103"/>
      <c r="HJV294" s="113"/>
      <c r="HJW294" s="103"/>
      <c r="HJX294" s="113"/>
      <c r="HJY294" s="103"/>
      <c r="HJZ294" s="113"/>
      <c r="HKA294" s="103"/>
      <c r="HKB294" s="113"/>
      <c r="HKC294" s="103"/>
      <c r="HKD294" s="113"/>
      <c r="HKE294" s="103"/>
      <c r="HKF294" s="113"/>
      <c r="HKG294" s="103"/>
      <c r="HKH294" s="113"/>
      <c r="HKI294" s="103"/>
      <c r="HKJ294" s="113"/>
      <c r="HKK294" s="103"/>
      <c r="HKL294" s="113"/>
      <c r="HKM294" s="103"/>
      <c r="HKN294" s="113"/>
      <c r="HKO294" s="103"/>
      <c r="HKP294" s="113"/>
      <c r="HKQ294" s="103"/>
      <c r="HKR294" s="113"/>
      <c r="HKS294" s="103"/>
      <c r="HKT294" s="113"/>
      <c r="HKU294" s="103"/>
      <c r="HKV294" s="113"/>
      <c r="HKW294" s="103"/>
      <c r="HKX294" s="113"/>
      <c r="HKY294" s="103"/>
      <c r="HKZ294" s="113"/>
      <c r="HLA294" s="103"/>
      <c r="HLB294" s="113"/>
      <c r="HLC294" s="103"/>
      <c r="HLD294" s="113"/>
      <c r="HLE294" s="103"/>
      <c r="HLF294" s="113"/>
      <c r="HLG294" s="103"/>
      <c r="HLH294" s="113"/>
      <c r="HLI294" s="103"/>
      <c r="HLJ294" s="113"/>
      <c r="HLK294" s="103"/>
      <c r="HLL294" s="113"/>
      <c r="HLM294" s="103"/>
      <c r="HLN294" s="113"/>
      <c r="HLO294" s="103"/>
      <c r="HLP294" s="113"/>
      <c r="HLQ294" s="103"/>
      <c r="HLR294" s="113"/>
      <c r="HLS294" s="103"/>
      <c r="HLT294" s="113"/>
      <c r="HLU294" s="103"/>
      <c r="HLV294" s="113"/>
      <c r="HLW294" s="103"/>
      <c r="HLX294" s="113"/>
      <c r="HLY294" s="103"/>
      <c r="HLZ294" s="113"/>
      <c r="HMA294" s="103"/>
      <c r="HMB294" s="113"/>
      <c r="HMC294" s="103"/>
      <c r="HMD294" s="113"/>
      <c r="HME294" s="103"/>
      <c r="HMF294" s="113"/>
      <c r="HMG294" s="103"/>
      <c r="HMH294" s="113"/>
      <c r="HMI294" s="103"/>
      <c r="HMJ294" s="113"/>
      <c r="HMK294" s="103"/>
      <c r="HML294" s="113"/>
      <c r="HMM294" s="103"/>
      <c r="HMN294" s="113"/>
      <c r="HMO294" s="103"/>
      <c r="HMP294" s="113"/>
      <c r="HMQ294" s="103"/>
      <c r="HMR294" s="113"/>
      <c r="HMS294" s="103"/>
      <c r="HMT294" s="113"/>
      <c r="HMU294" s="103"/>
      <c r="HMV294" s="113"/>
      <c r="HMW294" s="103"/>
      <c r="HMX294" s="113"/>
      <c r="HMY294" s="103"/>
      <c r="HMZ294" s="113"/>
      <c r="HNA294" s="103"/>
      <c r="HNB294" s="113"/>
      <c r="HNC294" s="103"/>
      <c r="HND294" s="113"/>
      <c r="HNE294" s="103"/>
      <c r="HNF294" s="113"/>
      <c r="HNG294" s="103"/>
      <c r="HNH294" s="113"/>
      <c r="HNI294" s="103"/>
      <c r="HNJ294" s="113"/>
      <c r="HNK294" s="103"/>
      <c r="HNL294" s="113"/>
      <c r="HNM294" s="103"/>
      <c r="HNN294" s="113"/>
      <c r="HNO294" s="103"/>
      <c r="HNP294" s="113"/>
      <c r="HNQ294" s="103"/>
      <c r="HNR294" s="113"/>
      <c r="HNS294" s="103"/>
      <c r="HNT294" s="113"/>
      <c r="HNU294" s="103"/>
      <c r="HNV294" s="113"/>
      <c r="HNW294" s="103"/>
      <c r="HNX294" s="113"/>
      <c r="HNY294" s="103"/>
      <c r="HNZ294" s="113"/>
      <c r="HOA294" s="103"/>
      <c r="HOB294" s="113"/>
      <c r="HOC294" s="103"/>
      <c r="HOD294" s="113"/>
      <c r="HOE294" s="103"/>
      <c r="HOF294" s="113"/>
      <c r="HOG294" s="103"/>
      <c r="HOH294" s="113"/>
      <c r="HOI294" s="103"/>
      <c r="HOJ294" s="113"/>
      <c r="HOK294" s="103"/>
      <c r="HOL294" s="113"/>
      <c r="HOM294" s="103"/>
      <c r="HON294" s="113"/>
      <c r="HOO294" s="103"/>
      <c r="HOP294" s="113"/>
      <c r="HOQ294" s="103"/>
      <c r="HOR294" s="113"/>
      <c r="HOS294" s="103"/>
      <c r="HOT294" s="113"/>
      <c r="HOU294" s="103"/>
      <c r="HOV294" s="113"/>
      <c r="HOW294" s="103"/>
      <c r="HOX294" s="113"/>
      <c r="HOY294" s="103"/>
      <c r="HOZ294" s="113"/>
      <c r="HPA294" s="103"/>
      <c r="HPB294" s="113"/>
      <c r="HPC294" s="103"/>
      <c r="HPD294" s="113"/>
      <c r="HPE294" s="103"/>
      <c r="HPF294" s="113"/>
      <c r="HPG294" s="103"/>
      <c r="HPH294" s="113"/>
      <c r="HPI294" s="103"/>
      <c r="HPJ294" s="113"/>
      <c r="HPK294" s="103"/>
      <c r="HPL294" s="113"/>
      <c r="HPM294" s="103"/>
      <c r="HPN294" s="113"/>
      <c r="HPO294" s="103"/>
      <c r="HPP294" s="113"/>
      <c r="HPQ294" s="103"/>
      <c r="HPR294" s="113"/>
      <c r="HPS294" s="103"/>
      <c r="HPT294" s="113"/>
      <c r="HPU294" s="103"/>
      <c r="HPV294" s="113"/>
      <c r="HPW294" s="103"/>
      <c r="HPX294" s="113"/>
      <c r="HPY294" s="103"/>
      <c r="HPZ294" s="113"/>
      <c r="HQA294" s="103"/>
      <c r="HQB294" s="113"/>
      <c r="HQC294" s="103"/>
      <c r="HQD294" s="113"/>
      <c r="HQE294" s="103"/>
      <c r="HQF294" s="113"/>
      <c r="HQG294" s="103"/>
      <c r="HQH294" s="113"/>
      <c r="HQI294" s="103"/>
      <c r="HQJ294" s="113"/>
      <c r="HQK294" s="103"/>
      <c r="HQL294" s="113"/>
      <c r="HQM294" s="103"/>
      <c r="HQN294" s="113"/>
      <c r="HQO294" s="103"/>
      <c r="HQP294" s="113"/>
      <c r="HQQ294" s="103"/>
      <c r="HQR294" s="113"/>
      <c r="HQS294" s="103"/>
      <c r="HQT294" s="113"/>
      <c r="HQU294" s="103"/>
      <c r="HQV294" s="113"/>
      <c r="HQW294" s="103"/>
      <c r="HQX294" s="113"/>
      <c r="HQY294" s="103"/>
      <c r="HQZ294" s="113"/>
      <c r="HRA294" s="103"/>
      <c r="HRB294" s="113"/>
      <c r="HRC294" s="103"/>
      <c r="HRD294" s="113"/>
      <c r="HRE294" s="103"/>
      <c r="HRF294" s="113"/>
      <c r="HRG294" s="103"/>
      <c r="HRH294" s="113"/>
      <c r="HRI294" s="103"/>
      <c r="HRJ294" s="113"/>
      <c r="HRK294" s="103"/>
      <c r="HRL294" s="113"/>
      <c r="HRM294" s="103"/>
      <c r="HRN294" s="113"/>
      <c r="HRO294" s="103"/>
      <c r="HRP294" s="113"/>
      <c r="HRQ294" s="103"/>
      <c r="HRR294" s="113"/>
      <c r="HRS294" s="103"/>
      <c r="HRT294" s="113"/>
      <c r="HRU294" s="103"/>
      <c r="HRV294" s="113"/>
      <c r="HRW294" s="103"/>
      <c r="HRX294" s="113"/>
      <c r="HRY294" s="103"/>
      <c r="HRZ294" s="113"/>
      <c r="HSA294" s="103"/>
      <c r="HSB294" s="113"/>
      <c r="HSC294" s="103"/>
      <c r="HSD294" s="113"/>
      <c r="HSE294" s="103"/>
      <c r="HSF294" s="113"/>
      <c r="HSG294" s="103"/>
      <c r="HSH294" s="113"/>
      <c r="HSI294" s="103"/>
      <c r="HSJ294" s="113"/>
      <c r="HSK294" s="103"/>
      <c r="HSL294" s="113"/>
      <c r="HSM294" s="103"/>
      <c r="HSN294" s="113"/>
      <c r="HSO294" s="103"/>
      <c r="HSP294" s="113"/>
      <c r="HSQ294" s="103"/>
      <c r="HSR294" s="113"/>
      <c r="HSS294" s="103"/>
      <c r="HST294" s="113"/>
      <c r="HSU294" s="103"/>
      <c r="HSV294" s="113"/>
      <c r="HSW294" s="103"/>
      <c r="HSX294" s="113"/>
      <c r="HSY294" s="103"/>
      <c r="HSZ294" s="113"/>
      <c r="HTA294" s="103"/>
      <c r="HTB294" s="113"/>
      <c r="HTC294" s="103"/>
      <c r="HTD294" s="113"/>
      <c r="HTE294" s="103"/>
      <c r="HTF294" s="113"/>
      <c r="HTG294" s="103"/>
      <c r="HTH294" s="113"/>
      <c r="HTI294" s="103"/>
      <c r="HTJ294" s="113"/>
      <c r="HTK294" s="103"/>
      <c r="HTL294" s="113"/>
      <c r="HTM294" s="103"/>
      <c r="HTN294" s="113"/>
      <c r="HTO294" s="103"/>
      <c r="HTP294" s="113"/>
      <c r="HTQ294" s="103"/>
      <c r="HTR294" s="113"/>
      <c r="HTS294" s="103"/>
      <c r="HTT294" s="113"/>
      <c r="HTU294" s="103"/>
      <c r="HTV294" s="113"/>
      <c r="HTW294" s="103"/>
      <c r="HTX294" s="113"/>
      <c r="HTY294" s="103"/>
      <c r="HTZ294" s="113"/>
      <c r="HUA294" s="103"/>
      <c r="HUB294" s="113"/>
      <c r="HUC294" s="103"/>
      <c r="HUD294" s="113"/>
      <c r="HUE294" s="103"/>
      <c r="HUF294" s="113"/>
      <c r="HUG294" s="103"/>
      <c r="HUH294" s="113"/>
      <c r="HUI294" s="103"/>
      <c r="HUJ294" s="113"/>
      <c r="HUK294" s="103"/>
      <c r="HUL294" s="113"/>
      <c r="HUM294" s="103"/>
      <c r="HUN294" s="113"/>
      <c r="HUO294" s="103"/>
      <c r="HUP294" s="113"/>
      <c r="HUQ294" s="103"/>
      <c r="HUR294" s="113"/>
      <c r="HUS294" s="103"/>
      <c r="HUT294" s="113"/>
      <c r="HUU294" s="103"/>
      <c r="HUV294" s="113"/>
      <c r="HUW294" s="103"/>
      <c r="HUX294" s="113"/>
      <c r="HUY294" s="103"/>
      <c r="HUZ294" s="113"/>
      <c r="HVA294" s="103"/>
      <c r="HVB294" s="113"/>
      <c r="HVC294" s="103"/>
      <c r="HVD294" s="113"/>
      <c r="HVE294" s="103"/>
      <c r="HVF294" s="113"/>
      <c r="HVG294" s="103"/>
      <c r="HVH294" s="113"/>
      <c r="HVI294" s="103"/>
      <c r="HVJ294" s="113"/>
      <c r="HVK294" s="103"/>
      <c r="HVL294" s="113"/>
      <c r="HVM294" s="103"/>
      <c r="HVN294" s="113"/>
      <c r="HVO294" s="103"/>
      <c r="HVP294" s="113"/>
      <c r="HVQ294" s="103"/>
      <c r="HVR294" s="113"/>
      <c r="HVS294" s="103"/>
      <c r="HVT294" s="113"/>
      <c r="HVU294" s="103"/>
      <c r="HVV294" s="113"/>
      <c r="HVW294" s="103"/>
      <c r="HVX294" s="113"/>
      <c r="HVY294" s="103"/>
      <c r="HVZ294" s="113"/>
      <c r="HWA294" s="103"/>
      <c r="HWB294" s="113"/>
      <c r="HWC294" s="103"/>
      <c r="HWD294" s="113"/>
      <c r="HWE294" s="103"/>
      <c r="HWF294" s="113"/>
      <c r="HWG294" s="103"/>
      <c r="HWH294" s="113"/>
      <c r="HWI294" s="103"/>
      <c r="HWJ294" s="113"/>
      <c r="HWK294" s="103"/>
      <c r="HWL294" s="113"/>
      <c r="HWM294" s="103"/>
      <c r="HWN294" s="113"/>
      <c r="HWO294" s="103"/>
      <c r="HWP294" s="113"/>
      <c r="HWQ294" s="103"/>
      <c r="HWR294" s="113"/>
      <c r="HWS294" s="103"/>
      <c r="HWT294" s="113"/>
      <c r="HWU294" s="103"/>
      <c r="HWV294" s="113"/>
      <c r="HWW294" s="103"/>
      <c r="HWX294" s="113"/>
      <c r="HWY294" s="103"/>
      <c r="HWZ294" s="113"/>
      <c r="HXA294" s="103"/>
      <c r="HXB294" s="113"/>
      <c r="HXC294" s="103"/>
      <c r="HXD294" s="113"/>
      <c r="HXE294" s="103"/>
      <c r="HXF294" s="113"/>
      <c r="HXG294" s="103"/>
      <c r="HXH294" s="113"/>
      <c r="HXI294" s="103"/>
      <c r="HXJ294" s="113"/>
      <c r="HXK294" s="103"/>
      <c r="HXL294" s="113"/>
      <c r="HXM294" s="103"/>
      <c r="HXN294" s="113"/>
      <c r="HXO294" s="103"/>
      <c r="HXP294" s="113"/>
      <c r="HXQ294" s="103"/>
      <c r="HXR294" s="113"/>
      <c r="HXS294" s="103"/>
      <c r="HXT294" s="113"/>
      <c r="HXU294" s="103"/>
      <c r="HXV294" s="113"/>
      <c r="HXW294" s="103"/>
      <c r="HXX294" s="113"/>
      <c r="HXY294" s="103"/>
      <c r="HXZ294" s="113"/>
      <c r="HYA294" s="103"/>
      <c r="HYB294" s="113"/>
      <c r="HYC294" s="103"/>
      <c r="HYD294" s="113"/>
      <c r="HYE294" s="103"/>
      <c r="HYF294" s="113"/>
      <c r="HYG294" s="103"/>
      <c r="HYH294" s="113"/>
      <c r="HYI294" s="103"/>
      <c r="HYJ294" s="113"/>
      <c r="HYK294" s="103"/>
      <c r="HYL294" s="113"/>
      <c r="HYM294" s="103"/>
      <c r="HYN294" s="113"/>
      <c r="HYO294" s="103"/>
      <c r="HYP294" s="113"/>
      <c r="HYQ294" s="103"/>
      <c r="HYR294" s="113"/>
      <c r="HYS294" s="103"/>
      <c r="HYT294" s="113"/>
      <c r="HYU294" s="103"/>
      <c r="HYV294" s="113"/>
      <c r="HYW294" s="103"/>
      <c r="HYX294" s="113"/>
      <c r="HYY294" s="103"/>
      <c r="HYZ294" s="113"/>
      <c r="HZA294" s="103"/>
      <c r="HZB294" s="113"/>
      <c r="HZC294" s="103"/>
      <c r="HZD294" s="113"/>
      <c r="HZE294" s="103"/>
      <c r="HZF294" s="113"/>
      <c r="HZG294" s="103"/>
      <c r="HZH294" s="113"/>
      <c r="HZI294" s="103"/>
      <c r="HZJ294" s="113"/>
      <c r="HZK294" s="103"/>
      <c r="HZL294" s="113"/>
      <c r="HZM294" s="103"/>
      <c r="HZN294" s="113"/>
      <c r="HZO294" s="103"/>
      <c r="HZP294" s="113"/>
      <c r="HZQ294" s="103"/>
      <c r="HZR294" s="113"/>
      <c r="HZS294" s="103"/>
      <c r="HZT294" s="113"/>
      <c r="HZU294" s="103"/>
      <c r="HZV294" s="113"/>
      <c r="HZW294" s="103"/>
      <c r="HZX294" s="113"/>
      <c r="HZY294" s="103"/>
      <c r="HZZ294" s="113"/>
      <c r="IAA294" s="103"/>
      <c r="IAB294" s="113"/>
      <c r="IAC294" s="103"/>
      <c r="IAD294" s="113"/>
      <c r="IAE294" s="103"/>
      <c r="IAF294" s="113"/>
      <c r="IAG294" s="103"/>
      <c r="IAH294" s="113"/>
      <c r="IAI294" s="103"/>
      <c r="IAJ294" s="113"/>
      <c r="IAK294" s="103"/>
      <c r="IAL294" s="113"/>
      <c r="IAM294" s="103"/>
      <c r="IAN294" s="113"/>
      <c r="IAO294" s="103"/>
      <c r="IAP294" s="113"/>
      <c r="IAQ294" s="103"/>
      <c r="IAR294" s="113"/>
      <c r="IAS294" s="103"/>
      <c r="IAT294" s="113"/>
      <c r="IAU294" s="103"/>
      <c r="IAV294" s="113"/>
      <c r="IAW294" s="103"/>
      <c r="IAX294" s="113"/>
      <c r="IAY294" s="103"/>
      <c r="IAZ294" s="113"/>
      <c r="IBA294" s="103"/>
      <c r="IBB294" s="113"/>
      <c r="IBC294" s="103"/>
      <c r="IBD294" s="113"/>
      <c r="IBE294" s="103"/>
      <c r="IBF294" s="113"/>
      <c r="IBG294" s="103"/>
      <c r="IBH294" s="113"/>
      <c r="IBI294" s="103"/>
      <c r="IBJ294" s="113"/>
      <c r="IBK294" s="103"/>
      <c r="IBL294" s="113"/>
      <c r="IBM294" s="103"/>
      <c r="IBN294" s="113"/>
      <c r="IBO294" s="103"/>
      <c r="IBP294" s="113"/>
      <c r="IBQ294" s="103"/>
      <c r="IBR294" s="113"/>
      <c r="IBS294" s="103"/>
      <c r="IBT294" s="113"/>
      <c r="IBU294" s="103"/>
      <c r="IBV294" s="113"/>
      <c r="IBW294" s="103"/>
      <c r="IBX294" s="113"/>
      <c r="IBY294" s="103"/>
      <c r="IBZ294" s="113"/>
      <c r="ICA294" s="103"/>
      <c r="ICB294" s="113"/>
      <c r="ICC294" s="103"/>
      <c r="ICD294" s="113"/>
      <c r="ICE294" s="103"/>
      <c r="ICF294" s="113"/>
      <c r="ICG294" s="103"/>
      <c r="ICH294" s="113"/>
      <c r="ICI294" s="103"/>
      <c r="ICJ294" s="113"/>
      <c r="ICK294" s="103"/>
      <c r="ICL294" s="113"/>
      <c r="ICM294" s="103"/>
      <c r="ICN294" s="113"/>
      <c r="ICO294" s="103"/>
      <c r="ICP294" s="113"/>
      <c r="ICQ294" s="103"/>
      <c r="ICR294" s="113"/>
      <c r="ICS294" s="103"/>
      <c r="ICT294" s="113"/>
      <c r="ICU294" s="103"/>
      <c r="ICV294" s="113"/>
      <c r="ICW294" s="103"/>
      <c r="ICX294" s="113"/>
      <c r="ICY294" s="103"/>
      <c r="ICZ294" s="113"/>
      <c r="IDA294" s="103"/>
      <c r="IDB294" s="113"/>
      <c r="IDC294" s="103"/>
      <c r="IDD294" s="113"/>
      <c r="IDE294" s="103"/>
      <c r="IDF294" s="113"/>
      <c r="IDG294" s="103"/>
      <c r="IDH294" s="113"/>
      <c r="IDI294" s="103"/>
      <c r="IDJ294" s="113"/>
      <c r="IDK294" s="103"/>
      <c r="IDL294" s="113"/>
      <c r="IDM294" s="103"/>
      <c r="IDN294" s="113"/>
      <c r="IDO294" s="103"/>
      <c r="IDP294" s="113"/>
      <c r="IDQ294" s="103"/>
      <c r="IDR294" s="113"/>
      <c r="IDS294" s="103"/>
      <c r="IDT294" s="113"/>
      <c r="IDU294" s="103"/>
      <c r="IDV294" s="113"/>
      <c r="IDW294" s="103"/>
      <c r="IDX294" s="113"/>
      <c r="IDY294" s="103"/>
      <c r="IDZ294" s="113"/>
      <c r="IEA294" s="103"/>
      <c r="IEB294" s="113"/>
      <c r="IEC294" s="103"/>
      <c r="IED294" s="113"/>
      <c r="IEE294" s="103"/>
      <c r="IEF294" s="113"/>
      <c r="IEG294" s="103"/>
      <c r="IEH294" s="113"/>
      <c r="IEI294" s="103"/>
      <c r="IEJ294" s="113"/>
      <c r="IEK294" s="103"/>
      <c r="IEL294" s="113"/>
      <c r="IEM294" s="103"/>
      <c r="IEN294" s="113"/>
      <c r="IEO294" s="103"/>
      <c r="IEP294" s="113"/>
      <c r="IEQ294" s="103"/>
      <c r="IER294" s="113"/>
      <c r="IES294" s="103"/>
      <c r="IET294" s="113"/>
      <c r="IEU294" s="103"/>
      <c r="IEV294" s="113"/>
      <c r="IEW294" s="103"/>
      <c r="IEX294" s="113"/>
      <c r="IEY294" s="103"/>
      <c r="IEZ294" s="113"/>
      <c r="IFA294" s="103"/>
      <c r="IFB294" s="113"/>
      <c r="IFC294" s="103"/>
      <c r="IFD294" s="113"/>
      <c r="IFE294" s="103"/>
      <c r="IFF294" s="113"/>
      <c r="IFG294" s="103"/>
      <c r="IFH294" s="113"/>
      <c r="IFI294" s="103"/>
      <c r="IFJ294" s="113"/>
      <c r="IFK294" s="103"/>
      <c r="IFL294" s="113"/>
      <c r="IFM294" s="103"/>
      <c r="IFN294" s="113"/>
      <c r="IFO294" s="103"/>
      <c r="IFP294" s="113"/>
      <c r="IFQ294" s="103"/>
      <c r="IFR294" s="113"/>
      <c r="IFS294" s="103"/>
      <c r="IFT294" s="113"/>
      <c r="IFU294" s="103"/>
      <c r="IFV294" s="113"/>
      <c r="IFW294" s="103"/>
      <c r="IFX294" s="113"/>
      <c r="IFY294" s="103"/>
      <c r="IFZ294" s="113"/>
      <c r="IGA294" s="103"/>
      <c r="IGB294" s="113"/>
      <c r="IGC294" s="103"/>
      <c r="IGD294" s="113"/>
      <c r="IGE294" s="103"/>
      <c r="IGF294" s="113"/>
      <c r="IGG294" s="103"/>
      <c r="IGH294" s="113"/>
      <c r="IGI294" s="103"/>
      <c r="IGJ294" s="113"/>
      <c r="IGK294" s="103"/>
      <c r="IGL294" s="113"/>
      <c r="IGM294" s="103"/>
      <c r="IGN294" s="113"/>
      <c r="IGO294" s="103"/>
      <c r="IGP294" s="113"/>
      <c r="IGQ294" s="103"/>
      <c r="IGR294" s="113"/>
      <c r="IGS294" s="103"/>
      <c r="IGT294" s="113"/>
      <c r="IGU294" s="103"/>
      <c r="IGV294" s="113"/>
      <c r="IGW294" s="103"/>
      <c r="IGX294" s="113"/>
      <c r="IGY294" s="103"/>
      <c r="IGZ294" s="113"/>
      <c r="IHA294" s="103"/>
      <c r="IHB294" s="113"/>
      <c r="IHC294" s="103"/>
      <c r="IHD294" s="113"/>
      <c r="IHE294" s="103"/>
      <c r="IHF294" s="113"/>
      <c r="IHG294" s="103"/>
      <c r="IHH294" s="113"/>
      <c r="IHI294" s="103"/>
      <c r="IHJ294" s="113"/>
      <c r="IHK294" s="103"/>
      <c r="IHL294" s="113"/>
      <c r="IHM294" s="103"/>
      <c r="IHN294" s="113"/>
      <c r="IHO294" s="103"/>
      <c r="IHP294" s="113"/>
      <c r="IHQ294" s="103"/>
      <c r="IHR294" s="113"/>
      <c r="IHS294" s="103"/>
      <c r="IHT294" s="113"/>
      <c r="IHU294" s="103"/>
      <c r="IHV294" s="113"/>
      <c r="IHW294" s="103"/>
      <c r="IHX294" s="113"/>
      <c r="IHY294" s="103"/>
      <c r="IHZ294" s="113"/>
      <c r="IIA294" s="103"/>
      <c r="IIB294" s="113"/>
      <c r="IIC294" s="103"/>
      <c r="IID294" s="113"/>
      <c r="IIE294" s="103"/>
      <c r="IIF294" s="113"/>
      <c r="IIG294" s="103"/>
      <c r="IIH294" s="113"/>
      <c r="III294" s="103"/>
      <c r="IIJ294" s="113"/>
      <c r="IIK294" s="103"/>
      <c r="IIL294" s="113"/>
      <c r="IIM294" s="103"/>
      <c r="IIN294" s="113"/>
      <c r="IIO294" s="103"/>
      <c r="IIP294" s="113"/>
      <c r="IIQ294" s="103"/>
      <c r="IIR294" s="113"/>
      <c r="IIS294" s="103"/>
      <c r="IIT294" s="113"/>
      <c r="IIU294" s="103"/>
      <c r="IIV294" s="113"/>
      <c r="IIW294" s="103"/>
      <c r="IIX294" s="113"/>
      <c r="IIY294" s="103"/>
      <c r="IIZ294" s="113"/>
      <c r="IJA294" s="103"/>
      <c r="IJB294" s="113"/>
      <c r="IJC294" s="103"/>
      <c r="IJD294" s="113"/>
      <c r="IJE294" s="103"/>
      <c r="IJF294" s="113"/>
      <c r="IJG294" s="103"/>
      <c r="IJH294" s="113"/>
      <c r="IJI294" s="103"/>
      <c r="IJJ294" s="113"/>
      <c r="IJK294" s="103"/>
      <c r="IJL294" s="113"/>
      <c r="IJM294" s="103"/>
      <c r="IJN294" s="113"/>
      <c r="IJO294" s="103"/>
      <c r="IJP294" s="113"/>
      <c r="IJQ294" s="103"/>
      <c r="IJR294" s="113"/>
      <c r="IJS294" s="103"/>
      <c r="IJT294" s="113"/>
      <c r="IJU294" s="103"/>
      <c r="IJV294" s="113"/>
      <c r="IJW294" s="103"/>
      <c r="IJX294" s="113"/>
      <c r="IJY294" s="103"/>
      <c r="IJZ294" s="113"/>
      <c r="IKA294" s="103"/>
      <c r="IKB294" s="113"/>
      <c r="IKC294" s="103"/>
      <c r="IKD294" s="113"/>
      <c r="IKE294" s="103"/>
      <c r="IKF294" s="113"/>
      <c r="IKG294" s="103"/>
      <c r="IKH294" s="113"/>
      <c r="IKI294" s="103"/>
      <c r="IKJ294" s="113"/>
      <c r="IKK294" s="103"/>
      <c r="IKL294" s="113"/>
      <c r="IKM294" s="103"/>
      <c r="IKN294" s="113"/>
      <c r="IKO294" s="103"/>
      <c r="IKP294" s="113"/>
      <c r="IKQ294" s="103"/>
      <c r="IKR294" s="113"/>
      <c r="IKS294" s="103"/>
      <c r="IKT294" s="113"/>
      <c r="IKU294" s="103"/>
      <c r="IKV294" s="113"/>
      <c r="IKW294" s="103"/>
      <c r="IKX294" s="113"/>
      <c r="IKY294" s="103"/>
      <c r="IKZ294" s="113"/>
      <c r="ILA294" s="103"/>
      <c r="ILB294" s="113"/>
      <c r="ILC294" s="103"/>
      <c r="ILD294" s="113"/>
      <c r="ILE294" s="103"/>
      <c r="ILF294" s="113"/>
      <c r="ILG294" s="103"/>
      <c r="ILH294" s="113"/>
      <c r="ILI294" s="103"/>
      <c r="ILJ294" s="113"/>
      <c r="ILK294" s="103"/>
      <c r="ILL294" s="113"/>
      <c r="ILM294" s="103"/>
      <c r="ILN294" s="113"/>
      <c r="ILO294" s="103"/>
      <c r="ILP294" s="113"/>
      <c r="ILQ294" s="103"/>
      <c r="ILR294" s="113"/>
      <c r="ILS294" s="103"/>
      <c r="ILT294" s="113"/>
      <c r="ILU294" s="103"/>
      <c r="ILV294" s="113"/>
      <c r="ILW294" s="103"/>
      <c r="ILX294" s="113"/>
      <c r="ILY294" s="103"/>
      <c r="ILZ294" s="113"/>
      <c r="IMA294" s="103"/>
      <c r="IMB294" s="113"/>
      <c r="IMC294" s="103"/>
      <c r="IMD294" s="113"/>
      <c r="IME294" s="103"/>
      <c r="IMF294" s="113"/>
      <c r="IMG294" s="103"/>
      <c r="IMH294" s="113"/>
      <c r="IMI294" s="103"/>
      <c r="IMJ294" s="113"/>
      <c r="IMK294" s="103"/>
      <c r="IML294" s="113"/>
      <c r="IMM294" s="103"/>
      <c r="IMN294" s="113"/>
      <c r="IMO294" s="103"/>
      <c r="IMP294" s="113"/>
      <c r="IMQ294" s="103"/>
      <c r="IMR294" s="113"/>
      <c r="IMS294" s="103"/>
      <c r="IMT294" s="113"/>
      <c r="IMU294" s="103"/>
      <c r="IMV294" s="113"/>
      <c r="IMW294" s="103"/>
      <c r="IMX294" s="113"/>
      <c r="IMY294" s="103"/>
      <c r="IMZ294" s="113"/>
      <c r="INA294" s="103"/>
      <c r="INB294" s="113"/>
      <c r="INC294" s="103"/>
      <c r="IND294" s="113"/>
      <c r="INE294" s="103"/>
      <c r="INF294" s="113"/>
      <c r="ING294" s="103"/>
      <c r="INH294" s="113"/>
      <c r="INI294" s="103"/>
      <c r="INJ294" s="113"/>
      <c r="INK294" s="103"/>
      <c r="INL294" s="113"/>
      <c r="INM294" s="103"/>
      <c r="INN294" s="113"/>
      <c r="INO294" s="103"/>
      <c r="INP294" s="113"/>
      <c r="INQ294" s="103"/>
      <c r="INR294" s="113"/>
      <c r="INS294" s="103"/>
      <c r="INT294" s="113"/>
      <c r="INU294" s="103"/>
      <c r="INV294" s="113"/>
      <c r="INW294" s="103"/>
      <c r="INX294" s="113"/>
      <c r="INY294" s="103"/>
      <c r="INZ294" s="113"/>
      <c r="IOA294" s="103"/>
      <c r="IOB294" s="113"/>
      <c r="IOC294" s="103"/>
      <c r="IOD294" s="113"/>
      <c r="IOE294" s="103"/>
      <c r="IOF294" s="113"/>
      <c r="IOG294" s="103"/>
      <c r="IOH294" s="113"/>
      <c r="IOI294" s="103"/>
      <c r="IOJ294" s="113"/>
      <c r="IOK294" s="103"/>
      <c r="IOL294" s="113"/>
      <c r="IOM294" s="103"/>
      <c r="ION294" s="113"/>
      <c r="IOO294" s="103"/>
      <c r="IOP294" s="113"/>
      <c r="IOQ294" s="103"/>
      <c r="IOR294" s="113"/>
      <c r="IOS294" s="103"/>
      <c r="IOT294" s="113"/>
      <c r="IOU294" s="103"/>
      <c r="IOV294" s="113"/>
      <c r="IOW294" s="103"/>
      <c r="IOX294" s="113"/>
      <c r="IOY294" s="103"/>
      <c r="IOZ294" s="113"/>
      <c r="IPA294" s="103"/>
      <c r="IPB294" s="113"/>
      <c r="IPC294" s="103"/>
      <c r="IPD294" s="113"/>
      <c r="IPE294" s="103"/>
      <c r="IPF294" s="113"/>
      <c r="IPG294" s="103"/>
      <c r="IPH294" s="113"/>
      <c r="IPI294" s="103"/>
      <c r="IPJ294" s="113"/>
      <c r="IPK294" s="103"/>
      <c r="IPL294" s="113"/>
      <c r="IPM294" s="103"/>
      <c r="IPN294" s="113"/>
      <c r="IPO294" s="103"/>
      <c r="IPP294" s="113"/>
      <c r="IPQ294" s="103"/>
      <c r="IPR294" s="113"/>
      <c r="IPS294" s="103"/>
      <c r="IPT294" s="113"/>
      <c r="IPU294" s="103"/>
      <c r="IPV294" s="113"/>
      <c r="IPW294" s="103"/>
      <c r="IPX294" s="113"/>
      <c r="IPY294" s="103"/>
      <c r="IPZ294" s="113"/>
      <c r="IQA294" s="103"/>
      <c r="IQB294" s="113"/>
      <c r="IQC294" s="103"/>
      <c r="IQD294" s="113"/>
      <c r="IQE294" s="103"/>
      <c r="IQF294" s="113"/>
      <c r="IQG294" s="103"/>
      <c r="IQH294" s="113"/>
      <c r="IQI294" s="103"/>
      <c r="IQJ294" s="113"/>
      <c r="IQK294" s="103"/>
      <c r="IQL294" s="113"/>
      <c r="IQM294" s="103"/>
      <c r="IQN294" s="113"/>
      <c r="IQO294" s="103"/>
      <c r="IQP294" s="113"/>
      <c r="IQQ294" s="103"/>
      <c r="IQR294" s="113"/>
      <c r="IQS294" s="103"/>
      <c r="IQT294" s="113"/>
      <c r="IQU294" s="103"/>
      <c r="IQV294" s="113"/>
      <c r="IQW294" s="103"/>
      <c r="IQX294" s="113"/>
      <c r="IQY294" s="103"/>
      <c r="IQZ294" s="113"/>
      <c r="IRA294" s="103"/>
      <c r="IRB294" s="113"/>
      <c r="IRC294" s="103"/>
      <c r="IRD294" s="113"/>
      <c r="IRE294" s="103"/>
      <c r="IRF294" s="113"/>
      <c r="IRG294" s="103"/>
      <c r="IRH294" s="113"/>
      <c r="IRI294" s="103"/>
      <c r="IRJ294" s="113"/>
      <c r="IRK294" s="103"/>
      <c r="IRL294" s="113"/>
      <c r="IRM294" s="103"/>
      <c r="IRN294" s="113"/>
      <c r="IRO294" s="103"/>
      <c r="IRP294" s="113"/>
      <c r="IRQ294" s="103"/>
      <c r="IRR294" s="113"/>
      <c r="IRS294" s="103"/>
      <c r="IRT294" s="113"/>
      <c r="IRU294" s="103"/>
      <c r="IRV294" s="113"/>
      <c r="IRW294" s="103"/>
      <c r="IRX294" s="113"/>
      <c r="IRY294" s="103"/>
      <c r="IRZ294" s="113"/>
      <c r="ISA294" s="103"/>
      <c r="ISB294" s="113"/>
      <c r="ISC294" s="103"/>
      <c r="ISD294" s="113"/>
      <c r="ISE294" s="103"/>
      <c r="ISF294" s="113"/>
      <c r="ISG294" s="103"/>
      <c r="ISH294" s="113"/>
      <c r="ISI294" s="103"/>
      <c r="ISJ294" s="113"/>
      <c r="ISK294" s="103"/>
      <c r="ISL294" s="113"/>
      <c r="ISM294" s="103"/>
      <c r="ISN294" s="113"/>
      <c r="ISO294" s="103"/>
      <c r="ISP294" s="113"/>
      <c r="ISQ294" s="103"/>
      <c r="ISR294" s="113"/>
      <c r="ISS294" s="103"/>
      <c r="IST294" s="113"/>
      <c r="ISU294" s="103"/>
      <c r="ISV294" s="113"/>
      <c r="ISW294" s="103"/>
      <c r="ISX294" s="113"/>
      <c r="ISY294" s="103"/>
      <c r="ISZ294" s="113"/>
      <c r="ITA294" s="103"/>
      <c r="ITB294" s="113"/>
      <c r="ITC294" s="103"/>
      <c r="ITD294" s="113"/>
      <c r="ITE294" s="103"/>
      <c r="ITF294" s="113"/>
      <c r="ITG294" s="103"/>
      <c r="ITH294" s="113"/>
      <c r="ITI294" s="103"/>
      <c r="ITJ294" s="113"/>
      <c r="ITK294" s="103"/>
      <c r="ITL294" s="113"/>
      <c r="ITM294" s="103"/>
      <c r="ITN294" s="113"/>
      <c r="ITO294" s="103"/>
      <c r="ITP294" s="113"/>
      <c r="ITQ294" s="103"/>
      <c r="ITR294" s="113"/>
      <c r="ITS294" s="103"/>
      <c r="ITT294" s="113"/>
      <c r="ITU294" s="103"/>
      <c r="ITV294" s="113"/>
      <c r="ITW294" s="103"/>
      <c r="ITX294" s="113"/>
      <c r="ITY294" s="103"/>
      <c r="ITZ294" s="113"/>
      <c r="IUA294" s="103"/>
      <c r="IUB294" s="113"/>
      <c r="IUC294" s="103"/>
      <c r="IUD294" s="113"/>
      <c r="IUE294" s="103"/>
      <c r="IUF294" s="113"/>
      <c r="IUG294" s="103"/>
      <c r="IUH294" s="113"/>
      <c r="IUI294" s="103"/>
      <c r="IUJ294" s="113"/>
      <c r="IUK294" s="103"/>
      <c r="IUL294" s="113"/>
      <c r="IUM294" s="103"/>
      <c r="IUN294" s="113"/>
      <c r="IUO294" s="103"/>
      <c r="IUP294" s="113"/>
      <c r="IUQ294" s="103"/>
      <c r="IUR294" s="113"/>
      <c r="IUS294" s="103"/>
      <c r="IUT294" s="113"/>
      <c r="IUU294" s="103"/>
      <c r="IUV294" s="113"/>
      <c r="IUW294" s="103"/>
      <c r="IUX294" s="113"/>
      <c r="IUY294" s="103"/>
      <c r="IUZ294" s="113"/>
      <c r="IVA294" s="103"/>
      <c r="IVB294" s="113"/>
      <c r="IVC294" s="103"/>
      <c r="IVD294" s="113"/>
      <c r="IVE294" s="103"/>
      <c r="IVF294" s="113"/>
      <c r="IVG294" s="103"/>
      <c r="IVH294" s="113"/>
      <c r="IVI294" s="103"/>
      <c r="IVJ294" s="113"/>
      <c r="IVK294" s="103"/>
      <c r="IVL294" s="113"/>
      <c r="IVM294" s="103"/>
      <c r="IVN294" s="113"/>
      <c r="IVO294" s="103"/>
      <c r="IVP294" s="113"/>
      <c r="IVQ294" s="103"/>
      <c r="IVR294" s="113"/>
      <c r="IVS294" s="103"/>
      <c r="IVT294" s="113"/>
      <c r="IVU294" s="103"/>
      <c r="IVV294" s="113"/>
      <c r="IVW294" s="103"/>
      <c r="IVX294" s="113"/>
      <c r="IVY294" s="103"/>
      <c r="IVZ294" s="113"/>
      <c r="IWA294" s="103"/>
      <c r="IWB294" s="113"/>
      <c r="IWC294" s="103"/>
      <c r="IWD294" s="113"/>
      <c r="IWE294" s="103"/>
      <c r="IWF294" s="113"/>
      <c r="IWG294" s="103"/>
      <c r="IWH294" s="113"/>
      <c r="IWI294" s="103"/>
      <c r="IWJ294" s="113"/>
      <c r="IWK294" s="103"/>
      <c r="IWL294" s="113"/>
      <c r="IWM294" s="103"/>
      <c r="IWN294" s="113"/>
      <c r="IWO294" s="103"/>
      <c r="IWP294" s="113"/>
      <c r="IWQ294" s="103"/>
      <c r="IWR294" s="113"/>
      <c r="IWS294" s="103"/>
      <c r="IWT294" s="113"/>
      <c r="IWU294" s="103"/>
      <c r="IWV294" s="113"/>
      <c r="IWW294" s="103"/>
      <c r="IWX294" s="113"/>
      <c r="IWY294" s="103"/>
      <c r="IWZ294" s="113"/>
      <c r="IXA294" s="103"/>
      <c r="IXB294" s="113"/>
      <c r="IXC294" s="103"/>
      <c r="IXD294" s="113"/>
      <c r="IXE294" s="103"/>
      <c r="IXF294" s="113"/>
      <c r="IXG294" s="103"/>
      <c r="IXH294" s="113"/>
      <c r="IXI294" s="103"/>
      <c r="IXJ294" s="113"/>
      <c r="IXK294" s="103"/>
      <c r="IXL294" s="113"/>
      <c r="IXM294" s="103"/>
      <c r="IXN294" s="113"/>
      <c r="IXO294" s="103"/>
      <c r="IXP294" s="113"/>
      <c r="IXQ294" s="103"/>
      <c r="IXR294" s="113"/>
      <c r="IXS294" s="103"/>
      <c r="IXT294" s="113"/>
      <c r="IXU294" s="103"/>
      <c r="IXV294" s="113"/>
      <c r="IXW294" s="103"/>
      <c r="IXX294" s="113"/>
      <c r="IXY294" s="103"/>
      <c r="IXZ294" s="113"/>
      <c r="IYA294" s="103"/>
      <c r="IYB294" s="113"/>
      <c r="IYC294" s="103"/>
      <c r="IYD294" s="113"/>
      <c r="IYE294" s="103"/>
      <c r="IYF294" s="113"/>
      <c r="IYG294" s="103"/>
      <c r="IYH294" s="113"/>
      <c r="IYI294" s="103"/>
      <c r="IYJ294" s="113"/>
      <c r="IYK294" s="103"/>
      <c r="IYL294" s="113"/>
      <c r="IYM294" s="103"/>
      <c r="IYN294" s="113"/>
      <c r="IYO294" s="103"/>
      <c r="IYP294" s="113"/>
      <c r="IYQ294" s="103"/>
      <c r="IYR294" s="113"/>
      <c r="IYS294" s="103"/>
      <c r="IYT294" s="113"/>
      <c r="IYU294" s="103"/>
      <c r="IYV294" s="113"/>
      <c r="IYW294" s="103"/>
      <c r="IYX294" s="113"/>
      <c r="IYY294" s="103"/>
      <c r="IYZ294" s="113"/>
      <c r="IZA294" s="103"/>
      <c r="IZB294" s="113"/>
      <c r="IZC294" s="103"/>
      <c r="IZD294" s="113"/>
      <c r="IZE294" s="103"/>
      <c r="IZF294" s="113"/>
      <c r="IZG294" s="103"/>
      <c r="IZH294" s="113"/>
      <c r="IZI294" s="103"/>
      <c r="IZJ294" s="113"/>
      <c r="IZK294" s="103"/>
      <c r="IZL294" s="113"/>
      <c r="IZM294" s="103"/>
      <c r="IZN294" s="113"/>
      <c r="IZO294" s="103"/>
      <c r="IZP294" s="113"/>
      <c r="IZQ294" s="103"/>
      <c r="IZR294" s="113"/>
      <c r="IZS294" s="103"/>
      <c r="IZT294" s="113"/>
      <c r="IZU294" s="103"/>
      <c r="IZV294" s="113"/>
      <c r="IZW294" s="103"/>
      <c r="IZX294" s="113"/>
      <c r="IZY294" s="103"/>
      <c r="IZZ294" s="113"/>
      <c r="JAA294" s="103"/>
      <c r="JAB294" s="113"/>
      <c r="JAC294" s="103"/>
      <c r="JAD294" s="113"/>
      <c r="JAE294" s="103"/>
      <c r="JAF294" s="113"/>
      <c r="JAG294" s="103"/>
      <c r="JAH294" s="113"/>
      <c r="JAI294" s="103"/>
      <c r="JAJ294" s="113"/>
      <c r="JAK294" s="103"/>
      <c r="JAL294" s="113"/>
      <c r="JAM294" s="103"/>
      <c r="JAN294" s="113"/>
      <c r="JAO294" s="103"/>
      <c r="JAP294" s="113"/>
      <c r="JAQ294" s="103"/>
      <c r="JAR294" s="113"/>
      <c r="JAS294" s="103"/>
      <c r="JAT294" s="113"/>
      <c r="JAU294" s="103"/>
      <c r="JAV294" s="113"/>
      <c r="JAW294" s="103"/>
      <c r="JAX294" s="113"/>
      <c r="JAY294" s="103"/>
      <c r="JAZ294" s="113"/>
      <c r="JBA294" s="103"/>
      <c r="JBB294" s="113"/>
      <c r="JBC294" s="103"/>
      <c r="JBD294" s="113"/>
      <c r="JBE294" s="103"/>
      <c r="JBF294" s="113"/>
      <c r="JBG294" s="103"/>
      <c r="JBH294" s="113"/>
      <c r="JBI294" s="103"/>
      <c r="JBJ294" s="113"/>
      <c r="JBK294" s="103"/>
      <c r="JBL294" s="113"/>
      <c r="JBM294" s="103"/>
      <c r="JBN294" s="113"/>
      <c r="JBO294" s="103"/>
      <c r="JBP294" s="113"/>
      <c r="JBQ294" s="103"/>
      <c r="JBR294" s="113"/>
      <c r="JBS294" s="103"/>
      <c r="JBT294" s="113"/>
      <c r="JBU294" s="103"/>
      <c r="JBV294" s="113"/>
      <c r="JBW294" s="103"/>
      <c r="JBX294" s="113"/>
      <c r="JBY294" s="103"/>
      <c r="JBZ294" s="113"/>
      <c r="JCA294" s="103"/>
      <c r="JCB294" s="113"/>
      <c r="JCC294" s="103"/>
      <c r="JCD294" s="113"/>
      <c r="JCE294" s="103"/>
      <c r="JCF294" s="113"/>
      <c r="JCG294" s="103"/>
      <c r="JCH294" s="113"/>
      <c r="JCI294" s="103"/>
      <c r="JCJ294" s="113"/>
      <c r="JCK294" s="103"/>
      <c r="JCL294" s="113"/>
      <c r="JCM294" s="103"/>
      <c r="JCN294" s="113"/>
      <c r="JCO294" s="103"/>
      <c r="JCP294" s="113"/>
      <c r="JCQ294" s="103"/>
      <c r="JCR294" s="113"/>
      <c r="JCS294" s="103"/>
      <c r="JCT294" s="113"/>
      <c r="JCU294" s="103"/>
      <c r="JCV294" s="113"/>
      <c r="JCW294" s="103"/>
      <c r="JCX294" s="113"/>
      <c r="JCY294" s="103"/>
      <c r="JCZ294" s="113"/>
      <c r="JDA294" s="103"/>
      <c r="JDB294" s="113"/>
      <c r="JDC294" s="103"/>
      <c r="JDD294" s="113"/>
      <c r="JDE294" s="103"/>
      <c r="JDF294" s="113"/>
      <c r="JDG294" s="103"/>
      <c r="JDH294" s="113"/>
      <c r="JDI294" s="103"/>
      <c r="JDJ294" s="113"/>
      <c r="JDK294" s="103"/>
      <c r="JDL294" s="113"/>
      <c r="JDM294" s="103"/>
      <c r="JDN294" s="113"/>
      <c r="JDO294" s="103"/>
      <c r="JDP294" s="113"/>
      <c r="JDQ294" s="103"/>
      <c r="JDR294" s="113"/>
      <c r="JDS294" s="103"/>
      <c r="JDT294" s="113"/>
      <c r="JDU294" s="103"/>
      <c r="JDV294" s="113"/>
      <c r="JDW294" s="103"/>
      <c r="JDX294" s="113"/>
      <c r="JDY294" s="103"/>
      <c r="JDZ294" s="113"/>
      <c r="JEA294" s="103"/>
      <c r="JEB294" s="113"/>
      <c r="JEC294" s="103"/>
      <c r="JED294" s="113"/>
      <c r="JEE294" s="103"/>
      <c r="JEF294" s="113"/>
      <c r="JEG294" s="103"/>
      <c r="JEH294" s="113"/>
      <c r="JEI294" s="103"/>
      <c r="JEJ294" s="113"/>
      <c r="JEK294" s="103"/>
      <c r="JEL294" s="113"/>
      <c r="JEM294" s="103"/>
      <c r="JEN294" s="113"/>
      <c r="JEO294" s="103"/>
      <c r="JEP294" s="113"/>
      <c r="JEQ294" s="103"/>
      <c r="JER294" s="113"/>
      <c r="JES294" s="103"/>
      <c r="JET294" s="113"/>
      <c r="JEU294" s="103"/>
      <c r="JEV294" s="113"/>
      <c r="JEW294" s="103"/>
      <c r="JEX294" s="113"/>
      <c r="JEY294" s="103"/>
      <c r="JEZ294" s="113"/>
      <c r="JFA294" s="103"/>
      <c r="JFB294" s="113"/>
      <c r="JFC294" s="103"/>
      <c r="JFD294" s="113"/>
      <c r="JFE294" s="103"/>
      <c r="JFF294" s="113"/>
      <c r="JFG294" s="103"/>
      <c r="JFH294" s="113"/>
      <c r="JFI294" s="103"/>
      <c r="JFJ294" s="113"/>
      <c r="JFK294" s="103"/>
      <c r="JFL294" s="113"/>
      <c r="JFM294" s="103"/>
      <c r="JFN294" s="113"/>
      <c r="JFO294" s="103"/>
      <c r="JFP294" s="113"/>
      <c r="JFQ294" s="103"/>
      <c r="JFR294" s="113"/>
      <c r="JFS294" s="103"/>
      <c r="JFT294" s="113"/>
      <c r="JFU294" s="103"/>
      <c r="JFV294" s="113"/>
      <c r="JFW294" s="103"/>
      <c r="JFX294" s="113"/>
      <c r="JFY294" s="103"/>
      <c r="JFZ294" s="113"/>
      <c r="JGA294" s="103"/>
      <c r="JGB294" s="113"/>
      <c r="JGC294" s="103"/>
      <c r="JGD294" s="113"/>
      <c r="JGE294" s="103"/>
      <c r="JGF294" s="113"/>
      <c r="JGG294" s="103"/>
      <c r="JGH294" s="113"/>
      <c r="JGI294" s="103"/>
      <c r="JGJ294" s="113"/>
      <c r="JGK294" s="103"/>
      <c r="JGL294" s="113"/>
      <c r="JGM294" s="103"/>
      <c r="JGN294" s="113"/>
      <c r="JGO294" s="103"/>
      <c r="JGP294" s="113"/>
      <c r="JGQ294" s="103"/>
      <c r="JGR294" s="113"/>
      <c r="JGS294" s="103"/>
      <c r="JGT294" s="113"/>
      <c r="JGU294" s="103"/>
      <c r="JGV294" s="113"/>
      <c r="JGW294" s="103"/>
      <c r="JGX294" s="113"/>
      <c r="JGY294" s="103"/>
      <c r="JGZ294" s="113"/>
      <c r="JHA294" s="103"/>
      <c r="JHB294" s="113"/>
      <c r="JHC294" s="103"/>
      <c r="JHD294" s="113"/>
      <c r="JHE294" s="103"/>
      <c r="JHF294" s="113"/>
      <c r="JHG294" s="103"/>
      <c r="JHH294" s="113"/>
      <c r="JHI294" s="103"/>
      <c r="JHJ294" s="113"/>
      <c r="JHK294" s="103"/>
      <c r="JHL294" s="113"/>
      <c r="JHM294" s="103"/>
      <c r="JHN294" s="113"/>
      <c r="JHO294" s="103"/>
      <c r="JHP294" s="113"/>
      <c r="JHQ294" s="103"/>
      <c r="JHR294" s="113"/>
      <c r="JHS294" s="103"/>
      <c r="JHT294" s="113"/>
      <c r="JHU294" s="103"/>
      <c r="JHV294" s="113"/>
      <c r="JHW294" s="103"/>
      <c r="JHX294" s="113"/>
      <c r="JHY294" s="103"/>
      <c r="JHZ294" s="113"/>
      <c r="JIA294" s="103"/>
      <c r="JIB294" s="113"/>
      <c r="JIC294" s="103"/>
      <c r="JID294" s="113"/>
      <c r="JIE294" s="103"/>
      <c r="JIF294" s="113"/>
      <c r="JIG294" s="103"/>
      <c r="JIH294" s="113"/>
      <c r="JII294" s="103"/>
      <c r="JIJ294" s="113"/>
      <c r="JIK294" s="103"/>
      <c r="JIL294" s="113"/>
      <c r="JIM294" s="103"/>
      <c r="JIN294" s="113"/>
      <c r="JIO294" s="103"/>
      <c r="JIP294" s="113"/>
      <c r="JIQ294" s="103"/>
      <c r="JIR294" s="113"/>
      <c r="JIS294" s="103"/>
      <c r="JIT294" s="113"/>
      <c r="JIU294" s="103"/>
      <c r="JIV294" s="113"/>
      <c r="JIW294" s="103"/>
      <c r="JIX294" s="113"/>
      <c r="JIY294" s="103"/>
      <c r="JIZ294" s="113"/>
      <c r="JJA294" s="103"/>
      <c r="JJB294" s="113"/>
      <c r="JJC294" s="103"/>
      <c r="JJD294" s="113"/>
      <c r="JJE294" s="103"/>
      <c r="JJF294" s="113"/>
      <c r="JJG294" s="103"/>
      <c r="JJH294" s="113"/>
      <c r="JJI294" s="103"/>
      <c r="JJJ294" s="113"/>
      <c r="JJK294" s="103"/>
      <c r="JJL294" s="113"/>
      <c r="JJM294" s="103"/>
      <c r="JJN294" s="113"/>
      <c r="JJO294" s="103"/>
      <c r="JJP294" s="113"/>
      <c r="JJQ294" s="103"/>
      <c r="JJR294" s="113"/>
      <c r="JJS294" s="103"/>
      <c r="JJT294" s="113"/>
      <c r="JJU294" s="103"/>
      <c r="JJV294" s="113"/>
      <c r="JJW294" s="103"/>
      <c r="JJX294" s="113"/>
      <c r="JJY294" s="103"/>
      <c r="JJZ294" s="113"/>
      <c r="JKA294" s="103"/>
      <c r="JKB294" s="113"/>
      <c r="JKC294" s="103"/>
      <c r="JKD294" s="113"/>
      <c r="JKE294" s="103"/>
      <c r="JKF294" s="113"/>
      <c r="JKG294" s="103"/>
      <c r="JKH294" s="113"/>
      <c r="JKI294" s="103"/>
      <c r="JKJ294" s="113"/>
      <c r="JKK294" s="103"/>
      <c r="JKL294" s="113"/>
      <c r="JKM294" s="103"/>
      <c r="JKN294" s="113"/>
      <c r="JKO294" s="103"/>
      <c r="JKP294" s="113"/>
      <c r="JKQ294" s="103"/>
      <c r="JKR294" s="113"/>
      <c r="JKS294" s="103"/>
      <c r="JKT294" s="113"/>
      <c r="JKU294" s="103"/>
      <c r="JKV294" s="113"/>
      <c r="JKW294" s="103"/>
      <c r="JKX294" s="113"/>
      <c r="JKY294" s="103"/>
      <c r="JKZ294" s="113"/>
      <c r="JLA294" s="103"/>
      <c r="JLB294" s="113"/>
      <c r="JLC294" s="103"/>
      <c r="JLD294" s="113"/>
      <c r="JLE294" s="103"/>
      <c r="JLF294" s="113"/>
      <c r="JLG294" s="103"/>
      <c r="JLH294" s="113"/>
      <c r="JLI294" s="103"/>
      <c r="JLJ294" s="113"/>
      <c r="JLK294" s="103"/>
      <c r="JLL294" s="113"/>
      <c r="JLM294" s="103"/>
      <c r="JLN294" s="113"/>
      <c r="JLO294" s="103"/>
      <c r="JLP294" s="113"/>
      <c r="JLQ294" s="103"/>
      <c r="JLR294" s="113"/>
      <c r="JLS294" s="103"/>
      <c r="JLT294" s="113"/>
      <c r="JLU294" s="103"/>
      <c r="JLV294" s="113"/>
      <c r="JLW294" s="103"/>
      <c r="JLX294" s="113"/>
      <c r="JLY294" s="103"/>
      <c r="JLZ294" s="113"/>
      <c r="JMA294" s="103"/>
      <c r="JMB294" s="113"/>
      <c r="JMC294" s="103"/>
      <c r="JMD294" s="113"/>
      <c r="JME294" s="103"/>
      <c r="JMF294" s="113"/>
      <c r="JMG294" s="103"/>
      <c r="JMH294" s="113"/>
      <c r="JMI294" s="103"/>
      <c r="JMJ294" s="113"/>
      <c r="JMK294" s="103"/>
      <c r="JML294" s="113"/>
      <c r="JMM294" s="103"/>
      <c r="JMN294" s="113"/>
      <c r="JMO294" s="103"/>
      <c r="JMP294" s="113"/>
      <c r="JMQ294" s="103"/>
      <c r="JMR294" s="113"/>
      <c r="JMS294" s="103"/>
      <c r="JMT294" s="113"/>
      <c r="JMU294" s="103"/>
      <c r="JMV294" s="113"/>
      <c r="JMW294" s="103"/>
      <c r="JMX294" s="113"/>
      <c r="JMY294" s="103"/>
      <c r="JMZ294" s="113"/>
      <c r="JNA294" s="103"/>
      <c r="JNB294" s="113"/>
      <c r="JNC294" s="103"/>
      <c r="JND294" s="113"/>
      <c r="JNE294" s="103"/>
      <c r="JNF294" s="113"/>
      <c r="JNG294" s="103"/>
      <c r="JNH294" s="113"/>
      <c r="JNI294" s="103"/>
      <c r="JNJ294" s="113"/>
      <c r="JNK294" s="103"/>
      <c r="JNL294" s="113"/>
      <c r="JNM294" s="103"/>
      <c r="JNN294" s="113"/>
      <c r="JNO294" s="103"/>
      <c r="JNP294" s="113"/>
      <c r="JNQ294" s="103"/>
      <c r="JNR294" s="113"/>
      <c r="JNS294" s="103"/>
      <c r="JNT294" s="113"/>
      <c r="JNU294" s="103"/>
      <c r="JNV294" s="113"/>
      <c r="JNW294" s="103"/>
      <c r="JNX294" s="113"/>
      <c r="JNY294" s="103"/>
      <c r="JNZ294" s="113"/>
      <c r="JOA294" s="103"/>
      <c r="JOB294" s="113"/>
      <c r="JOC294" s="103"/>
      <c r="JOD294" s="113"/>
      <c r="JOE294" s="103"/>
      <c r="JOF294" s="113"/>
      <c r="JOG294" s="103"/>
      <c r="JOH294" s="113"/>
      <c r="JOI294" s="103"/>
      <c r="JOJ294" s="113"/>
      <c r="JOK294" s="103"/>
      <c r="JOL294" s="113"/>
      <c r="JOM294" s="103"/>
      <c r="JON294" s="113"/>
      <c r="JOO294" s="103"/>
      <c r="JOP294" s="113"/>
      <c r="JOQ294" s="103"/>
      <c r="JOR294" s="113"/>
      <c r="JOS294" s="103"/>
      <c r="JOT294" s="113"/>
      <c r="JOU294" s="103"/>
      <c r="JOV294" s="113"/>
      <c r="JOW294" s="103"/>
      <c r="JOX294" s="113"/>
      <c r="JOY294" s="103"/>
      <c r="JOZ294" s="113"/>
      <c r="JPA294" s="103"/>
      <c r="JPB294" s="113"/>
      <c r="JPC294" s="103"/>
      <c r="JPD294" s="113"/>
      <c r="JPE294" s="103"/>
      <c r="JPF294" s="113"/>
      <c r="JPG294" s="103"/>
      <c r="JPH294" s="113"/>
      <c r="JPI294" s="103"/>
      <c r="JPJ294" s="113"/>
      <c r="JPK294" s="103"/>
      <c r="JPL294" s="113"/>
      <c r="JPM294" s="103"/>
      <c r="JPN294" s="113"/>
      <c r="JPO294" s="103"/>
      <c r="JPP294" s="113"/>
      <c r="JPQ294" s="103"/>
      <c r="JPR294" s="113"/>
      <c r="JPS294" s="103"/>
      <c r="JPT294" s="113"/>
      <c r="JPU294" s="103"/>
      <c r="JPV294" s="113"/>
      <c r="JPW294" s="103"/>
      <c r="JPX294" s="113"/>
      <c r="JPY294" s="103"/>
      <c r="JPZ294" s="113"/>
      <c r="JQA294" s="103"/>
      <c r="JQB294" s="113"/>
      <c r="JQC294" s="103"/>
      <c r="JQD294" s="113"/>
      <c r="JQE294" s="103"/>
      <c r="JQF294" s="113"/>
      <c r="JQG294" s="103"/>
      <c r="JQH294" s="113"/>
      <c r="JQI294" s="103"/>
      <c r="JQJ294" s="113"/>
      <c r="JQK294" s="103"/>
      <c r="JQL294" s="113"/>
      <c r="JQM294" s="103"/>
      <c r="JQN294" s="113"/>
      <c r="JQO294" s="103"/>
      <c r="JQP294" s="113"/>
      <c r="JQQ294" s="103"/>
      <c r="JQR294" s="113"/>
      <c r="JQS294" s="103"/>
      <c r="JQT294" s="113"/>
      <c r="JQU294" s="103"/>
      <c r="JQV294" s="113"/>
      <c r="JQW294" s="103"/>
      <c r="JQX294" s="113"/>
      <c r="JQY294" s="103"/>
      <c r="JQZ294" s="113"/>
      <c r="JRA294" s="103"/>
      <c r="JRB294" s="113"/>
      <c r="JRC294" s="103"/>
      <c r="JRD294" s="113"/>
      <c r="JRE294" s="103"/>
      <c r="JRF294" s="113"/>
      <c r="JRG294" s="103"/>
      <c r="JRH294" s="113"/>
      <c r="JRI294" s="103"/>
      <c r="JRJ294" s="113"/>
      <c r="JRK294" s="103"/>
      <c r="JRL294" s="113"/>
      <c r="JRM294" s="103"/>
      <c r="JRN294" s="113"/>
      <c r="JRO294" s="103"/>
      <c r="JRP294" s="113"/>
      <c r="JRQ294" s="103"/>
      <c r="JRR294" s="113"/>
      <c r="JRS294" s="103"/>
      <c r="JRT294" s="113"/>
      <c r="JRU294" s="103"/>
      <c r="JRV294" s="113"/>
      <c r="JRW294" s="103"/>
      <c r="JRX294" s="113"/>
      <c r="JRY294" s="103"/>
      <c r="JRZ294" s="113"/>
      <c r="JSA294" s="103"/>
      <c r="JSB294" s="113"/>
      <c r="JSC294" s="103"/>
      <c r="JSD294" s="113"/>
      <c r="JSE294" s="103"/>
      <c r="JSF294" s="113"/>
      <c r="JSG294" s="103"/>
      <c r="JSH294" s="113"/>
      <c r="JSI294" s="103"/>
      <c r="JSJ294" s="113"/>
      <c r="JSK294" s="103"/>
      <c r="JSL294" s="113"/>
      <c r="JSM294" s="103"/>
      <c r="JSN294" s="113"/>
      <c r="JSO294" s="103"/>
      <c r="JSP294" s="113"/>
      <c r="JSQ294" s="103"/>
      <c r="JSR294" s="113"/>
      <c r="JSS294" s="103"/>
      <c r="JST294" s="113"/>
      <c r="JSU294" s="103"/>
      <c r="JSV294" s="113"/>
      <c r="JSW294" s="103"/>
      <c r="JSX294" s="113"/>
      <c r="JSY294" s="103"/>
      <c r="JSZ294" s="113"/>
      <c r="JTA294" s="103"/>
      <c r="JTB294" s="113"/>
      <c r="JTC294" s="103"/>
      <c r="JTD294" s="113"/>
      <c r="JTE294" s="103"/>
      <c r="JTF294" s="113"/>
      <c r="JTG294" s="103"/>
      <c r="JTH294" s="113"/>
      <c r="JTI294" s="103"/>
      <c r="JTJ294" s="113"/>
      <c r="JTK294" s="103"/>
      <c r="JTL294" s="113"/>
      <c r="JTM294" s="103"/>
      <c r="JTN294" s="113"/>
      <c r="JTO294" s="103"/>
      <c r="JTP294" s="113"/>
      <c r="JTQ294" s="103"/>
      <c r="JTR294" s="113"/>
      <c r="JTS294" s="103"/>
      <c r="JTT294" s="113"/>
      <c r="JTU294" s="103"/>
      <c r="JTV294" s="113"/>
      <c r="JTW294" s="103"/>
      <c r="JTX294" s="113"/>
      <c r="JTY294" s="103"/>
      <c r="JTZ294" s="113"/>
      <c r="JUA294" s="103"/>
      <c r="JUB294" s="113"/>
      <c r="JUC294" s="103"/>
      <c r="JUD294" s="113"/>
      <c r="JUE294" s="103"/>
      <c r="JUF294" s="113"/>
      <c r="JUG294" s="103"/>
      <c r="JUH294" s="113"/>
      <c r="JUI294" s="103"/>
      <c r="JUJ294" s="113"/>
      <c r="JUK294" s="103"/>
      <c r="JUL294" s="113"/>
      <c r="JUM294" s="103"/>
      <c r="JUN294" s="113"/>
      <c r="JUO294" s="103"/>
      <c r="JUP294" s="113"/>
      <c r="JUQ294" s="103"/>
      <c r="JUR294" s="113"/>
      <c r="JUS294" s="103"/>
      <c r="JUT294" s="113"/>
      <c r="JUU294" s="103"/>
      <c r="JUV294" s="113"/>
      <c r="JUW294" s="103"/>
      <c r="JUX294" s="113"/>
      <c r="JUY294" s="103"/>
      <c r="JUZ294" s="113"/>
      <c r="JVA294" s="103"/>
      <c r="JVB294" s="113"/>
      <c r="JVC294" s="103"/>
      <c r="JVD294" s="113"/>
      <c r="JVE294" s="103"/>
      <c r="JVF294" s="113"/>
      <c r="JVG294" s="103"/>
      <c r="JVH294" s="113"/>
      <c r="JVI294" s="103"/>
      <c r="JVJ294" s="113"/>
      <c r="JVK294" s="103"/>
      <c r="JVL294" s="113"/>
      <c r="JVM294" s="103"/>
      <c r="JVN294" s="113"/>
      <c r="JVO294" s="103"/>
      <c r="JVP294" s="113"/>
      <c r="JVQ294" s="103"/>
      <c r="JVR294" s="113"/>
      <c r="JVS294" s="103"/>
      <c r="JVT294" s="113"/>
      <c r="JVU294" s="103"/>
      <c r="JVV294" s="113"/>
      <c r="JVW294" s="103"/>
      <c r="JVX294" s="113"/>
      <c r="JVY294" s="103"/>
      <c r="JVZ294" s="113"/>
      <c r="JWA294" s="103"/>
      <c r="JWB294" s="113"/>
      <c r="JWC294" s="103"/>
      <c r="JWD294" s="113"/>
      <c r="JWE294" s="103"/>
      <c r="JWF294" s="113"/>
      <c r="JWG294" s="103"/>
      <c r="JWH294" s="113"/>
      <c r="JWI294" s="103"/>
      <c r="JWJ294" s="113"/>
      <c r="JWK294" s="103"/>
      <c r="JWL294" s="113"/>
      <c r="JWM294" s="103"/>
      <c r="JWN294" s="113"/>
      <c r="JWO294" s="103"/>
      <c r="JWP294" s="113"/>
      <c r="JWQ294" s="103"/>
      <c r="JWR294" s="113"/>
      <c r="JWS294" s="103"/>
      <c r="JWT294" s="113"/>
      <c r="JWU294" s="103"/>
      <c r="JWV294" s="113"/>
      <c r="JWW294" s="103"/>
      <c r="JWX294" s="113"/>
      <c r="JWY294" s="103"/>
      <c r="JWZ294" s="113"/>
      <c r="JXA294" s="103"/>
      <c r="JXB294" s="113"/>
      <c r="JXC294" s="103"/>
      <c r="JXD294" s="113"/>
      <c r="JXE294" s="103"/>
      <c r="JXF294" s="113"/>
      <c r="JXG294" s="103"/>
      <c r="JXH294" s="113"/>
      <c r="JXI294" s="103"/>
      <c r="JXJ294" s="113"/>
      <c r="JXK294" s="103"/>
      <c r="JXL294" s="113"/>
      <c r="JXM294" s="103"/>
      <c r="JXN294" s="113"/>
      <c r="JXO294" s="103"/>
      <c r="JXP294" s="113"/>
      <c r="JXQ294" s="103"/>
      <c r="JXR294" s="113"/>
      <c r="JXS294" s="103"/>
      <c r="JXT294" s="113"/>
      <c r="JXU294" s="103"/>
      <c r="JXV294" s="113"/>
      <c r="JXW294" s="103"/>
      <c r="JXX294" s="113"/>
      <c r="JXY294" s="103"/>
      <c r="JXZ294" s="113"/>
      <c r="JYA294" s="103"/>
      <c r="JYB294" s="113"/>
      <c r="JYC294" s="103"/>
      <c r="JYD294" s="113"/>
      <c r="JYE294" s="103"/>
      <c r="JYF294" s="113"/>
      <c r="JYG294" s="103"/>
      <c r="JYH294" s="113"/>
      <c r="JYI294" s="103"/>
      <c r="JYJ294" s="113"/>
      <c r="JYK294" s="103"/>
      <c r="JYL294" s="113"/>
      <c r="JYM294" s="103"/>
      <c r="JYN294" s="113"/>
      <c r="JYO294" s="103"/>
      <c r="JYP294" s="113"/>
      <c r="JYQ294" s="103"/>
      <c r="JYR294" s="113"/>
      <c r="JYS294" s="103"/>
      <c r="JYT294" s="113"/>
      <c r="JYU294" s="103"/>
      <c r="JYV294" s="113"/>
      <c r="JYW294" s="103"/>
      <c r="JYX294" s="113"/>
      <c r="JYY294" s="103"/>
      <c r="JYZ294" s="113"/>
      <c r="JZA294" s="103"/>
      <c r="JZB294" s="113"/>
      <c r="JZC294" s="103"/>
      <c r="JZD294" s="113"/>
      <c r="JZE294" s="103"/>
      <c r="JZF294" s="113"/>
      <c r="JZG294" s="103"/>
      <c r="JZH294" s="113"/>
      <c r="JZI294" s="103"/>
      <c r="JZJ294" s="113"/>
      <c r="JZK294" s="103"/>
      <c r="JZL294" s="113"/>
      <c r="JZM294" s="103"/>
      <c r="JZN294" s="113"/>
      <c r="JZO294" s="103"/>
      <c r="JZP294" s="113"/>
      <c r="JZQ294" s="103"/>
      <c r="JZR294" s="113"/>
      <c r="JZS294" s="103"/>
      <c r="JZT294" s="113"/>
      <c r="JZU294" s="103"/>
      <c r="JZV294" s="113"/>
      <c r="JZW294" s="103"/>
      <c r="JZX294" s="113"/>
      <c r="JZY294" s="103"/>
      <c r="JZZ294" s="113"/>
      <c r="KAA294" s="103"/>
      <c r="KAB294" s="113"/>
      <c r="KAC294" s="103"/>
      <c r="KAD294" s="113"/>
      <c r="KAE294" s="103"/>
      <c r="KAF294" s="113"/>
      <c r="KAG294" s="103"/>
      <c r="KAH294" s="113"/>
      <c r="KAI294" s="103"/>
      <c r="KAJ294" s="113"/>
      <c r="KAK294" s="103"/>
      <c r="KAL294" s="113"/>
      <c r="KAM294" s="103"/>
      <c r="KAN294" s="113"/>
      <c r="KAO294" s="103"/>
      <c r="KAP294" s="113"/>
      <c r="KAQ294" s="103"/>
      <c r="KAR294" s="113"/>
      <c r="KAS294" s="103"/>
      <c r="KAT294" s="113"/>
      <c r="KAU294" s="103"/>
      <c r="KAV294" s="113"/>
      <c r="KAW294" s="103"/>
      <c r="KAX294" s="113"/>
      <c r="KAY294" s="103"/>
      <c r="KAZ294" s="113"/>
      <c r="KBA294" s="103"/>
      <c r="KBB294" s="113"/>
      <c r="KBC294" s="103"/>
      <c r="KBD294" s="113"/>
      <c r="KBE294" s="103"/>
      <c r="KBF294" s="113"/>
      <c r="KBG294" s="103"/>
      <c r="KBH294" s="113"/>
      <c r="KBI294" s="103"/>
      <c r="KBJ294" s="113"/>
      <c r="KBK294" s="103"/>
      <c r="KBL294" s="113"/>
      <c r="KBM294" s="103"/>
      <c r="KBN294" s="113"/>
      <c r="KBO294" s="103"/>
      <c r="KBP294" s="113"/>
      <c r="KBQ294" s="103"/>
      <c r="KBR294" s="113"/>
      <c r="KBS294" s="103"/>
      <c r="KBT294" s="113"/>
      <c r="KBU294" s="103"/>
      <c r="KBV294" s="113"/>
      <c r="KBW294" s="103"/>
      <c r="KBX294" s="113"/>
      <c r="KBY294" s="103"/>
      <c r="KBZ294" s="113"/>
      <c r="KCA294" s="103"/>
      <c r="KCB294" s="113"/>
      <c r="KCC294" s="103"/>
      <c r="KCD294" s="113"/>
      <c r="KCE294" s="103"/>
      <c r="KCF294" s="113"/>
      <c r="KCG294" s="103"/>
      <c r="KCH294" s="113"/>
      <c r="KCI294" s="103"/>
      <c r="KCJ294" s="113"/>
      <c r="KCK294" s="103"/>
      <c r="KCL294" s="113"/>
      <c r="KCM294" s="103"/>
      <c r="KCN294" s="113"/>
      <c r="KCO294" s="103"/>
      <c r="KCP294" s="113"/>
      <c r="KCQ294" s="103"/>
      <c r="KCR294" s="113"/>
      <c r="KCS294" s="103"/>
      <c r="KCT294" s="113"/>
      <c r="KCU294" s="103"/>
      <c r="KCV294" s="113"/>
      <c r="KCW294" s="103"/>
      <c r="KCX294" s="113"/>
      <c r="KCY294" s="103"/>
      <c r="KCZ294" s="113"/>
      <c r="KDA294" s="103"/>
      <c r="KDB294" s="113"/>
      <c r="KDC294" s="103"/>
      <c r="KDD294" s="113"/>
      <c r="KDE294" s="103"/>
      <c r="KDF294" s="113"/>
      <c r="KDG294" s="103"/>
      <c r="KDH294" s="113"/>
      <c r="KDI294" s="103"/>
      <c r="KDJ294" s="113"/>
      <c r="KDK294" s="103"/>
      <c r="KDL294" s="113"/>
      <c r="KDM294" s="103"/>
      <c r="KDN294" s="113"/>
      <c r="KDO294" s="103"/>
      <c r="KDP294" s="113"/>
      <c r="KDQ294" s="103"/>
      <c r="KDR294" s="113"/>
      <c r="KDS294" s="103"/>
      <c r="KDT294" s="113"/>
      <c r="KDU294" s="103"/>
      <c r="KDV294" s="113"/>
      <c r="KDW294" s="103"/>
      <c r="KDX294" s="113"/>
      <c r="KDY294" s="103"/>
      <c r="KDZ294" s="113"/>
      <c r="KEA294" s="103"/>
      <c r="KEB294" s="113"/>
      <c r="KEC294" s="103"/>
      <c r="KED294" s="113"/>
      <c r="KEE294" s="103"/>
      <c r="KEF294" s="113"/>
      <c r="KEG294" s="103"/>
      <c r="KEH294" s="113"/>
      <c r="KEI294" s="103"/>
      <c r="KEJ294" s="113"/>
      <c r="KEK294" s="103"/>
      <c r="KEL294" s="113"/>
      <c r="KEM294" s="103"/>
      <c r="KEN294" s="113"/>
      <c r="KEO294" s="103"/>
      <c r="KEP294" s="113"/>
      <c r="KEQ294" s="103"/>
      <c r="KER294" s="113"/>
      <c r="KES294" s="103"/>
      <c r="KET294" s="113"/>
      <c r="KEU294" s="103"/>
      <c r="KEV294" s="113"/>
      <c r="KEW294" s="103"/>
      <c r="KEX294" s="113"/>
      <c r="KEY294" s="103"/>
      <c r="KEZ294" s="113"/>
      <c r="KFA294" s="103"/>
      <c r="KFB294" s="113"/>
      <c r="KFC294" s="103"/>
      <c r="KFD294" s="113"/>
      <c r="KFE294" s="103"/>
      <c r="KFF294" s="113"/>
      <c r="KFG294" s="103"/>
      <c r="KFH294" s="113"/>
      <c r="KFI294" s="103"/>
      <c r="KFJ294" s="113"/>
      <c r="KFK294" s="103"/>
      <c r="KFL294" s="113"/>
      <c r="KFM294" s="103"/>
      <c r="KFN294" s="113"/>
      <c r="KFO294" s="103"/>
      <c r="KFP294" s="113"/>
      <c r="KFQ294" s="103"/>
      <c r="KFR294" s="113"/>
      <c r="KFS294" s="103"/>
      <c r="KFT294" s="113"/>
      <c r="KFU294" s="103"/>
      <c r="KFV294" s="113"/>
      <c r="KFW294" s="103"/>
      <c r="KFX294" s="113"/>
      <c r="KFY294" s="103"/>
      <c r="KFZ294" s="113"/>
      <c r="KGA294" s="103"/>
      <c r="KGB294" s="113"/>
      <c r="KGC294" s="103"/>
      <c r="KGD294" s="113"/>
      <c r="KGE294" s="103"/>
      <c r="KGF294" s="113"/>
      <c r="KGG294" s="103"/>
      <c r="KGH294" s="113"/>
      <c r="KGI294" s="103"/>
      <c r="KGJ294" s="113"/>
      <c r="KGK294" s="103"/>
      <c r="KGL294" s="113"/>
      <c r="KGM294" s="103"/>
      <c r="KGN294" s="113"/>
      <c r="KGO294" s="103"/>
      <c r="KGP294" s="113"/>
      <c r="KGQ294" s="103"/>
      <c r="KGR294" s="113"/>
      <c r="KGS294" s="103"/>
      <c r="KGT294" s="113"/>
      <c r="KGU294" s="103"/>
      <c r="KGV294" s="113"/>
      <c r="KGW294" s="103"/>
      <c r="KGX294" s="113"/>
      <c r="KGY294" s="103"/>
      <c r="KGZ294" s="113"/>
      <c r="KHA294" s="103"/>
      <c r="KHB294" s="113"/>
      <c r="KHC294" s="103"/>
      <c r="KHD294" s="113"/>
      <c r="KHE294" s="103"/>
      <c r="KHF294" s="113"/>
      <c r="KHG294" s="103"/>
      <c r="KHH294" s="113"/>
      <c r="KHI294" s="103"/>
      <c r="KHJ294" s="113"/>
      <c r="KHK294" s="103"/>
      <c r="KHL294" s="113"/>
      <c r="KHM294" s="103"/>
      <c r="KHN294" s="113"/>
      <c r="KHO294" s="103"/>
      <c r="KHP294" s="113"/>
      <c r="KHQ294" s="103"/>
      <c r="KHR294" s="113"/>
      <c r="KHS294" s="103"/>
      <c r="KHT294" s="113"/>
      <c r="KHU294" s="103"/>
      <c r="KHV294" s="113"/>
      <c r="KHW294" s="103"/>
      <c r="KHX294" s="113"/>
      <c r="KHY294" s="103"/>
      <c r="KHZ294" s="113"/>
      <c r="KIA294" s="103"/>
      <c r="KIB294" s="113"/>
      <c r="KIC294" s="103"/>
      <c r="KID294" s="113"/>
      <c r="KIE294" s="103"/>
      <c r="KIF294" s="113"/>
      <c r="KIG294" s="103"/>
      <c r="KIH294" s="113"/>
      <c r="KII294" s="103"/>
      <c r="KIJ294" s="113"/>
      <c r="KIK294" s="103"/>
      <c r="KIL294" s="113"/>
      <c r="KIM294" s="103"/>
      <c r="KIN294" s="113"/>
      <c r="KIO294" s="103"/>
      <c r="KIP294" s="113"/>
      <c r="KIQ294" s="103"/>
      <c r="KIR294" s="113"/>
      <c r="KIS294" s="103"/>
      <c r="KIT294" s="113"/>
      <c r="KIU294" s="103"/>
      <c r="KIV294" s="113"/>
      <c r="KIW294" s="103"/>
      <c r="KIX294" s="113"/>
      <c r="KIY294" s="103"/>
      <c r="KIZ294" s="113"/>
      <c r="KJA294" s="103"/>
      <c r="KJB294" s="113"/>
      <c r="KJC294" s="103"/>
      <c r="KJD294" s="113"/>
      <c r="KJE294" s="103"/>
      <c r="KJF294" s="113"/>
      <c r="KJG294" s="103"/>
      <c r="KJH294" s="113"/>
      <c r="KJI294" s="103"/>
      <c r="KJJ294" s="113"/>
      <c r="KJK294" s="103"/>
      <c r="KJL294" s="113"/>
      <c r="KJM294" s="103"/>
      <c r="KJN294" s="113"/>
      <c r="KJO294" s="103"/>
      <c r="KJP294" s="113"/>
      <c r="KJQ294" s="103"/>
      <c r="KJR294" s="113"/>
      <c r="KJS294" s="103"/>
      <c r="KJT294" s="113"/>
      <c r="KJU294" s="103"/>
      <c r="KJV294" s="113"/>
      <c r="KJW294" s="103"/>
      <c r="KJX294" s="113"/>
      <c r="KJY294" s="103"/>
      <c r="KJZ294" s="113"/>
      <c r="KKA294" s="103"/>
      <c r="KKB294" s="113"/>
      <c r="KKC294" s="103"/>
      <c r="KKD294" s="113"/>
      <c r="KKE294" s="103"/>
      <c r="KKF294" s="113"/>
      <c r="KKG294" s="103"/>
      <c r="KKH294" s="113"/>
      <c r="KKI294" s="103"/>
      <c r="KKJ294" s="113"/>
      <c r="KKK294" s="103"/>
      <c r="KKL294" s="113"/>
      <c r="KKM294" s="103"/>
      <c r="KKN294" s="113"/>
      <c r="KKO294" s="103"/>
      <c r="KKP294" s="113"/>
      <c r="KKQ294" s="103"/>
      <c r="KKR294" s="113"/>
      <c r="KKS294" s="103"/>
      <c r="KKT294" s="113"/>
      <c r="KKU294" s="103"/>
      <c r="KKV294" s="113"/>
      <c r="KKW294" s="103"/>
      <c r="KKX294" s="113"/>
      <c r="KKY294" s="103"/>
      <c r="KKZ294" s="113"/>
      <c r="KLA294" s="103"/>
      <c r="KLB294" s="113"/>
      <c r="KLC294" s="103"/>
      <c r="KLD294" s="113"/>
      <c r="KLE294" s="103"/>
      <c r="KLF294" s="113"/>
      <c r="KLG294" s="103"/>
      <c r="KLH294" s="113"/>
      <c r="KLI294" s="103"/>
      <c r="KLJ294" s="113"/>
      <c r="KLK294" s="103"/>
      <c r="KLL294" s="113"/>
      <c r="KLM294" s="103"/>
      <c r="KLN294" s="113"/>
      <c r="KLO294" s="103"/>
      <c r="KLP294" s="113"/>
      <c r="KLQ294" s="103"/>
      <c r="KLR294" s="113"/>
      <c r="KLS294" s="103"/>
      <c r="KLT294" s="113"/>
      <c r="KLU294" s="103"/>
      <c r="KLV294" s="113"/>
      <c r="KLW294" s="103"/>
      <c r="KLX294" s="113"/>
      <c r="KLY294" s="103"/>
      <c r="KLZ294" s="113"/>
      <c r="KMA294" s="103"/>
      <c r="KMB294" s="113"/>
      <c r="KMC294" s="103"/>
      <c r="KMD294" s="113"/>
      <c r="KME294" s="103"/>
      <c r="KMF294" s="113"/>
      <c r="KMG294" s="103"/>
      <c r="KMH294" s="113"/>
      <c r="KMI294" s="103"/>
      <c r="KMJ294" s="113"/>
      <c r="KMK294" s="103"/>
      <c r="KML294" s="113"/>
      <c r="KMM294" s="103"/>
      <c r="KMN294" s="113"/>
      <c r="KMO294" s="103"/>
      <c r="KMP294" s="113"/>
      <c r="KMQ294" s="103"/>
      <c r="KMR294" s="113"/>
      <c r="KMS294" s="103"/>
      <c r="KMT294" s="113"/>
      <c r="KMU294" s="103"/>
      <c r="KMV294" s="113"/>
      <c r="KMW294" s="103"/>
      <c r="KMX294" s="113"/>
      <c r="KMY294" s="103"/>
      <c r="KMZ294" s="113"/>
      <c r="KNA294" s="103"/>
      <c r="KNB294" s="113"/>
      <c r="KNC294" s="103"/>
      <c r="KND294" s="113"/>
      <c r="KNE294" s="103"/>
      <c r="KNF294" s="113"/>
      <c r="KNG294" s="103"/>
      <c r="KNH294" s="113"/>
      <c r="KNI294" s="103"/>
      <c r="KNJ294" s="113"/>
      <c r="KNK294" s="103"/>
      <c r="KNL294" s="113"/>
      <c r="KNM294" s="103"/>
      <c r="KNN294" s="113"/>
      <c r="KNO294" s="103"/>
      <c r="KNP294" s="113"/>
      <c r="KNQ294" s="103"/>
      <c r="KNR294" s="113"/>
      <c r="KNS294" s="103"/>
      <c r="KNT294" s="113"/>
      <c r="KNU294" s="103"/>
      <c r="KNV294" s="113"/>
      <c r="KNW294" s="103"/>
      <c r="KNX294" s="113"/>
      <c r="KNY294" s="103"/>
      <c r="KNZ294" s="113"/>
      <c r="KOA294" s="103"/>
      <c r="KOB294" s="113"/>
      <c r="KOC294" s="103"/>
      <c r="KOD294" s="113"/>
      <c r="KOE294" s="103"/>
      <c r="KOF294" s="113"/>
      <c r="KOG294" s="103"/>
      <c r="KOH294" s="113"/>
      <c r="KOI294" s="103"/>
      <c r="KOJ294" s="113"/>
      <c r="KOK294" s="103"/>
      <c r="KOL294" s="113"/>
      <c r="KOM294" s="103"/>
      <c r="KON294" s="113"/>
      <c r="KOO294" s="103"/>
      <c r="KOP294" s="113"/>
      <c r="KOQ294" s="103"/>
      <c r="KOR294" s="113"/>
      <c r="KOS294" s="103"/>
      <c r="KOT294" s="113"/>
      <c r="KOU294" s="103"/>
      <c r="KOV294" s="113"/>
      <c r="KOW294" s="103"/>
      <c r="KOX294" s="113"/>
      <c r="KOY294" s="103"/>
      <c r="KOZ294" s="113"/>
      <c r="KPA294" s="103"/>
      <c r="KPB294" s="113"/>
      <c r="KPC294" s="103"/>
      <c r="KPD294" s="113"/>
      <c r="KPE294" s="103"/>
      <c r="KPF294" s="113"/>
      <c r="KPG294" s="103"/>
      <c r="KPH294" s="113"/>
      <c r="KPI294" s="103"/>
      <c r="KPJ294" s="113"/>
      <c r="KPK294" s="103"/>
      <c r="KPL294" s="113"/>
      <c r="KPM294" s="103"/>
      <c r="KPN294" s="113"/>
      <c r="KPO294" s="103"/>
      <c r="KPP294" s="113"/>
      <c r="KPQ294" s="103"/>
      <c r="KPR294" s="113"/>
      <c r="KPS294" s="103"/>
      <c r="KPT294" s="113"/>
      <c r="KPU294" s="103"/>
      <c r="KPV294" s="113"/>
      <c r="KPW294" s="103"/>
      <c r="KPX294" s="113"/>
      <c r="KPY294" s="103"/>
      <c r="KPZ294" s="113"/>
      <c r="KQA294" s="103"/>
      <c r="KQB294" s="113"/>
      <c r="KQC294" s="103"/>
      <c r="KQD294" s="113"/>
      <c r="KQE294" s="103"/>
      <c r="KQF294" s="113"/>
      <c r="KQG294" s="103"/>
      <c r="KQH294" s="113"/>
      <c r="KQI294" s="103"/>
      <c r="KQJ294" s="113"/>
      <c r="KQK294" s="103"/>
      <c r="KQL294" s="113"/>
      <c r="KQM294" s="103"/>
      <c r="KQN294" s="113"/>
      <c r="KQO294" s="103"/>
      <c r="KQP294" s="113"/>
      <c r="KQQ294" s="103"/>
      <c r="KQR294" s="113"/>
      <c r="KQS294" s="103"/>
      <c r="KQT294" s="113"/>
      <c r="KQU294" s="103"/>
      <c r="KQV294" s="113"/>
      <c r="KQW294" s="103"/>
      <c r="KQX294" s="113"/>
      <c r="KQY294" s="103"/>
      <c r="KQZ294" s="113"/>
      <c r="KRA294" s="103"/>
      <c r="KRB294" s="113"/>
      <c r="KRC294" s="103"/>
      <c r="KRD294" s="113"/>
      <c r="KRE294" s="103"/>
      <c r="KRF294" s="113"/>
      <c r="KRG294" s="103"/>
      <c r="KRH294" s="113"/>
      <c r="KRI294" s="103"/>
      <c r="KRJ294" s="113"/>
      <c r="KRK294" s="103"/>
      <c r="KRL294" s="113"/>
      <c r="KRM294" s="103"/>
      <c r="KRN294" s="113"/>
      <c r="KRO294" s="103"/>
      <c r="KRP294" s="113"/>
      <c r="KRQ294" s="103"/>
      <c r="KRR294" s="113"/>
      <c r="KRS294" s="103"/>
      <c r="KRT294" s="113"/>
      <c r="KRU294" s="103"/>
      <c r="KRV294" s="113"/>
      <c r="KRW294" s="103"/>
      <c r="KRX294" s="113"/>
      <c r="KRY294" s="103"/>
      <c r="KRZ294" s="113"/>
      <c r="KSA294" s="103"/>
      <c r="KSB294" s="113"/>
      <c r="KSC294" s="103"/>
      <c r="KSD294" s="113"/>
      <c r="KSE294" s="103"/>
      <c r="KSF294" s="113"/>
      <c r="KSG294" s="103"/>
      <c r="KSH294" s="113"/>
      <c r="KSI294" s="103"/>
      <c r="KSJ294" s="113"/>
      <c r="KSK294" s="103"/>
      <c r="KSL294" s="113"/>
      <c r="KSM294" s="103"/>
      <c r="KSN294" s="113"/>
      <c r="KSO294" s="103"/>
      <c r="KSP294" s="113"/>
      <c r="KSQ294" s="103"/>
      <c r="KSR294" s="113"/>
      <c r="KSS294" s="103"/>
      <c r="KST294" s="113"/>
      <c r="KSU294" s="103"/>
      <c r="KSV294" s="113"/>
      <c r="KSW294" s="103"/>
      <c r="KSX294" s="113"/>
      <c r="KSY294" s="103"/>
      <c r="KSZ294" s="113"/>
      <c r="KTA294" s="103"/>
      <c r="KTB294" s="113"/>
      <c r="KTC294" s="103"/>
      <c r="KTD294" s="113"/>
      <c r="KTE294" s="103"/>
      <c r="KTF294" s="113"/>
      <c r="KTG294" s="103"/>
      <c r="KTH294" s="113"/>
      <c r="KTI294" s="103"/>
      <c r="KTJ294" s="113"/>
      <c r="KTK294" s="103"/>
      <c r="KTL294" s="113"/>
      <c r="KTM294" s="103"/>
      <c r="KTN294" s="113"/>
      <c r="KTO294" s="103"/>
      <c r="KTP294" s="113"/>
      <c r="KTQ294" s="103"/>
      <c r="KTR294" s="113"/>
      <c r="KTS294" s="103"/>
      <c r="KTT294" s="113"/>
      <c r="KTU294" s="103"/>
      <c r="KTV294" s="113"/>
      <c r="KTW294" s="103"/>
      <c r="KTX294" s="113"/>
      <c r="KTY294" s="103"/>
      <c r="KTZ294" s="113"/>
      <c r="KUA294" s="103"/>
      <c r="KUB294" s="113"/>
      <c r="KUC294" s="103"/>
      <c r="KUD294" s="113"/>
      <c r="KUE294" s="103"/>
      <c r="KUF294" s="113"/>
      <c r="KUG294" s="103"/>
      <c r="KUH294" s="113"/>
      <c r="KUI294" s="103"/>
      <c r="KUJ294" s="113"/>
      <c r="KUK294" s="103"/>
      <c r="KUL294" s="113"/>
      <c r="KUM294" s="103"/>
      <c r="KUN294" s="113"/>
      <c r="KUO294" s="103"/>
      <c r="KUP294" s="113"/>
      <c r="KUQ294" s="103"/>
      <c r="KUR294" s="113"/>
      <c r="KUS294" s="103"/>
      <c r="KUT294" s="113"/>
      <c r="KUU294" s="103"/>
      <c r="KUV294" s="113"/>
      <c r="KUW294" s="103"/>
      <c r="KUX294" s="113"/>
      <c r="KUY294" s="103"/>
      <c r="KUZ294" s="113"/>
      <c r="KVA294" s="103"/>
      <c r="KVB294" s="113"/>
      <c r="KVC294" s="103"/>
      <c r="KVD294" s="113"/>
      <c r="KVE294" s="103"/>
      <c r="KVF294" s="113"/>
      <c r="KVG294" s="103"/>
      <c r="KVH294" s="113"/>
      <c r="KVI294" s="103"/>
      <c r="KVJ294" s="113"/>
      <c r="KVK294" s="103"/>
      <c r="KVL294" s="113"/>
      <c r="KVM294" s="103"/>
      <c r="KVN294" s="113"/>
      <c r="KVO294" s="103"/>
      <c r="KVP294" s="113"/>
      <c r="KVQ294" s="103"/>
      <c r="KVR294" s="113"/>
      <c r="KVS294" s="103"/>
      <c r="KVT294" s="113"/>
      <c r="KVU294" s="103"/>
      <c r="KVV294" s="113"/>
      <c r="KVW294" s="103"/>
      <c r="KVX294" s="113"/>
      <c r="KVY294" s="103"/>
      <c r="KVZ294" s="113"/>
      <c r="KWA294" s="103"/>
      <c r="KWB294" s="113"/>
      <c r="KWC294" s="103"/>
      <c r="KWD294" s="113"/>
      <c r="KWE294" s="103"/>
      <c r="KWF294" s="113"/>
      <c r="KWG294" s="103"/>
      <c r="KWH294" s="113"/>
      <c r="KWI294" s="103"/>
      <c r="KWJ294" s="113"/>
      <c r="KWK294" s="103"/>
      <c r="KWL294" s="113"/>
      <c r="KWM294" s="103"/>
      <c r="KWN294" s="113"/>
      <c r="KWO294" s="103"/>
      <c r="KWP294" s="113"/>
      <c r="KWQ294" s="103"/>
      <c r="KWR294" s="113"/>
      <c r="KWS294" s="103"/>
      <c r="KWT294" s="113"/>
      <c r="KWU294" s="103"/>
      <c r="KWV294" s="113"/>
      <c r="KWW294" s="103"/>
      <c r="KWX294" s="113"/>
      <c r="KWY294" s="103"/>
      <c r="KWZ294" s="113"/>
      <c r="KXA294" s="103"/>
      <c r="KXB294" s="113"/>
      <c r="KXC294" s="103"/>
      <c r="KXD294" s="113"/>
      <c r="KXE294" s="103"/>
      <c r="KXF294" s="113"/>
      <c r="KXG294" s="103"/>
      <c r="KXH294" s="113"/>
      <c r="KXI294" s="103"/>
      <c r="KXJ294" s="113"/>
      <c r="KXK294" s="103"/>
      <c r="KXL294" s="113"/>
      <c r="KXM294" s="103"/>
      <c r="KXN294" s="113"/>
      <c r="KXO294" s="103"/>
      <c r="KXP294" s="113"/>
      <c r="KXQ294" s="103"/>
      <c r="KXR294" s="113"/>
      <c r="KXS294" s="103"/>
      <c r="KXT294" s="113"/>
      <c r="KXU294" s="103"/>
      <c r="KXV294" s="113"/>
      <c r="KXW294" s="103"/>
      <c r="KXX294" s="113"/>
      <c r="KXY294" s="103"/>
      <c r="KXZ294" s="113"/>
      <c r="KYA294" s="103"/>
      <c r="KYB294" s="113"/>
      <c r="KYC294" s="103"/>
      <c r="KYD294" s="113"/>
      <c r="KYE294" s="103"/>
      <c r="KYF294" s="113"/>
      <c r="KYG294" s="103"/>
      <c r="KYH294" s="113"/>
      <c r="KYI294" s="103"/>
      <c r="KYJ294" s="113"/>
      <c r="KYK294" s="103"/>
      <c r="KYL294" s="113"/>
      <c r="KYM294" s="103"/>
      <c r="KYN294" s="113"/>
      <c r="KYO294" s="103"/>
      <c r="KYP294" s="113"/>
      <c r="KYQ294" s="103"/>
      <c r="KYR294" s="113"/>
      <c r="KYS294" s="103"/>
      <c r="KYT294" s="113"/>
      <c r="KYU294" s="103"/>
      <c r="KYV294" s="113"/>
      <c r="KYW294" s="103"/>
      <c r="KYX294" s="113"/>
      <c r="KYY294" s="103"/>
      <c r="KYZ294" s="113"/>
      <c r="KZA294" s="103"/>
      <c r="KZB294" s="113"/>
      <c r="KZC294" s="103"/>
      <c r="KZD294" s="113"/>
      <c r="KZE294" s="103"/>
      <c r="KZF294" s="113"/>
      <c r="KZG294" s="103"/>
      <c r="KZH294" s="113"/>
      <c r="KZI294" s="103"/>
      <c r="KZJ294" s="113"/>
      <c r="KZK294" s="103"/>
      <c r="KZL294" s="113"/>
      <c r="KZM294" s="103"/>
      <c r="KZN294" s="113"/>
      <c r="KZO294" s="103"/>
      <c r="KZP294" s="113"/>
      <c r="KZQ294" s="103"/>
      <c r="KZR294" s="113"/>
      <c r="KZS294" s="103"/>
      <c r="KZT294" s="113"/>
      <c r="KZU294" s="103"/>
      <c r="KZV294" s="113"/>
      <c r="KZW294" s="103"/>
      <c r="KZX294" s="113"/>
      <c r="KZY294" s="103"/>
      <c r="KZZ294" s="113"/>
      <c r="LAA294" s="103"/>
      <c r="LAB294" s="113"/>
      <c r="LAC294" s="103"/>
      <c r="LAD294" s="113"/>
      <c r="LAE294" s="103"/>
      <c r="LAF294" s="113"/>
      <c r="LAG294" s="103"/>
      <c r="LAH294" s="113"/>
      <c r="LAI294" s="103"/>
      <c r="LAJ294" s="113"/>
      <c r="LAK294" s="103"/>
      <c r="LAL294" s="113"/>
      <c r="LAM294" s="103"/>
      <c r="LAN294" s="113"/>
      <c r="LAO294" s="103"/>
      <c r="LAP294" s="113"/>
      <c r="LAQ294" s="103"/>
      <c r="LAR294" s="113"/>
      <c r="LAS294" s="103"/>
      <c r="LAT294" s="113"/>
      <c r="LAU294" s="103"/>
      <c r="LAV294" s="113"/>
      <c r="LAW294" s="103"/>
      <c r="LAX294" s="113"/>
      <c r="LAY294" s="103"/>
      <c r="LAZ294" s="113"/>
      <c r="LBA294" s="103"/>
      <c r="LBB294" s="113"/>
      <c r="LBC294" s="103"/>
      <c r="LBD294" s="113"/>
      <c r="LBE294" s="103"/>
      <c r="LBF294" s="113"/>
      <c r="LBG294" s="103"/>
      <c r="LBH294" s="113"/>
      <c r="LBI294" s="103"/>
      <c r="LBJ294" s="113"/>
      <c r="LBK294" s="103"/>
      <c r="LBL294" s="113"/>
      <c r="LBM294" s="103"/>
      <c r="LBN294" s="113"/>
      <c r="LBO294" s="103"/>
      <c r="LBP294" s="113"/>
      <c r="LBQ294" s="103"/>
      <c r="LBR294" s="113"/>
      <c r="LBS294" s="103"/>
      <c r="LBT294" s="113"/>
      <c r="LBU294" s="103"/>
      <c r="LBV294" s="113"/>
      <c r="LBW294" s="103"/>
      <c r="LBX294" s="113"/>
      <c r="LBY294" s="103"/>
      <c r="LBZ294" s="113"/>
      <c r="LCA294" s="103"/>
      <c r="LCB294" s="113"/>
      <c r="LCC294" s="103"/>
      <c r="LCD294" s="113"/>
      <c r="LCE294" s="103"/>
      <c r="LCF294" s="113"/>
      <c r="LCG294" s="103"/>
      <c r="LCH294" s="113"/>
      <c r="LCI294" s="103"/>
      <c r="LCJ294" s="113"/>
      <c r="LCK294" s="103"/>
      <c r="LCL294" s="113"/>
      <c r="LCM294" s="103"/>
      <c r="LCN294" s="113"/>
      <c r="LCO294" s="103"/>
      <c r="LCP294" s="113"/>
      <c r="LCQ294" s="103"/>
      <c r="LCR294" s="113"/>
      <c r="LCS294" s="103"/>
      <c r="LCT294" s="113"/>
      <c r="LCU294" s="103"/>
      <c r="LCV294" s="113"/>
      <c r="LCW294" s="103"/>
      <c r="LCX294" s="113"/>
      <c r="LCY294" s="103"/>
      <c r="LCZ294" s="113"/>
      <c r="LDA294" s="103"/>
      <c r="LDB294" s="113"/>
      <c r="LDC294" s="103"/>
      <c r="LDD294" s="113"/>
      <c r="LDE294" s="103"/>
      <c r="LDF294" s="113"/>
      <c r="LDG294" s="103"/>
      <c r="LDH294" s="113"/>
      <c r="LDI294" s="103"/>
      <c r="LDJ294" s="113"/>
      <c r="LDK294" s="103"/>
      <c r="LDL294" s="113"/>
      <c r="LDM294" s="103"/>
      <c r="LDN294" s="113"/>
      <c r="LDO294" s="103"/>
      <c r="LDP294" s="113"/>
      <c r="LDQ294" s="103"/>
      <c r="LDR294" s="113"/>
      <c r="LDS294" s="103"/>
      <c r="LDT294" s="113"/>
      <c r="LDU294" s="103"/>
      <c r="LDV294" s="113"/>
      <c r="LDW294" s="103"/>
      <c r="LDX294" s="113"/>
      <c r="LDY294" s="103"/>
      <c r="LDZ294" s="113"/>
      <c r="LEA294" s="103"/>
      <c r="LEB294" s="113"/>
      <c r="LEC294" s="103"/>
      <c r="LED294" s="113"/>
      <c r="LEE294" s="103"/>
      <c r="LEF294" s="113"/>
      <c r="LEG294" s="103"/>
      <c r="LEH294" s="113"/>
      <c r="LEI294" s="103"/>
      <c r="LEJ294" s="113"/>
      <c r="LEK294" s="103"/>
      <c r="LEL294" s="113"/>
      <c r="LEM294" s="103"/>
      <c r="LEN294" s="113"/>
      <c r="LEO294" s="103"/>
      <c r="LEP294" s="113"/>
      <c r="LEQ294" s="103"/>
      <c r="LER294" s="113"/>
      <c r="LES294" s="103"/>
      <c r="LET294" s="113"/>
      <c r="LEU294" s="103"/>
      <c r="LEV294" s="113"/>
      <c r="LEW294" s="103"/>
      <c r="LEX294" s="113"/>
      <c r="LEY294" s="103"/>
      <c r="LEZ294" s="113"/>
      <c r="LFA294" s="103"/>
      <c r="LFB294" s="113"/>
      <c r="LFC294" s="103"/>
      <c r="LFD294" s="113"/>
      <c r="LFE294" s="103"/>
      <c r="LFF294" s="113"/>
      <c r="LFG294" s="103"/>
      <c r="LFH294" s="113"/>
      <c r="LFI294" s="103"/>
      <c r="LFJ294" s="113"/>
      <c r="LFK294" s="103"/>
      <c r="LFL294" s="113"/>
      <c r="LFM294" s="103"/>
      <c r="LFN294" s="113"/>
      <c r="LFO294" s="103"/>
      <c r="LFP294" s="113"/>
      <c r="LFQ294" s="103"/>
      <c r="LFR294" s="113"/>
      <c r="LFS294" s="103"/>
      <c r="LFT294" s="113"/>
      <c r="LFU294" s="103"/>
      <c r="LFV294" s="113"/>
      <c r="LFW294" s="103"/>
      <c r="LFX294" s="113"/>
      <c r="LFY294" s="103"/>
      <c r="LFZ294" s="113"/>
      <c r="LGA294" s="103"/>
      <c r="LGB294" s="113"/>
      <c r="LGC294" s="103"/>
      <c r="LGD294" s="113"/>
      <c r="LGE294" s="103"/>
      <c r="LGF294" s="113"/>
      <c r="LGG294" s="103"/>
      <c r="LGH294" s="113"/>
      <c r="LGI294" s="103"/>
      <c r="LGJ294" s="113"/>
      <c r="LGK294" s="103"/>
      <c r="LGL294" s="113"/>
      <c r="LGM294" s="103"/>
      <c r="LGN294" s="113"/>
      <c r="LGO294" s="103"/>
      <c r="LGP294" s="113"/>
      <c r="LGQ294" s="103"/>
      <c r="LGR294" s="113"/>
      <c r="LGS294" s="103"/>
      <c r="LGT294" s="113"/>
      <c r="LGU294" s="103"/>
      <c r="LGV294" s="113"/>
      <c r="LGW294" s="103"/>
      <c r="LGX294" s="113"/>
      <c r="LGY294" s="103"/>
      <c r="LGZ294" s="113"/>
      <c r="LHA294" s="103"/>
      <c r="LHB294" s="113"/>
      <c r="LHC294" s="103"/>
      <c r="LHD294" s="113"/>
      <c r="LHE294" s="103"/>
      <c r="LHF294" s="113"/>
      <c r="LHG294" s="103"/>
      <c r="LHH294" s="113"/>
      <c r="LHI294" s="103"/>
      <c r="LHJ294" s="113"/>
      <c r="LHK294" s="103"/>
      <c r="LHL294" s="113"/>
      <c r="LHM294" s="103"/>
      <c r="LHN294" s="113"/>
      <c r="LHO294" s="103"/>
      <c r="LHP294" s="113"/>
      <c r="LHQ294" s="103"/>
      <c r="LHR294" s="113"/>
      <c r="LHS294" s="103"/>
      <c r="LHT294" s="113"/>
      <c r="LHU294" s="103"/>
      <c r="LHV294" s="113"/>
      <c r="LHW294" s="103"/>
      <c r="LHX294" s="113"/>
      <c r="LHY294" s="103"/>
      <c r="LHZ294" s="113"/>
      <c r="LIA294" s="103"/>
      <c r="LIB294" s="113"/>
      <c r="LIC294" s="103"/>
      <c r="LID294" s="113"/>
      <c r="LIE294" s="103"/>
      <c r="LIF294" s="113"/>
      <c r="LIG294" s="103"/>
      <c r="LIH294" s="113"/>
      <c r="LII294" s="103"/>
      <c r="LIJ294" s="113"/>
      <c r="LIK294" s="103"/>
      <c r="LIL294" s="113"/>
      <c r="LIM294" s="103"/>
      <c r="LIN294" s="113"/>
      <c r="LIO294" s="103"/>
      <c r="LIP294" s="113"/>
      <c r="LIQ294" s="103"/>
      <c r="LIR294" s="113"/>
      <c r="LIS294" s="103"/>
      <c r="LIT294" s="113"/>
      <c r="LIU294" s="103"/>
      <c r="LIV294" s="113"/>
      <c r="LIW294" s="103"/>
      <c r="LIX294" s="113"/>
      <c r="LIY294" s="103"/>
      <c r="LIZ294" s="113"/>
      <c r="LJA294" s="103"/>
      <c r="LJB294" s="113"/>
      <c r="LJC294" s="103"/>
      <c r="LJD294" s="113"/>
      <c r="LJE294" s="103"/>
      <c r="LJF294" s="113"/>
      <c r="LJG294" s="103"/>
      <c r="LJH294" s="113"/>
      <c r="LJI294" s="103"/>
      <c r="LJJ294" s="113"/>
      <c r="LJK294" s="103"/>
      <c r="LJL294" s="113"/>
      <c r="LJM294" s="103"/>
      <c r="LJN294" s="113"/>
      <c r="LJO294" s="103"/>
      <c r="LJP294" s="113"/>
      <c r="LJQ294" s="103"/>
      <c r="LJR294" s="113"/>
      <c r="LJS294" s="103"/>
      <c r="LJT294" s="113"/>
      <c r="LJU294" s="103"/>
      <c r="LJV294" s="113"/>
      <c r="LJW294" s="103"/>
      <c r="LJX294" s="113"/>
      <c r="LJY294" s="103"/>
      <c r="LJZ294" s="113"/>
      <c r="LKA294" s="103"/>
      <c r="LKB294" s="113"/>
      <c r="LKC294" s="103"/>
      <c r="LKD294" s="113"/>
      <c r="LKE294" s="103"/>
      <c r="LKF294" s="113"/>
      <c r="LKG294" s="103"/>
      <c r="LKH294" s="113"/>
      <c r="LKI294" s="103"/>
      <c r="LKJ294" s="113"/>
      <c r="LKK294" s="103"/>
      <c r="LKL294" s="113"/>
      <c r="LKM294" s="103"/>
      <c r="LKN294" s="113"/>
      <c r="LKO294" s="103"/>
      <c r="LKP294" s="113"/>
      <c r="LKQ294" s="103"/>
      <c r="LKR294" s="113"/>
      <c r="LKS294" s="103"/>
      <c r="LKT294" s="113"/>
      <c r="LKU294" s="103"/>
      <c r="LKV294" s="113"/>
      <c r="LKW294" s="103"/>
      <c r="LKX294" s="113"/>
      <c r="LKY294" s="103"/>
      <c r="LKZ294" s="113"/>
      <c r="LLA294" s="103"/>
      <c r="LLB294" s="113"/>
      <c r="LLC294" s="103"/>
      <c r="LLD294" s="113"/>
      <c r="LLE294" s="103"/>
      <c r="LLF294" s="113"/>
      <c r="LLG294" s="103"/>
      <c r="LLH294" s="113"/>
      <c r="LLI294" s="103"/>
      <c r="LLJ294" s="113"/>
      <c r="LLK294" s="103"/>
      <c r="LLL294" s="113"/>
      <c r="LLM294" s="103"/>
      <c r="LLN294" s="113"/>
      <c r="LLO294" s="103"/>
      <c r="LLP294" s="113"/>
      <c r="LLQ294" s="103"/>
      <c r="LLR294" s="113"/>
      <c r="LLS294" s="103"/>
      <c r="LLT294" s="113"/>
      <c r="LLU294" s="103"/>
      <c r="LLV294" s="113"/>
      <c r="LLW294" s="103"/>
      <c r="LLX294" s="113"/>
      <c r="LLY294" s="103"/>
      <c r="LLZ294" s="113"/>
      <c r="LMA294" s="103"/>
      <c r="LMB294" s="113"/>
      <c r="LMC294" s="103"/>
      <c r="LMD294" s="113"/>
      <c r="LME294" s="103"/>
      <c r="LMF294" s="113"/>
      <c r="LMG294" s="103"/>
      <c r="LMH294" s="113"/>
      <c r="LMI294" s="103"/>
      <c r="LMJ294" s="113"/>
      <c r="LMK294" s="103"/>
      <c r="LML294" s="113"/>
      <c r="LMM294" s="103"/>
      <c r="LMN294" s="113"/>
      <c r="LMO294" s="103"/>
      <c r="LMP294" s="113"/>
      <c r="LMQ294" s="103"/>
      <c r="LMR294" s="113"/>
      <c r="LMS294" s="103"/>
      <c r="LMT294" s="113"/>
      <c r="LMU294" s="103"/>
      <c r="LMV294" s="113"/>
      <c r="LMW294" s="103"/>
      <c r="LMX294" s="113"/>
      <c r="LMY294" s="103"/>
      <c r="LMZ294" s="113"/>
      <c r="LNA294" s="103"/>
      <c r="LNB294" s="113"/>
      <c r="LNC294" s="103"/>
      <c r="LND294" s="113"/>
      <c r="LNE294" s="103"/>
      <c r="LNF294" s="113"/>
      <c r="LNG294" s="103"/>
      <c r="LNH294" s="113"/>
      <c r="LNI294" s="103"/>
      <c r="LNJ294" s="113"/>
      <c r="LNK294" s="103"/>
      <c r="LNL294" s="113"/>
      <c r="LNM294" s="103"/>
      <c r="LNN294" s="113"/>
      <c r="LNO294" s="103"/>
      <c r="LNP294" s="113"/>
      <c r="LNQ294" s="103"/>
      <c r="LNR294" s="113"/>
      <c r="LNS294" s="103"/>
      <c r="LNT294" s="113"/>
      <c r="LNU294" s="103"/>
      <c r="LNV294" s="113"/>
      <c r="LNW294" s="103"/>
      <c r="LNX294" s="113"/>
      <c r="LNY294" s="103"/>
      <c r="LNZ294" s="113"/>
      <c r="LOA294" s="103"/>
      <c r="LOB294" s="113"/>
      <c r="LOC294" s="103"/>
      <c r="LOD294" s="113"/>
      <c r="LOE294" s="103"/>
      <c r="LOF294" s="113"/>
      <c r="LOG294" s="103"/>
      <c r="LOH294" s="113"/>
      <c r="LOI294" s="103"/>
      <c r="LOJ294" s="113"/>
      <c r="LOK294" s="103"/>
      <c r="LOL294" s="113"/>
      <c r="LOM294" s="103"/>
      <c r="LON294" s="113"/>
      <c r="LOO294" s="103"/>
      <c r="LOP294" s="113"/>
      <c r="LOQ294" s="103"/>
      <c r="LOR294" s="113"/>
      <c r="LOS294" s="103"/>
      <c r="LOT294" s="113"/>
      <c r="LOU294" s="103"/>
      <c r="LOV294" s="113"/>
      <c r="LOW294" s="103"/>
      <c r="LOX294" s="113"/>
      <c r="LOY294" s="103"/>
      <c r="LOZ294" s="113"/>
      <c r="LPA294" s="103"/>
      <c r="LPB294" s="113"/>
      <c r="LPC294" s="103"/>
      <c r="LPD294" s="113"/>
      <c r="LPE294" s="103"/>
      <c r="LPF294" s="113"/>
      <c r="LPG294" s="103"/>
      <c r="LPH294" s="113"/>
      <c r="LPI294" s="103"/>
      <c r="LPJ294" s="113"/>
      <c r="LPK294" s="103"/>
      <c r="LPL294" s="113"/>
      <c r="LPM294" s="103"/>
      <c r="LPN294" s="113"/>
      <c r="LPO294" s="103"/>
      <c r="LPP294" s="113"/>
      <c r="LPQ294" s="103"/>
      <c r="LPR294" s="113"/>
      <c r="LPS294" s="103"/>
      <c r="LPT294" s="113"/>
      <c r="LPU294" s="103"/>
      <c r="LPV294" s="113"/>
      <c r="LPW294" s="103"/>
      <c r="LPX294" s="113"/>
      <c r="LPY294" s="103"/>
      <c r="LPZ294" s="113"/>
      <c r="LQA294" s="103"/>
      <c r="LQB294" s="113"/>
      <c r="LQC294" s="103"/>
      <c r="LQD294" s="113"/>
      <c r="LQE294" s="103"/>
      <c r="LQF294" s="113"/>
      <c r="LQG294" s="103"/>
      <c r="LQH294" s="113"/>
      <c r="LQI294" s="103"/>
      <c r="LQJ294" s="113"/>
      <c r="LQK294" s="103"/>
      <c r="LQL294" s="113"/>
      <c r="LQM294" s="103"/>
      <c r="LQN294" s="113"/>
      <c r="LQO294" s="103"/>
      <c r="LQP294" s="113"/>
      <c r="LQQ294" s="103"/>
      <c r="LQR294" s="113"/>
      <c r="LQS294" s="103"/>
      <c r="LQT294" s="113"/>
      <c r="LQU294" s="103"/>
      <c r="LQV294" s="113"/>
      <c r="LQW294" s="103"/>
      <c r="LQX294" s="113"/>
      <c r="LQY294" s="103"/>
      <c r="LQZ294" s="113"/>
      <c r="LRA294" s="103"/>
      <c r="LRB294" s="113"/>
      <c r="LRC294" s="103"/>
      <c r="LRD294" s="113"/>
      <c r="LRE294" s="103"/>
      <c r="LRF294" s="113"/>
      <c r="LRG294" s="103"/>
      <c r="LRH294" s="113"/>
      <c r="LRI294" s="103"/>
      <c r="LRJ294" s="113"/>
      <c r="LRK294" s="103"/>
      <c r="LRL294" s="113"/>
      <c r="LRM294" s="103"/>
      <c r="LRN294" s="113"/>
      <c r="LRO294" s="103"/>
      <c r="LRP294" s="113"/>
      <c r="LRQ294" s="103"/>
      <c r="LRR294" s="113"/>
      <c r="LRS294" s="103"/>
      <c r="LRT294" s="113"/>
      <c r="LRU294" s="103"/>
      <c r="LRV294" s="113"/>
      <c r="LRW294" s="103"/>
      <c r="LRX294" s="113"/>
      <c r="LRY294" s="103"/>
      <c r="LRZ294" s="113"/>
      <c r="LSA294" s="103"/>
      <c r="LSB294" s="113"/>
      <c r="LSC294" s="103"/>
      <c r="LSD294" s="113"/>
      <c r="LSE294" s="103"/>
      <c r="LSF294" s="113"/>
      <c r="LSG294" s="103"/>
      <c r="LSH294" s="113"/>
      <c r="LSI294" s="103"/>
      <c r="LSJ294" s="113"/>
      <c r="LSK294" s="103"/>
      <c r="LSL294" s="113"/>
      <c r="LSM294" s="103"/>
      <c r="LSN294" s="113"/>
      <c r="LSO294" s="103"/>
      <c r="LSP294" s="113"/>
      <c r="LSQ294" s="103"/>
      <c r="LSR294" s="113"/>
      <c r="LSS294" s="103"/>
      <c r="LST294" s="113"/>
      <c r="LSU294" s="103"/>
      <c r="LSV294" s="113"/>
      <c r="LSW294" s="103"/>
      <c r="LSX294" s="113"/>
      <c r="LSY294" s="103"/>
      <c r="LSZ294" s="113"/>
      <c r="LTA294" s="103"/>
      <c r="LTB294" s="113"/>
      <c r="LTC294" s="103"/>
      <c r="LTD294" s="113"/>
      <c r="LTE294" s="103"/>
      <c r="LTF294" s="113"/>
      <c r="LTG294" s="103"/>
      <c r="LTH294" s="113"/>
      <c r="LTI294" s="103"/>
      <c r="LTJ294" s="113"/>
      <c r="LTK294" s="103"/>
      <c r="LTL294" s="113"/>
      <c r="LTM294" s="103"/>
      <c r="LTN294" s="113"/>
      <c r="LTO294" s="103"/>
      <c r="LTP294" s="113"/>
      <c r="LTQ294" s="103"/>
      <c r="LTR294" s="113"/>
      <c r="LTS294" s="103"/>
      <c r="LTT294" s="113"/>
      <c r="LTU294" s="103"/>
      <c r="LTV294" s="113"/>
      <c r="LTW294" s="103"/>
      <c r="LTX294" s="113"/>
      <c r="LTY294" s="103"/>
      <c r="LTZ294" s="113"/>
      <c r="LUA294" s="103"/>
      <c r="LUB294" s="113"/>
      <c r="LUC294" s="103"/>
      <c r="LUD294" s="113"/>
      <c r="LUE294" s="103"/>
      <c r="LUF294" s="113"/>
      <c r="LUG294" s="103"/>
      <c r="LUH294" s="113"/>
      <c r="LUI294" s="103"/>
      <c r="LUJ294" s="113"/>
      <c r="LUK294" s="103"/>
      <c r="LUL294" s="113"/>
      <c r="LUM294" s="103"/>
      <c r="LUN294" s="113"/>
      <c r="LUO294" s="103"/>
      <c r="LUP294" s="113"/>
      <c r="LUQ294" s="103"/>
      <c r="LUR294" s="113"/>
      <c r="LUS294" s="103"/>
      <c r="LUT294" s="113"/>
      <c r="LUU294" s="103"/>
      <c r="LUV294" s="113"/>
      <c r="LUW294" s="103"/>
      <c r="LUX294" s="113"/>
      <c r="LUY294" s="103"/>
      <c r="LUZ294" s="113"/>
      <c r="LVA294" s="103"/>
      <c r="LVB294" s="113"/>
      <c r="LVC294" s="103"/>
      <c r="LVD294" s="113"/>
      <c r="LVE294" s="103"/>
      <c r="LVF294" s="113"/>
      <c r="LVG294" s="103"/>
      <c r="LVH294" s="113"/>
      <c r="LVI294" s="103"/>
      <c r="LVJ294" s="113"/>
      <c r="LVK294" s="103"/>
      <c r="LVL294" s="113"/>
      <c r="LVM294" s="103"/>
      <c r="LVN294" s="113"/>
      <c r="LVO294" s="103"/>
      <c r="LVP294" s="113"/>
      <c r="LVQ294" s="103"/>
      <c r="LVR294" s="113"/>
      <c r="LVS294" s="103"/>
      <c r="LVT294" s="113"/>
      <c r="LVU294" s="103"/>
      <c r="LVV294" s="113"/>
      <c r="LVW294" s="103"/>
      <c r="LVX294" s="113"/>
      <c r="LVY294" s="103"/>
      <c r="LVZ294" s="113"/>
      <c r="LWA294" s="103"/>
      <c r="LWB294" s="113"/>
      <c r="LWC294" s="103"/>
      <c r="LWD294" s="113"/>
      <c r="LWE294" s="103"/>
      <c r="LWF294" s="113"/>
      <c r="LWG294" s="103"/>
      <c r="LWH294" s="113"/>
      <c r="LWI294" s="103"/>
      <c r="LWJ294" s="113"/>
      <c r="LWK294" s="103"/>
      <c r="LWL294" s="113"/>
      <c r="LWM294" s="103"/>
      <c r="LWN294" s="113"/>
      <c r="LWO294" s="103"/>
      <c r="LWP294" s="113"/>
      <c r="LWQ294" s="103"/>
      <c r="LWR294" s="113"/>
      <c r="LWS294" s="103"/>
      <c r="LWT294" s="113"/>
      <c r="LWU294" s="103"/>
      <c r="LWV294" s="113"/>
      <c r="LWW294" s="103"/>
      <c r="LWX294" s="113"/>
      <c r="LWY294" s="103"/>
      <c r="LWZ294" s="113"/>
      <c r="LXA294" s="103"/>
      <c r="LXB294" s="113"/>
      <c r="LXC294" s="103"/>
      <c r="LXD294" s="113"/>
      <c r="LXE294" s="103"/>
      <c r="LXF294" s="113"/>
      <c r="LXG294" s="103"/>
      <c r="LXH294" s="113"/>
      <c r="LXI294" s="103"/>
      <c r="LXJ294" s="113"/>
      <c r="LXK294" s="103"/>
      <c r="LXL294" s="113"/>
      <c r="LXM294" s="103"/>
      <c r="LXN294" s="113"/>
      <c r="LXO294" s="103"/>
      <c r="LXP294" s="113"/>
      <c r="LXQ294" s="103"/>
      <c r="LXR294" s="113"/>
      <c r="LXS294" s="103"/>
      <c r="LXT294" s="113"/>
      <c r="LXU294" s="103"/>
      <c r="LXV294" s="113"/>
      <c r="LXW294" s="103"/>
      <c r="LXX294" s="113"/>
      <c r="LXY294" s="103"/>
      <c r="LXZ294" s="113"/>
      <c r="LYA294" s="103"/>
      <c r="LYB294" s="113"/>
      <c r="LYC294" s="103"/>
      <c r="LYD294" s="113"/>
      <c r="LYE294" s="103"/>
      <c r="LYF294" s="113"/>
      <c r="LYG294" s="103"/>
      <c r="LYH294" s="113"/>
      <c r="LYI294" s="103"/>
      <c r="LYJ294" s="113"/>
      <c r="LYK294" s="103"/>
      <c r="LYL294" s="113"/>
      <c r="LYM294" s="103"/>
      <c r="LYN294" s="113"/>
      <c r="LYO294" s="103"/>
      <c r="LYP294" s="113"/>
      <c r="LYQ294" s="103"/>
      <c r="LYR294" s="113"/>
      <c r="LYS294" s="103"/>
      <c r="LYT294" s="113"/>
      <c r="LYU294" s="103"/>
      <c r="LYV294" s="113"/>
      <c r="LYW294" s="103"/>
      <c r="LYX294" s="113"/>
      <c r="LYY294" s="103"/>
      <c r="LYZ294" s="113"/>
      <c r="LZA294" s="103"/>
      <c r="LZB294" s="113"/>
      <c r="LZC294" s="103"/>
      <c r="LZD294" s="113"/>
      <c r="LZE294" s="103"/>
      <c r="LZF294" s="113"/>
      <c r="LZG294" s="103"/>
      <c r="LZH294" s="113"/>
      <c r="LZI294" s="103"/>
      <c r="LZJ294" s="113"/>
      <c r="LZK294" s="103"/>
      <c r="LZL294" s="113"/>
      <c r="LZM294" s="103"/>
      <c r="LZN294" s="113"/>
      <c r="LZO294" s="103"/>
      <c r="LZP294" s="113"/>
      <c r="LZQ294" s="103"/>
      <c r="LZR294" s="113"/>
      <c r="LZS294" s="103"/>
      <c r="LZT294" s="113"/>
      <c r="LZU294" s="103"/>
      <c r="LZV294" s="113"/>
      <c r="LZW294" s="103"/>
      <c r="LZX294" s="113"/>
      <c r="LZY294" s="103"/>
      <c r="LZZ294" s="113"/>
      <c r="MAA294" s="103"/>
      <c r="MAB294" s="113"/>
      <c r="MAC294" s="103"/>
      <c r="MAD294" s="113"/>
      <c r="MAE294" s="103"/>
      <c r="MAF294" s="113"/>
      <c r="MAG294" s="103"/>
      <c r="MAH294" s="113"/>
      <c r="MAI294" s="103"/>
      <c r="MAJ294" s="113"/>
      <c r="MAK294" s="103"/>
      <c r="MAL294" s="113"/>
      <c r="MAM294" s="103"/>
      <c r="MAN294" s="113"/>
      <c r="MAO294" s="103"/>
      <c r="MAP294" s="113"/>
      <c r="MAQ294" s="103"/>
      <c r="MAR294" s="113"/>
      <c r="MAS294" s="103"/>
      <c r="MAT294" s="113"/>
      <c r="MAU294" s="103"/>
      <c r="MAV294" s="113"/>
      <c r="MAW294" s="103"/>
      <c r="MAX294" s="113"/>
      <c r="MAY294" s="103"/>
      <c r="MAZ294" s="113"/>
      <c r="MBA294" s="103"/>
      <c r="MBB294" s="113"/>
      <c r="MBC294" s="103"/>
      <c r="MBD294" s="113"/>
      <c r="MBE294" s="103"/>
      <c r="MBF294" s="113"/>
      <c r="MBG294" s="103"/>
      <c r="MBH294" s="113"/>
      <c r="MBI294" s="103"/>
      <c r="MBJ294" s="113"/>
      <c r="MBK294" s="103"/>
      <c r="MBL294" s="113"/>
      <c r="MBM294" s="103"/>
      <c r="MBN294" s="113"/>
      <c r="MBO294" s="103"/>
      <c r="MBP294" s="113"/>
      <c r="MBQ294" s="103"/>
      <c r="MBR294" s="113"/>
      <c r="MBS294" s="103"/>
      <c r="MBT294" s="113"/>
      <c r="MBU294" s="103"/>
      <c r="MBV294" s="113"/>
      <c r="MBW294" s="103"/>
      <c r="MBX294" s="113"/>
      <c r="MBY294" s="103"/>
      <c r="MBZ294" s="113"/>
      <c r="MCA294" s="103"/>
      <c r="MCB294" s="113"/>
      <c r="MCC294" s="103"/>
      <c r="MCD294" s="113"/>
      <c r="MCE294" s="103"/>
      <c r="MCF294" s="113"/>
      <c r="MCG294" s="103"/>
      <c r="MCH294" s="113"/>
      <c r="MCI294" s="103"/>
      <c r="MCJ294" s="113"/>
      <c r="MCK294" s="103"/>
      <c r="MCL294" s="113"/>
      <c r="MCM294" s="103"/>
      <c r="MCN294" s="113"/>
      <c r="MCO294" s="103"/>
      <c r="MCP294" s="113"/>
      <c r="MCQ294" s="103"/>
      <c r="MCR294" s="113"/>
      <c r="MCS294" s="103"/>
      <c r="MCT294" s="113"/>
      <c r="MCU294" s="103"/>
      <c r="MCV294" s="113"/>
      <c r="MCW294" s="103"/>
      <c r="MCX294" s="113"/>
      <c r="MCY294" s="103"/>
      <c r="MCZ294" s="113"/>
      <c r="MDA294" s="103"/>
      <c r="MDB294" s="113"/>
      <c r="MDC294" s="103"/>
      <c r="MDD294" s="113"/>
      <c r="MDE294" s="103"/>
      <c r="MDF294" s="113"/>
      <c r="MDG294" s="103"/>
      <c r="MDH294" s="113"/>
      <c r="MDI294" s="103"/>
      <c r="MDJ294" s="113"/>
      <c r="MDK294" s="103"/>
      <c r="MDL294" s="113"/>
      <c r="MDM294" s="103"/>
      <c r="MDN294" s="113"/>
      <c r="MDO294" s="103"/>
      <c r="MDP294" s="113"/>
      <c r="MDQ294" s="103"/>
      <c r="MDR294" s="113"/>
      <c r="MDS294" s="103"/>
      <c r="MDT294" s="113"/>
      <c r="MDU294" s="103"/>
      <c r="MDV294" s="113"/>
      <c r="MDW294" s="103"/>
      <c r="MDX294" s="113"/>
      <c r="MDY294" s="103"/>
      <c r="MDZ294" s="113"/>
      <c r="MEA294" s="103"/>
      <c r="MEB294" s="113"/>
      <c r="MEC294" s="103"/>
      <c r="MED294" s="113"/>
      <c r="MEE294" s="103"/>
      <c r="MEF294" s="113"/>
      <c r="MEG294" s="103"/>
      <c r="MEH294" s="113"/>
      <c r="MEI294" s="103"/>
      <c r="MEJ294" s="113"/>
      <c r="MEK294" s="103"/>
      <c r="MEL294" s="113"/>
      <c r="MEM294" s="103"/>
      <c r="MEN294" s="113"/>
      <c r="MEO294" s="103"/>
      <c r="MEP294" s="113"/>
      <c r="MEQ294" s="103"/>
      <c r="MER294" s="113"/>
      <c r="MES294" s="103"/>
      <c r="MET294" s="113"/>
      <c r="MEU294" s="103"/>
      <c r="MEV294" s="113"/>
      <c r="MEW294" s="103"/>
      <c r="MEX294" s="113"/>
      <c r="MEY294" s="103"/>
      <c r="MEZ294" s="113"/>
      <c r="MFA294" s="103"/>
      <c r="MFB294" s="113"/>
      <c r="MFC294" s="103"/>
      <c r="MFD294" s="113"/>
      <c r="MFE294" s="103"/>
      <c r="MFF294" s="113"/>
      <c r="MFG294" s="103"/>
      <c r="MFH294" s="113"/>
      <c r="MFI294" s="103"/>
      <c r="MFJ294" s="113"/>
      <c r="MFK294" s="103"/>
      <c r="MFL294" s="113"/>
      <c r="MFM294" s="103"/>
      <c r="MFN294" s="113"/>
      <c r="MFO294" s="103"/>
      <c r="MFP294" s="113"/>
      <c r="MFQ294" s="103"/>
      <c r="MFR294" s="113"/>
      <c r="MFS294" s="103"/>
      <c r="MFT294" s="113"/>
      <c r="MFU294" s="103"/>
      <c r="MFV294" s="113"/>
      <c r="MFW294" s="103"/>
      <c r="MFX294" s="113"/>
      <c r="MFY294" s="103"/>
      <c r="MFZ294" s="113"/>
      <c r="MGA294" s="103"/>
      <c r="MGB294" s="113"/>
      <c r="MGC294" s="103"/>
      <c r="MGD294" s="113"/>
      <c r="MGE294" s="103"/>
      <c r="MGF294" s="113"/>
      <c r="MGG294" s="103"/>
      <c r="MGH294" s="113"/>
      <c r="MGI294" s="103"/>
      <c r="MGJ294" s="113"/>
      <c r="MGK294" s="103"/>
      <c r="MGL294" s="113"/>
      <c r="MGM294" s="103"/>
      <c r="MGN294" s="113"/>
      <c r="MGO294" s="103"/>
      <c r="MGP294" s="113"/>
      <c r="MGQ294" s="103"/>
      <c r="MGR294" s="113"/>
      <c r="MGS294" s="103"/>
      <c r="MGT294" s="113"/>
      <c r="MGU294" s="103"/>
      <c r="MGV294" s="113"/>
      <c r="MGW294" s="103"/>
      <c r="MGX294" s="113"/>
      <c r="MGY294" s="103"/>
      <c r="MGZ294" s="113"/>
      <c r="MHA294" s="103"/>
      <c r="MHB294" s="113"/>
      <c r="MHC294" s="103"/>
      <c r="MHD294" s="113"/>
      <c r="MHE294" s="103"/>
      <c r="MHF294" s="113"/>
      <c r="MHG294" s="103"/>
      <c r="MHH294" s="113"/>
      <c r="MHI294" s="103"/>
      <c r="MHJ294" s="113"/>
      <c r="MHK294" s="103"/>
      <c r="MHL294" s="113"/>
      <c r="MHM294" s="103"/>
      <c r="MHN294" s="113"/>
      <c r="MHO294" s="103"/>
      <c r="MHP294" s="113"/>
      <c r="MHQ294" s="103"/>
      <c r="MHR294" s="113"/>
      <c r="MHS294" s="103"/>
      <c r="MHT294" s="113"/>
      <c r="MHU294" s="103"/>
      <c r="MHV294" s="113"/>
      <c r="MHW294" s="103"/>
      <c r="MHX294" s="113"/>
      <c r="MHY294" s="103"/>
      <c r="MHZ294" s="113"/>
      <c r="MIA294" s="103"/>
      <c r="MIB294" s="113"/>
      <c r="MIC294" s="103"/>
      <c r="MID294" s="113"/>
      <c r="MIE294" s="103"/>
      <c r="MIF294" s="113"/>
      <c r="MIG294" s="103"/>
      <c r="MIH294" s="113"/>
      <c r="MII294" s="103"/>
      <c r="MIJ294" s="113"/>
      <c r="MIK294" s="103"/>
      <c r="MIL294" s="113"/>
      <c r="MIM294" s="103"/>
      <c r="MIN294" s="113"/>
      <c r="MIO294" s="103"/>
      <c r="MIP294" s="113"/>
      <c r="MIQ294" s="103"/>
      <c r="MIR294" s="113"/>
      <c r="MIS294" s="103"/>
      <c r="MIT294" s="113"/>
      <c r="MIU294" s="103"/>
      <c r="MIV294" s="113"/>
      <c r="MIW294" s="103"/>
      <c r="MIX294" s="113"/>
      <c r="MIY294" s="103"/>
      <c r="MIZ294" s="113"/>
      <c r="MJA294" s="103"/>
      <c r="MJB294" s="113"/>
      <c r="MJC294" s="103"/>
      <c r="MJD294" s="113"/>
      <c r="MJE294" s="103"/>
      <c r="MJF294" s="113"/>
      <c r="MJG294" s="103"/>
      <c r="MJH294" s="113"/>
      <c r="MJI294" s="103"/>
      <c r="MJJ294" s="113"/>
      <c r="MJK294" s="103"/>
      <c r="MJL294" s="113"/>
      <c r="MJM294" s="103"/>
      <c r="MJN294" s="113"/>
      <c r="MJO294" s="103"/>
      <c r="MJP294" s="113"/>
      <c r="MJQ294" s="103"/>
      <c r="MJR294" s="113"/>
      <c r="MJS294" s="103"/>
      <c r="MJT294" s="113"/>
      <c r="MJU294" s="103"/>
      <c r="MJV294" s="113"/>
      <c r="MJW294" s="103"/>
      <c r="MJX294" s="113"/>
      <c r="MJY294" s="103"/>
      <c r="MJZ294" s="113"/>
      <c r="MKA294" s="103"/>
      <c r="MKB294" s="113"/>
      <c r="MKC294" s="103"/>
      <c r="MKD294" s="113"/>
      <c r="MKE294" s="103"/>
      <c r="MKF294" s="113"/>
      <c r="MKG294" s="103"/>
      <c r="MKH294" s="113"/>
      <c r="MKI294" s="103"/>
      <c r="MKJ294" s="113"/>
      <c r="MKK294" s="103"/>
      <c r="MKL294" s="113"/>
      <c r="MKM294" s="103"/>
      <c r="MKN294" s="113"/>
      <c r="MKO294" s="103"/>
      <c r="MKP294" s="113"/>
      <c r="MKQ294" s="103"/>
      <c r="MKR294" s="113"/>
      <c r="MKS294" s="103"/>
      <c r="MKT294" s="113"/>
      <c r="MKU294" s="103"/>
      <c r="MKV294" s="113"/>
      <c r="MKW294" s="103"/>
      <c r="MKX294" s="113"/>
      <c r="MKY294" s="103"/>
      <c r="MKZ294" s="113"/>
      <c r="MLA294" s="103"/>
      <c r="MLB294" s="113"/>
      <c r="MLC294" s="103"/>
      <c r="MLD294" s="113"/>
      <c r="MLE294" s="103"/>
      <c r="MLF294" s="113"/>
      <c r="MLG294" s="103"/>
      <c r="MLH294" s="113"/>
      <c r="MLI294" s="103"/>
      <c r="MLJ294" s="113"/>
      <c r="MLK294" s="103"/>
      <c r="MLL294" s="113"/>
      <c r="MLM294" s="103"/>
      <c r="MLN294" s="113"/>
      <c r="MLO294" s="103"/>
      <c r="MLP294" s="113"/>
      <c r="MLQ294" s="103"/>
      <c r="MLR294" s="113"/>
      <c r="MLS294" s="103"/>
      <c r="MLT294" s="113"/>
      <c r="MLU294" s="103"/>
      <c r="MLV294" s="113"/>
      <c r="MLW294" s="103"/>
      <c r="MLX294" s="113"/>
      <c r="MLY294" s="103"/>
      <c r="MLZ294" s="113"/>
      <c r="MMA294" s="103"/>
      <c r="MMB294" s="113"/>
      <c r="MMC294" s="103"/>
      <c r="MMD294" s="113"/>
      <c r="MME294" s="103"/>
      <c r="MMF294" s="113"/>
      <c r="MMG294" s="103"/>
      <c r="MMH294" s="113"/>
      <c r="MMI294" s="103"/>
      <c r="MMJ294" s="113"/>
      <c r="MMK294" s="103"/>
      <c r="MML294" s="113"/>
      <c r="MMM294" s="103"/>
      <c r="MMN294" s="113"/>
      <c r="MMO294" s="103"/>
      <c r="MMP294" s="113"/>
      <c r="MMQ294" s="103"/>
      <c r="MMR294" s="113"/>
      <c r="MMS294" s="103"/>
      <c r="MMT294" s="113"/>
      <c r="MMU294" s="103"/>
      <c r="MMV294" s="113"/>
      <c r="MMW294" s="103"/>
      <c r="MMX294" s="113"/>
      <c r="MMY294" s="103"/>
      <c r="MMZ294" s="113"/>
      <c r="MNA294" s="103"/>
      <c r="MNB294" s="113"/>
      <c r="MNC294" s="103"/>
      <c r="MND294" s="113"/>
      <c r="MNE294" s="103"/>
      <c r="MNF294" s="113"/>
      <c r="MNG294" s="103"/>
      <c r="MNH294" s="113"/>
      <c r="MNI294" s="103"/>
      <c r="MNJ294" s="113"/>
      <c r="MNK294" s="103"/>
      <c r="MNL294" s="113"/>
      <c r="MNM294" s="103"/>
      <c r="MNN294" s="113"/>
      <c r="MNO294" s="103"/>
      <c r="MNP294" s="113"/>
      <c r="MNQ294" s="103"/>
      <c r="MNR294" s="113"/>
      <c r="MNS294" s="103"/>
      <c r="MNT294" s="113"/>
      <c r="MNU294" s="103"/>
      <c r="MNV294" s="113"/>
      <c r="MNW294" s="103"/>
      <c r="MNX294" s="113"/>
      <c r="MNY294" s="103"/>
      <c r="MNZ294" s="113"/>
      <c r="MOA294" s="103"/>
      <c r="MOB294" s="113"/>
      <c r="MOC294" s="103"/>
      <c r="MOD294" s="113"/>
      <c r="MOE294" s="103"/>
      <c r="MOF294" s="113"/>
      <c r="MOG294" s="103"/>
      <c r="MOH294" s="113"/>
      <c r="MOI294" s="103"/>
      <c r="MOJ294" s="113"/>
      <c r="MOK294" s="103"/>
      <c r="MOL294" s="113"/>
      <c r="MOM294" s="103"/>
      <c r="MON294" s="113"/>
      <c r="MOO294" s="103"/>
      <c r="MOP294" s="113"/>
      <c r="MOQ294" s="103"/>
      <c r="MOR294" s="113"/>
      <c r="MOS294" s="103"/>
      <c r="MOT294" s="113"/>
      <c r="MOU294" s="103"/>
      <c r="MOV294" s="113"/>
      <c r="MOW294" s="103"/>
      <c r="MOX294" s="113"/>
      <c r="MOY294" s="103"/>
      <c r="MOZ294" s="113"/>
      <c r="MPA294" s="103"/>
      <c r="MPB294" s="113"/>
      <c r="MPC294" s="103"/>
      <c r="MPD294" s="113"/>
      <c r="MPE294" s="103"/>
      <c r="MPF294" s="113"/>
      <c r="MPG294" s="103"/>
      <c r="MPH294" s="113"/>
      <c r="MPI294" s="103"/>
      <c r="MPJ294" s="113"/>
      <c r="MPK294" s="103"/>
      <c r="MPL294" s="113"/>
      <c r="MPM294" s="103"/>
      <c r="MPN294" s="113"/>
      <c r="MPO294" s="103"/>
      <c r="MPP294" s="113"/>
      <c r="MPQ294" s="103"/>
      <c r="MPR294" s="113"/>
      <c r="MPS294" s="103"/>
      <c r="MPT294" s="113"/>
      <c r="MPU294" s="103"/>
      <c r="MPV294" s="113"/>
      <c r="MPW294" s="103"/>
      <c r="MPX294" s="113"/>
      <c r="MPY294" s="103"/>
      <c r="MPZ294" s="113"/>
      <c r="MQA294" s="103"/>
      <c r="MQB294" s="113"/>
      <c r="MQC294" s="103"/>
      <c r="MQD294" s="113"/>
      <c r="MQE294" s="103"/>
      <c r="MQF294" s="113"/>
      <c r="MQG294" s="103"/>
      <c r="MQH294" s="113"/>
      <c r="MQI294" s="103"/>
      <c r="MQJ294" s="113"/>
      <c r="MQK294" s="103"/>
      <c r="MQL294" s="113"/>
      <c r="MQM294" s="103"/>
      <c r="MQN294" s="113"/>
      <c r="MQO294" s="103"/>
      <c r="MQP294" s="113"/>
      <c r="MQQ294" s="103"/>
      <c r="MQR294" s="113"/>
      <c r="MQS294" s="103"/>
      <c r="MQT294" s="113"/>
      <c r="MQU294" s="103"/>
      <c r="MQV294" s="113"/>
      <c r="MQW294" s="103"/>
      <c r="MQX294" s="113"/>
      <c r="MQY294" s="103"/>
      <c r="MQZ294" s="113"/>
      <c r="MRA294" s="103"/>
      <c r="MRB294" s="113"/>
      <c r="MRC294" s="103"/>
      <c r="MRD294" s="113"/>
      <c r="MRE294" s="103"/>
      <c r="MRF294" s="113"/>
      <c r="MRG294" s="103"/>
      <c r="MRH294" s="113"/>
      <c r="MRI294" s="103"/>
      <c r="MRJ294" s="113"/>
      <c r="MRK294" s="103"/>
      <c r="MRL294" s="113"/>
      <c r="MRM294" s="103"/>
      <c r="MRN294" s="113"/>
      <c r="MRO294" s="103"/>
      <c r="MRP294" s="113"/>
      <c r="MRQ294" s="103"/>
      <c r="MRR294" s="113"/>
      <c r="MRS294" s="103"/>
      <c r="MRT294" s="113"/>
      <c r="MRU294" s="103"/>
      <c r="MRV294" s="113"/>
      <c r="MRW294" s="103"/>
      <c r="MRX294" s="113"/>
      <c r="MRY294" s="103"/>
      <c r="MRZ294" s="113"/>
      <c r="MSA294" s="103"/>
      <c r="MSB294" s="113"/>
      <c r="MSC294" s="103"/>
      <c r="MSD294" s="113"/>
      <c r="MSE294" s="103"/>
      <c r="MSF294" s="113"/>
      <c r="MSG294" s="103"/>
      <c r="MSH294" s="113"/>
      <c r="MSI294" s="103"/>
      <c r="MSJ294" s="113"/>
      <c r="MSK294" s="103"/>
      <c r="MSL294" s="113"/>
      <c r="MSM294" s="103"/>
      <c r="MSN294" s="113"/>
      <c r="MSO294" s="103"/>
      <c r="MSP294" s="113"/>
      <c r="MSQ294" s="103"/>
      <c r="MSR294" s="113"/>
      <c r="MSS294" s="103"/>
      <c r="MST294" s="113"/>
      <c r="MSU294" s="103"/>
      <c r="MSV294" s="113"/>
      <c r="MSW294" s="103"/>
      <c r="MSX294" s="113"/>
      <c r="MSY294" s="103"/>
      <c r="MSZ294" s="113"/>
      <c r="MTA294" s="103"/>
      <c r="MTB294" s="113"/>
      <c r="MTC294" s="103"/>
      <c r="MTD294" s="113"/>
      <c r="MTE294" s="103"/>
      <c r="MTF294" s="113"/>
      <c r="MTG294" s="103"/>
      <c r="MTH294" s="113"/>
      <c r="MTI294" s="103"/>
      <c r="MTJ294" s="113"/>
      <c r="MTK294" s="103"/>
      <c r="MTL294" s="113"/>
      <c r="MTM294" s="103"/>
      <c r="MTN294" s="113"/>
      <c r="MTO294" s="103"/>
      <c r="MTP294" s="113"/>
      <c r="MTQ294" s="103"/>
      <c r="MTR294" s="113"/>
      <c r="MTS294" s="103"/>
      <c r="MTT294" s="113"/>
      <c r="MTU294" s="103"/>
      <c r="MTV294" s="113"/>
      <c r="MTW294" s="103"/>
      <c r="MTX294" s="113"/>
      <c r="MTY294" s="103"/>
      <c r="MTZ294" s="113"/>
      <c r="MUA294" s="103"/>
      <c r="MUB294" s="113"/>
      <c r="MUC294" s="103"/>
      <c r="MUD294" s="113"/>
      <c r="MUE294" s="103"/>
      <c r="MUF294" s="113"/>
      <c r="MUG294" s="103"/>
      <c r="MUH294" s="113"/>
      <c r="MUI294" s="103"/>
      <c r="MUJ294" s="113"/>
      <c r="MUK294" s="103"/>
      <c r="MUL294" s="113"/>
      <c r="MUM294" s="103"/>
      <c r="MUN294" s="113"/>
      <c r="MUO294" s="103"/>
      <c r="MUP294" s="113"/>
      <c r="MUQ294" s="103"/>
      <c r="MUR294" s="113"/>
      <c r="MUS294" s="103"/>
      <c r="MUT294" s="113"/>
      <c r="MUU294" s="103"/>
      <c r="MUV294" s="113"/>
      <c r="MUW294" s="103"/>
      <c r="MUX294" s="113"/>
      <c r="MUY294" s="103"/>
      <c r="MUZ294" s="113"/>
      <c r="MVA294" s="103"/>
      <c r="MVB294" s="113"/>
      <c r="MVC294" s="103"/>
      <c r="MVD294" s="113"/>
      <c r="MVE294" s="103"/>
      <c r="MVF294" s="113"/>
      <c r="MVG294" s="103"/>
      <c r="MVH294" s="113"/>
      <c r="MVI294" s="103"/>
      <c r="MVJ294" s="113"/>
      <c r="MVK294" s="103"/>
      <c r="MVL294" s="113"/>
      <c r="MVM294" s="103"/>
      <c r="MVN294" s="113"/>
      <c r="MVO294" s="103"/>
      <c r="MVP294" s="113"/>
      <c r="MVQ294" s="103"/>
      <c r="MVR294" s="113"/>
      <c r="MVS294" s="103"/>
      <c r="MVT294" s="113"/>
      <c r="MVU294" s="103"/>
      <c r="MVV294" s="113"/>
      <c r="MVW294" s="103"/>
      <c r="MVX294" s="113"/>
      <c r="MVY294" s="103"/>
      <c r="MVZ294" s="113"/>
      <c r="MWA294" s="103"/>
      <c r="MWB294" s="113"/>
      <c r="MWC294" s="103"/>
      <c r="MWD294" s="113"/>
      <c r="MWE294" s="103"/>
      <c r="MWF294" s="113"/>
      <c r="MWG294" s="103"/>
      <c r="MWH294" s="113"/>
      <c r="MWI294" s="103"/>
      <c r="MWJ294" s="113"/>
      <c r="MWK294" s="103"/>
      <c r="MWL294" s="113"/>
      <c r="MWM294" s="103"/>
      <c r="MWN294" s="113"/>
      <c r="MWO294" s="103"/>
      <c r="MWP294" s="113"/>
      <c r="MWQ294" s="103"/>
      <c r="MWR294" s="113"/>
      <c r="MWS294" s="103"/>
      <c r="MWT294" s="113"/>
      <c r="MWU294" s="103"/>
      <c r="MWV294" s="113"/>
      <c r="MWW294" s="103"/>
      <c r="MWX294" s="113"/>
      <c r="MWY294" s="103"/>
      <c r="MWZ294" s="113"/>
      <c r="MXA294" s="103"/>
      <c r="MXB294" s="113"/>
      <c r="MXC294" s="103"/>
      <c r="MXD294" s="113"/>
      <c r="MXE294" s="103"/>
      <c r="MXF294" s="113"/>
      <c r="MXG294" s="103"/>
      <c r="MXH294" s="113"/>
      <c r="MXI294" s="103"/>
      <c r="MXJ294" s="113"/>
      <c r="MXK294" s="103"/>
      <c r="MXL294" s="113"/>
      <c r="MXM294" s="103"/>
      <c r="MXN294" s="113"/>
      <c r="MXO294" s="103"/>
      <c r="MXP294" s="113"/>
      <c r="MXQ294" s="103"/>
      <c r="MXR294" s="113"/>
      <c r="MXS294" s="103"/>
      <c r="MXT294" s="113"/>
      <c r="MXU294" s="103"/>
      <c r="MXV294" s="113"/>
      <c r="MXW294" s="103"/>
      <c r="MXX294" s="113"/>
      <c r="MXY294" s="103"/>
      <c r="MXZ294" s="113"/>
      <c r="MYA294" s="103"/>
      <c r="MYB294" s="113"/>
      <c r="MYC294" s="103"/>
      <c r="MYD294" s="113"/>
      <c r="MYE294" s="103"/>
      <c r="MYF294" s="113"/>
      <c r="MYG294" s="103"/>
      <c r="MYH294" s="113"/>
      <c r="MYI294" s="103"/>
      <c r="MYJ294" s="113"/>
      <c r="MYK294" s="103"/>
      <c r="MYL294" s="113"/>
      <c r="MYM294" s="103"/>
      <c r="MYN294" s="113"/>
      <c r="MYO294" s="103"/>
      <c r="MYP294" s="113"/>
      <c r="MYQ294" s="103"/>
      <c r="MYR294" s="113"/>
      <c r="MYS294" s="103"/>
      <c r="MYT294" s="113"/>
      <c r="MYU294" s="103"/>
      <c r="MYV294" s="113"/>
      <c r="MYW294" s="103"/>
      <c r="MYX294" s="113"/>
      <c r="MYY294" s="103"/>
      <c r="MYZ294" s="113"/>
      <c r="MZA294" s="103"/>
      <c r="MZB294" s="113"/>
      <c r="MZC294" s="103"/>
      <c r="MZD294" s="113"/>
      <c r="MZE294" s="103"/>
      <c r="MZF294" s="113"/>
      <c r="MZG294" s="103"/>
      <c r="MZH294" s="113"/>
      <c r="MZI294" s="103"/>
      <c r="MZJ294" s="113"/>
      <c r="MZK294" s="103"/>
      <c r="MZL294" s="113"/>
      <c r="MZM294" s="103"/>
      <c r="MZN294" s="113"/>
      <c r="MZO294" s="103"/>
      <c r="MZP294" s="113"/>
      <c r="MZQ294" s="103"/>
      <c r="MZR294" s="113"/>
      <c r="MZS294" s="103"/>
      <c r="MZT294" s="113"/>
      <c r="MZU294" s="103"/>
      <c r="MZV294" s="113"/>
      <c r="MZW294" s="103"/>
      <c r="MZX294" s="113"/>
      <c r="MZY294" s="103"/>
      <c r="MZZ294" s="113"/>
      <c r="NAA294" s="103"/>
      <c r="NAB294" s="113"/>
      <c r="NAC294" s="103"/>
      <c r="NAD294" s="113"/>
      <c r="NAE294" s="103"/>
      <c r="NAF294" s="113"/>
      <c r="NAG294" s="103"/>
      <c r="NAH294" s="113"/>
      <c r="NAI294" s="103"/>
      <c r="NAJ294" s="113"/>
      <c r="NAK294" s="103"/>
      <c r="NAL294" s="113"/>
      <c r="NAM294" s="103"/>
      <c r="NAN294" s="113"/>
      <c r="NAO294" s="103"/>
      <c r="NAP294" s="113"/>
      <c r="NAQ294" s="103"/>
      <c r="NAR294" s="113"/>
      <c r="NAS294" s="103"/>
      <c r="NAT294" s="113"/>
      <c r="NAU294" s="103"/>
      <c r="NAV294" s="113"/>
      <c r="NAW294" s="103"/>
      <c r="NAX294" s="113"/>
      <c r="NAY294" s="103"/>
      <c r="NAZ294" s="113"/>
      <c r="NBA294" s="103"/>
      <c r="NBB294" s="113"/>
      <c r="NBC294" s="103"/>
      <c r="NBD294" s="113"/>
      <c r="NBE294" s="103"/>
      <c r="NBF294" s="113"/>
      <c r="NBG294" s="103"/>
      <c r="NBH294" s="113"/>
      <c r="NBI294" s="103"/>
      <c r="NBJ294" s="113"/>
      <c r="NBK294" s="103"/>
      <c r="NBL294" s="113"/>
      <c r="NBM294" s="103"/>
      <c r="NBN294" s="113"/>
      <c r="NBO294" s="103"/>
      <c r="NBP294" s="113"/>
      <c r="NBQ294" s="103"/>
      <c r="NBR294" s="113"/>
      <c r="NBS294" s="103"/>
      <c r="NBT294" s="113"/>
      <c r="NBU294" s="103"/>
      <c r="NBV294" s="113"/>
      <c r="NBW294" s="103"/>
      <c r="NBX294" s="113"/>
      <c r="NBY294" s="103"/>
      <c r="NBZ294" s="113"/>
      <c r="NCA294" s="103"/>
      <c r="NCB294" s="113"/>
      <c r="NCC294" s="103"/>
      <c r="NCD294" s="113"/>
      <c r="NCE294" s="103"/>
      <c r="NCF294" s="113"/>
      <c r="NCG294" s="103"/>
      <c r="NCH294" s="113"/>
      <c r="NCI294" s="103"/>
      <c r="NCJ294" s="113"/>
      <c r="NCK294" s="103"/>
      <c r="NCL294" s="113"/>
      <c r="NCM294" s="103"/>
      <c r="NCN294" s="113"/>
      <c r="NCO294" s="103"/>
      <c r="NCP294" s="113"/>
      <c r="NCQ294" s="103"/>
      <c r="NCR294" s="113"/>
      <c r="NCS294" s="103"/>
      <c r="NCT294" s="113"/>
      <c r="NCU294" s="103"/>
      <c r="NCV294" s="113"/>
      <c r="NCW294" s="103"/>
      <c r="NCX294" s="113"/>
      <c r="NCY294" s="103"/>
      <c r="NCZ294" s="113"/>
      <c r="NDA294" s="103"/>
      <c r="NDB294" s="113"/>
      <c r="NDC294" s="103"/>
      <c r="NDD294" s="113"/>
      <c r="NDE294" s="103"/>
      <c r="NDF294" s="113"/>
      <c r="NDG294" s="103"/>
      <c r="NDH294" s="113"/>
      <c r="NDI294" s="103"/>
      <c r="NDJ294" s="113"/>
      <c r="NDK294" s="103"/>
      <c r="NDL294" s="113"/>
      <c r="NDM294" s="103"/>
      <c r="NDN294" s="113"/>
      <c r="NDO294" s="103"/>
      <c r="NDP294" s="113"/>
      <c r="NDQ294" s="103"/>
      <c r="NDR294" s="113"/>
      <c r="NDS294" s="103"/>
      <c r="NDT294" s="113"/>
      <c r="NDU294" s="103"/>
      <c r="NDV294" s="113"/>
      <c r="NDW294" s="103"/>
      <c r="NDX294" s="113"/>
      <c r="NDY294" s="103"/>
      <c r="NDZ294" s="113"/>
      <c r="NEA294" s="103"/>
      <c r="NEB294" s="113"/>
      <c r="NEC294" s="103"/>
      <c r="NED294" s="113"/>
      <c r="NEE294" s="103"/>
      <c r="NEF294" s="113"/>
      <c r="NEG294" s="103"/>
      <c r="NEH294" s="113"/>
      <c r="NEI294" s="103"/>
      <c r="NEJ294" s="113"/>
      <c r="NEK294" s="103"/>
      <c r="NEL294" s="113"/>
      <c r="NEM294" s="103"/>
      <c r="NEN294" s="113"/>
      <c r="NEO294" s="103"/>
      <c r="NEP294" s="113"/>
      <c r="NEQ294" s="103"/>
      <c r="NER294" s="113"/>
      <c r="NES294" s="103"/>
      <c r="NET294" s="113"/>
      <c r="NEU294" s="103"/>
      <c r="NEV294" s="113"/>
      <c r="NEW294" s="103"/>
      <c r="NEX294" s="113"/>
      <c r="NEY294" s="103"/>
      <c r="NEZ294" s="113"/>
      <c r="NFA294" s="103"/>
      <c r="NFB294" s="113"/>
      <c r="NFC294" s="103"/>
      <c r="NFD294" s="113"/>
      <c r="NFE294" s="103"/>
      <c r="NFF294" s="113"/>
      <c r="NFG294" s="103"/>
      <c r="NFH294" s="113"/>
      <c r="NFI294" s="103"/>
      <c r="NFJ294" s="113"/>
      <c r="NFK294" s="103"/>
      <c r="NFL294" s="113"/>
      <c r="NFM294" s="103"/>
      <c r="NFN294" s="113"/>
      <c r="NFO294" s="103"/>
      <c r="NFP294" s="113"/>
      <c r="NFQ294" s="103"/>
      <c r="NFR294" s="113"/>
      <c r="NFS294" s="103"/>
      <c r="NFT294" s="113"/>
      <c r="NFU294" s="103"/>
      <c r="NFV294" s="113"/>
      <c r="NFW294" s="103"/>
      <c r="NFX294" s="113"/>
      <c r="NFY294" s="103"/>
      <c r="NFZ294" s="113"/>
      <c r="NGA294" s="103"/>
      <c r="NGB294" s="113"/>
      <c r="NGC294" s="103"/>
      <c r="NGD294" s="113"/>
      <c r="NGE294" s="103"/>
      <c r="NGF294" s="113"/>
      <c r="NGG294" s="103"/>
      <c r="NGH294" s="113"/>
      <c r="NGI294" s="103"/>
      <c r="NGJ294" s="113"/>
      <c r="NGK294" s="103"/>
      <c r="NGL294" s="113"/>
      <c r="NGM294" s="103"/>
      <c r="NGN294" s="113"/>
      <c r="NGO294" s="103"/>
      <c r="NGP294" s="113"/>
      <c r="NGQ294" s="103"/>
      <c r="NGR294" s="113"/>
      <c r="NGS294" s="103"/>
      <c r="NGT294" s="113"/>
      <c r="NGU294" s="103"/>
      <c r="NGV294" s="113"/>
      <c r="NGW294" s="103"/>
      <c r="NGX294" s="113"/>
      <c r="NGY294" s="103"/>
      <c r="NGZ294" s="113"/>
      <c r="NHA294" s="103"/>
      <c r="NHB294" s="113"/>
      <c r="NHC294" s="103"/>
      <c r="NHD294" s="113"/>
      <c r="NHE294" s="103"/>
      <c r="NHF294" s="113"/>
      <c r="NHG294" s="103"/>
      <c r="NHH294" s="113"/>
      <c r="NHI294" s="103"/>
      <c r="NHJ294" s="113"/>
      <c r="NHK294" s="103"/>
      <c r="NHL294" s="113"/>
      <c r="NHM294" s="103"/>
      <c r="NHN294" s="113"/>
      <c r="NHO294" s="103"/>
      <c r="NHP294" s="113"/>
      <c r="NHQ294" s="103"/>
      <c r="NHR294" s="113"/>
      <c r="NHS294" s="103"/>
      <c r="NHT294" s="113"/>
      <c r="NHU294" s="103"/>
      <c r="NHV294" s="113"/>
      <c r="NHW294" s="103"/>
      <c r="NHX294" s="113"/>
      <c r="NHY294" s="103"/>
      <c r="NHZ294" s="113"/>
      <c r="NIA294" s="103"/>
      <c r="NIB294" s="113"/>
      <c r="NIC294" s="103"/>
      <c r="NID294" s="113"/>
      <c r="NIE294" s="103"/>
      <c r="NIF294" s="113"/>
      <c r="NIG294" s="103"/>
      <c r="NIH294" s="113"/>
      <c r="NII294" s="103"/>
      <c r="NIJ294" s="113"/>
      <c r="NIK294" s="103"/>
      <c r="NIL294" s="113"/>
      <c r="NIM294" s="103"/>
      <c r="NIN294" s="113"/>
      <c r="NIO294" s="103"/>
      <c r="NIP294" s="113"/>
      <c r="NIQ294" s="103"/>
      <c r="NIR294" s="113"/>
      <c r="NIS294" s="103"/>
      <c r="NIT294" s="113"/>
      <c r="NIU294" s="103"/>
      <c r="NIV294" s="113"/>
      <c r="NIW294" s="103"/>
      <c r="NIX294" s="113"/>
      <c r="NIY294" s="103"/>
      <c r="NIZ294" s="113"/>
      <c r="NJA294" s="103"/>
      <c r="NJB294" s="113"/>
      <c r="NJC294" s="103"/>
      <c r="NJD294" s="113"/>
      <c r="NJE294" s="103"/>
      <c r="NJF294" s="113"/>
      <c r="NJG294" s="103"/>
      <c r="NJH294" s="113"/>
      <c r="NJI294" s="103"/>
      <c r="NJJ294" s="113"/>
      <c r="NJK294" s="103"/>
      <c r="NJL294" s="113"/>
      <c r="NJM294" s="103"/>
      <c r="NJN294" s="113"/>
      <c r="NJO294" s="103"/>
      <c r="NJP294" s="113"/>
      <c r="NJQ294" s="103"/>
      <c r="NJR294" s="113"/>
      <c r="NJS294" s="103"/>
      <c r="NJT294" s="113"/>
      <c r="NJU294" s="103"/>
      <c r="NJV294" s="113"/>
      <c r="NJW294" s="103"/>
      <c r="NJX294" s="113"/>
      <c r="NJY294" s="103"/>
      <c r="NJZ294" s="113"/>
      <c r="NKA294" s="103"/>
      <c r="NKB294" s="113"/>
      <c r="NKC294" s="103"/>
      <c r="NKD294" s="113"/>
      <c r="NKE294" s="103"/>
      <c r="NKF294" s="113"/>
      <c r="NKG294" s="103"/>
      <c r="NKH294" s="113"/>
      <c r="NKI294" s="103"/>
      <c r="NKJ294" s="113"/>
      <c r="NKK294" s="103"/>
      <c r="NKL294" s="113"/>
      <c r="NKM294" s="103"/>
      <c r="NKN294" s="113"/>
      <c r="NKO294" s="103"/>
      <c r="NKP294" s="113"/>
      <c r="NKQ294" s="103"/>
      <c r="NKR294" s="113"/>
      <c r="NKS294" s="103"/>
      <c r="NKT294" s="113"/>
      <c r="NKU294" s="103"/>
      <c r="NKV294" s="113"/>
      <c r="NKW294" s="103"/>
      <c r="NKX294" s="113"/>
      <c r="NKY294" s="103"/>
      <c r="NKZ294" s="113"/>
      <c r="NLA294" s="103"/>
      <c r="NLB294" s="113"/>
      <c r="NLC294" s="103"/>
      <c r="NLD294" s="113"/>
      <c r="NLE294" s="103"/>
      <c r="NLF294" s="113"/>
      <c r="NLG294" s="103"/>
      <c r="NLH294" s="113"/>
      <c r="NLI294" s="103"/>
      <c r="NLJ294" s="113"/>
      <c r="NLK294" s="103"/>
      <c r="NLL294" s="113"/>
      <c r="NLM294" s="103"/>
      <c r="NLN294" s="113"/>
      <c r="NLO294" s="103"/>
      <c r="NLP294" s="113"/>
      <c r="NLQ294" s="103"/>
      <c r="NLR294" s="113"/>
      <c r="NLS294" s="103"/>
      <c r="NLT294" s="113"/>
      <c r="NLU294" s="103"/>
      <c r="NLV294" s="113"/>
      <c r="NLW294" s="103"/>
      <c r="NLX294" s="113"/>
      <c r="NLY294" s="103"/>
      <c r="NLZ294" s="113"/>
      <c r="NMA294" s="103"/>
      <c r="NMB294" s="113"/>
      <c r="NMC294" s="103"/>
      <c r="NMD294" s="113"/>
      <c r="NME294" s="103"/>
      <c r="NMF294" s="113"/>
      <c r="NMG294" s="103"/>
      <c r="NMH294" s="113"/>
      <c r="NMI294" s="103"/>
      <c r="NMJ294" s="113"/>
      <c r="NMK294" s="103"/>
      <c r="NML294" s="113"/>
      <c r="NMM294" s="103"/>
      <c r="NMN294" s="113"/>
      <c r="NMO294" s="103"/>
      <c r="NMP294" s="113"/>
      <c r="NMQ294" s="103"/>
      <c r="NMR294" s="113"/>
      <c r="NMS294" s="103"/>
      <c r="NMT294" s="113"/>
      <c r="NMU294" s="103"/>
      <c r="NMV294" s="113"/>
      <c r="NMW294" s="103"/>
      <c r="NMX294" s="113"/>
      <c r="NMY294" s="103"/>
      <c r="NMZ294" s="113"/>
      <c r="NNA294" s="103"/>
      <c r="NNB294" s="113"/>
      <c r="NNC294" s="103"/>
      <c r="NND294" s="113"/>
      <c r="NNE294" s="103"/>
      <c r="NNF294" s="113"/>
      <c r="NNG294" s="103"/>
      <c r="NNH294" s="113"/>
      <c r="NNI294" s="103"/>
      <c r="NNJ294" s="113"/>
      <c r="NNK294" s="103"/>
      <c r="NNL294" s="113"/>
      <c r="NNM294" s="103"/>
      <c r="NNN294" s="113"/>
      <c r="NNO294" s="103"/>
      <c r="NNP294" s="113"/>
      <c r="NNQ294" s="103"/>
      <c r="NNR294" s="113"/>
      <c r="NNS294" s="103"/>
      <c r="NNT294" s="113"/>
      <c r="NNU294" s="103"/>
      <c r="NNV294" s="113"/>
      <c r="NNW294" s="103"/>
      <c r="NNX294" s="113"/>
      <c r="NNY294" s="103"/>
      <c r="NNZ294" s="113"/>
      <c r="NOA294" s="103"/>
      <c r="NOB294" s="113"/>
      <c r="NOC294" s="103"/>
      <c r="NOD294" s="113"/>
      <c r="NOE294" s="103"/>
      <c r="NOF294" s="113"/>
      <c r="NOG294" s="103"/>
      <c r="NOH294" s="113"/>
      <c r="NOI294" s="103"/>
      <c r="NOJ294" s="113"/>
      <c r="NOK294" s="103"/>
      <c r="NOL294" s="113"/>
      <c r="NOM294" s="103"/>
      <c r="NON294" s="113"/>
      <c r="NOO294" s="103"/>
      <c r="NOP294" s="113"/>
      <c r="NOQ294" s="103"/>
      <c r="NOR294" s="113"/>
      <c r="NOS294" s="103"/>
      <c r="NOT294" s="113"/>
      <c r="NOU294" s="103"/>
      <c r="NOV294" s="113"/>
      <c r="NOW294" s="103"/>
      <c r="NOX294" s="113"/>
      <c r="NOY294" s="103"/>
      <c r="NOZ294" s="113"/>
      <c r="NPA294" s="103"/>
      <c r="NPB294" s="113"/>
      <c r="NPC294" s="103"/>
      <c r="NPD294" s="113"/>
      <c r="NPE294" s="103"/>
      <c r="NPF294" s="113"/>
      <c r="NPG294" s="103"/>
      <c r="NPH294" s="113"/>
      <c r="NPI294" s="103"/>
      <c r="NPJ294" s="113"/>
      <c r="NPK294" s="103"/>
      <c r="NPL294" s="113"/>
      <c r="NPM294" s="103"/>
      <c r="NPN294" s="113"/>
      <c r="NPO294" s="103"/>
      <c r="NPP294" s="113"/>
      <c r="NPQ294" s="103"/>
      <c r="NPR294" s="113"/>
      <c r="NPS294" s="103"/>
      <c r="NPT294" s="113"/>
      <c r="NPU294" s="103"/>
      <c r="NPV294" s="113"/>
      <c r="NPW294" s="103"/>
      <c r="NPX294" s="113"/>
      <c r="NPY294" s="103"/>
      <c r="NPZ294" s="113"/>
      <c r="NQA294" s="103"/>
      <c r="NQB294" s="113"/>
      <c r="NQC294" s="103"/>
      <c r="NQD294" s="113"/>
      <c r="NQE294" s="103"/>
      <c r="NQF294" s="113"/>
      <c r="NQG294" s="103"/>
      <c r="NQH294" s="113"/>
      <c r="NQI294" s="103"/>
      <c r="NQJ294" s="113"/>
      <c r="NQK294" s="103"/>
      <c r="NQL294" s="113"/>
      <c r="NQM294" s="103"/>
      <c r="NQN294" s="113"/>
      <c r="NQO294" s="103"/>
      <c r="NQP294" s="113"/>
      <c r="NQQ294" s="103"/>
      <c r="NQR294" s="113"/>
      <c r="NQS294" s="103"/>
      <c r="NQT294" s="113"/>
      <c r="NQU294" s="103"/>
      <c r="NQV294" s="113"/>
      <c r="NQW294" s="103"/>
      <c r="NQX294" s="113"/>
      <c r="NQY294" s="103"/>
      <c r="NQZ294" s="113"/>
      <c r="NRA294" s="103"/>
      <c r="NRB294" s="113"/>
      <c r="NRC294" s="103"/>
      <c r="NRD294" s="113"/>
      <c r="NRE294" s="103"/>
      <c r="NRF294" s="113"/>
      <c r="NRG294" s="103"/>
      <c r="NRH294" s="113"/>
      <c r="NRI294" s="103"/>
      <c r="NRJ294" s="113"/>
      <c r="NRK294" s="103"/>
      <c r="NRL294" s="113"/>
      <c r="NRM294" s="103"/>
      <c r="NRN294" s="113"/>
      <c r="NRO294" s="103"/>
      <c r="NRP294" s="113"/>
      <c r="NRQ294" s="103"/>
      <c r="NRR294" s="113"/>
      <c r="NRS294" s="103"/>
      <c r="NRT294" s="113"/>
      <c r="NRU294" s="103"/>
      <c r="NRV294" s="113"/>
      <c r="NRW294" s="103"/>
      <c r="NRX294" s="113"/>
      <c r="NRY294" s="103"/>
      <c r="NRZ294" s="113"/>
      <c r="NSA294" s="103"/>
      <c r="NSB294" s="113"/>
      <c r="NSC294" s="103"/>
      <c r="NSD294" s="113"/>
      <c r="NSE294" s="103"/>
      <c r="NSF294" s="113"/>
      <c r="NSG294" s="103"/>
      <c r="NSH294" s="113"/>
      <c r="NSI294" s="103"/>
      <c r="NSJ294" s="113"/>
      <c r="NSK294" s="103"/>
      <c r="NSL294" s="113"/>
      <c r="NSM294" s="103"/>
      <c r="NSN294" s="113"/>
      <c r="NSO294" s="103"/>
      <c r="NSP294" s="113"/>
      <c r="NSQ294" s="103"/>
      <c r="NSR294" s="113"/>
      <c r="NSS294" s="103"/>
      <c r="NST294" s="113"/>
      <c r="NSU294" s="103"/>
      <c r="NSV294" s="113"/>
      <c r="NSW294" s="103"/>
      <c r="NSX294" s="113"/>
      <c r="NSY294" s="103"/>
      <c r="NSZ294" s="113"/>
      <c r="NTA294" s="103"/>
      <c r="NTB294" s="113"/>
      <c r="NTC294" s="103"/>
      <c r="NTD294" s="113"/>
      <c r="NTE294" s="103"/>
      <c r="NTF294" s="113"/>
      <c r="NTG294" s="103"/>
      <c r="NTH294" s="113"/>
      <c r="NTI294" s="103"/>
      <c r="NTJ294" s="113"/>
      <c r="NTK294" s="103"/>
      <c r="NTL294" s="113"/>
      <c r="NTM294" s="103"/>
      <c r="NTN294" s="113"/>
      <c r="NTO294" s="103"/>
      <c r="NTP294" s="113"/>
      <c r="NTQ294" s="103"/>
      <c r="NTR294" s="113"/>
      <c r="NTS294" s="103"/>
      <c r="NTT294" s="113"/>
      <c r="NTU294" s="103"/>
      <c r="NTV294" s="113"/>
      <c r="NTW294" s="103"/>
      <c r="NTX294" s="113"/>
      <c r="NTY294" s="103"/>
      <c r="NTZ294" s="113"/>
      <c r="NUA294" s="103"/>
      <c r="NUB294" s="113"/>
      <c r="NUC294" s="103"/>
      <c r="NUD294" s="113"/>
      <c r="NUE294" s="103"/>
      <c r="NUF294" s="113"/>
      <c r="NUG294" s="103"/>
      <c r="NUH294" s="113"/>
      <c r="NUI294" s="103"/>
      <c r="NUJ294" s="113"/>
      <c r="NUK294" s="103"/>
      <c r="NUL294" s="113"/>
      <c r="NUM294" s="103"/>
      <c r="NUN294" s="113"/>
      <c r="NUO294" s="103"/>
      <c r="NUP294" s="113"/>
      <c r="NUQ294" s="103"/>
      <c r="NUR294" s="113"/>
      <c r="NUS294" s="103"/>
      <c r="NUT294" s="113"/>
      <c r="NUU294" s="103"/>
      <c r="NUV294" s="113"/>
      <c r="NUW294" s="103"/>
      <c r="NUX294" s="113"/>
      <c r="NUY294" s="103"/>
      <c r="NUZ294" s="113"/>
      <c r="NVA294" s="103"/>
      <c r="NVB294" s="113"/>
      <c r="NVC294" s="103"/>
      <c r="NVD294" s="113"/>
      <c r="NVE294" s="103"/>
      <c r="NVF294" s="113"/>
      <c r="NVG294" s="103"/>
      <c r="NVH294" s="113"/>
      <c r="NVI294" s="103"/>
      <c r="NVJ294" s="113"/>
      <c r="NVK294" s="103"/>
      <c r="NVL294" s="113"/>
      <c r="NVM294" s="103"/>
      <c r="NVN294" s="113"/>
      <c r="NVO294" s="103"/>
      <c r="NVP294" s="113"/>
      <c r="NVQ294" s="103"/>
      <c r="NVR294" s="113"/>
      <c r="NVS294" s="103"/>
      <c r="NVT294" s="113"/>
      <c r="NVU294" s="103"/>
      <c r="NVV294" s="113"/>
      <c r="NVW294" s="103"/>
      <c r="NVX294" s="113"/>
      <c r="NVY294" s="103"/>
      <c r="NVZ294" s="113"/>
      <c r="NWA294" s="103"/>
      <c r="NWB294" s="113"/>
      <c r="NWC294" s="103"/>
      <c r="NWD294" s="113"/>
      <c r="NWE294" s="103"/>
      <c r="NWF294" s="113"/>
      <c r="NWG294" s="103"/>
      <c r="NWH294" s="113"/>
      <c r="NWI294" s="103"/>
      <c r="NWJ294" s="113"/>
      <c r="NWK294" s="103"/>
      <c r="NWL294" s="113"/>
      <c r="NWM294" s="103"/>
      <c r="NWN294" s="113"/>
      <c r="NWO294" s="103"/>
      <c r="NWP294" s="113"/>
      <c r="NWQ294" s="103"/>
      <c r="NWR294" s="113"/>
      <c r="NWS294" s="103"/>
      <c r="NWT294" s="113"/>
      <c r="NWU294" s="103"/>
      <c r="NWV294" s="113"/>
      <c r="NWW294" s="103"/>
      <c r="NWX294" s="113"/>
      <c r="NWY294" s="103"/>
      <c r="NWZ294" s="113"/>
      <c r="NXA294" s="103"/>
      <c r="NXB294" s="113"/>
      <c r="NXC294" s="103"/>
      <c r="NXD294" s="113"/>
      <c r="NXE294" s="103"/>
      <c r="NXF294" s="113"/>
      <c r="NXG294" s="103"/>
      <c r="NXH294" s="113"/>
      <c r="NXI294" s="103"/>
      <c r="NXJ294" s="113"/>
      <c r="NXK294" s="103"/>
      <c r="NXL294" s="113"/>
      <c r="NXM294" s="103"/>
      <c r="NXN294" s="113"/>
      <c r="NXO294" s="103"/>
      <c r="NXP294" s="113"/>
      <c r="NXQ294" s="103"/>
      <c r="NXR294" s="113"/>
      <c r="NXS294" s="103"/>
      <c r="NXT294" s="113"/>
      <c r="NXU294" s="103"/>
      <c r="NXV294" s="113"/>
      <c r="NXW294" s="103"/>
      <c r="NXX294" s="113"/>
      <c r="NXY294" s="103"/>
      <c r="NXZ294" s="113"/>
      <c r="NYA294" s="103"/>
      <c r="NYB294" s="113"/>
      <c r="NYC294" s="103"/>
      <c r="NYD294" s="113"/>
      <c r="NYE294" s="103"/>
      <c r="NYF294" s="113"/>
      <c r="NYG294" s="103"/>
      <c r="NYH294" s="113"/>
      <c r="NYI294" s="103"/>
      <c r="NYJ294" s="113"/>
      <c r="NYK294" s="103"/>
      <c r="NYL294" s="113"/>
      <c r="NYM294" s="103"/>
      <c r="NYN294" s="113"/>
      <c r="NYO294" s="103"/>
      <c r="NYP294" s="113"/>
      <c r="NYQ294" s="103"/>
      <c r="NYR294" s="113"/>
      <c r="NYS294" s="103"/>
      <c r="NYT294" s="113"/>
      <c r="NYU294" s="103"/>
      <c r="NYV294" s="113"/>
      <c r="NYW294" s="103"/>
      <c r="NYX294" s="113"/>
      <c r="NYY294" s="103"/>
      <c r="NYZ294" s="113"/>
      <c r="NZA294" s="103"/>
      <c r="NZB294" s="113"/>
      <c r="NZC294" s="103"/>
      <c r="NZD294" s="113"/>
      <c r="NZE294" s="103"/>
      <c r="NZF294" s="113"/>
      <c r="NZG294" s="103"/>
      <c r="NZH294" s="113"/>
      <c r="NZI294" s="103"/>
      <c r="NZJ294" s="113"/>
      <c r="NZK294" s="103"/>
      <c r="NZL294" s="113"/>
      <c r="NZM294" s="103"/>
      <c r="NZN294" s="113"/>
      <c r="NZO294" s="103"/>
      <c r="NZP294" s="113"/>
      <c r="NZQ294" s="103"/>
      <c r="NZR294" s="113"/>
      <c r="NZS294" s="103"/>
      <c r="NZT294" s="113"/>
      <c r="NZU294" s="103"/>
      <c r="NZV294" s="113"/>
      <c r="NZW294" s="103"/>
      <c r="NZX294" s="113"/>
      <c r="NZY294" s="103"/>
      <c r="NZZ294" s="113"/>
      <c r="OAA294" s="103"/>
      <c r="OAB294" s="113"/>
      <c r="OAC294" s="103"/>
      <c r="OAD294" s="113"/>
      <c r="OAE294" s="103"/>
      <c r="OAF294" s="113"/>
      <c r="OAG294" s="103"/>
      <c r="OAH294" s="113"/>
      <c r="OAI294" s="103"/>
      <c r="OAJ294" s="113"/>
      <c r="OAK294" s="103"/>
      <c r="OAL294" s="113"/>
      <c r="OAM294" s="103"/>
      <c r="OAN294" s="113"/>
      <c r="OAO294" s="103"/>
      <c r="OAP294" s="113"/>
      <c r="OAQ294" s="103"/>
      <c r="OAR294" s="113"/>
      <c r="OAS294" s="103"/>
      <c r="OAT294" s="113"/>
      <c r="OAU294" s="103"/>
      <c r="OAV294" s="113"/>
      <c r="OAW294" s="103"/>
      <c r="OAX294" s="113"/>
      <c r="OAY294" s="103"/>
      <c r="OAZ294" s="113"/>
      <c r="OBA294" s="103"/>
      <c r="OBB294" s="113"/>
      <c r="OBC294" s="103"/>
      <c r="OBD294" s="113"/>
      <c r="OBE294" s="103"/>
      <c r="OBF294" s="113"/>
      <c r="OBG294" s="103"/>
      <c r="OBH294" s="113"/>
      <c r="OBI294" s="103"/>
      <c r="OBJ294" s="113"/>
      <c r="OBK294" s="103"/>
      <c r="OBL294" s="113"/>
      <c r="OBM294" s="103"/>
      <c r="OBN294" s="113"/>
      <c r="OBO294" s="103"/>
      <c r="OBP294" s="113"/>
      <c r="OBQ294" s="103"/>
      <c r="OBR294" s="113"/>
      <c r="OBS294" s="103"/>
      <c r="OBT294" s="113"/>
      <c r="OBU294" s="103"/>
      <c r="OBV294" s="113"/>
      <c r="OBW294" s="103"/>
      <c r="OBX294" s="113"/>
      <c r="OBY294" s="103"/>
      <c r="OBZ294" s="113"/>
      <c r="OCA294" s="103"/>
      <c r="OCB294" s="113"/>
      <c r="OCC294" s="103"/>
      <c r="OCD294" s="113"/>
      <c r="OCE294" s="103"/>
      <c r="OCF294" s="113"/>
      <c r="OCG294" s="103"/>
      <c r="OCH294" s="113"/>
      <c r="OCI294" s="103"/>
      <c r="OCJ294" s="113"/>
      <c r="OCK294" s="103"/>
      <c r="OCL294" s="113"/>
      <c r="OCM294" s="103"/>
      <c r="OCN294" s="113"/>
      <c r="OCO294" s="103"/>
      <c r="OCP294" s="113"/>
      <c r="OCQ294" s="103"/>
      <c r="OCR294" s="113"/>
      <c r="OCS294" s="103"/>
      <c r="OCT294" s="113"/>
      <c r="OCU294" s="103"/>
      <c r="OCV294" s="113"/>
      <c r="OCW294" s="103"/>
      <c r="OCX294" s="113"/>
      <c r="OCY294" s="103"/>
      <c r="OCZ294" s="113"/>
      <c r="ODA294" s="103"/>
      <c r="ODB294" s="113"/>
      <c r="ODC294" s="103"/>
      <c r="ODD294" s="113"/>
      <c r="ODE294" s="103"/>
      <c r="ODF294" s="113"/>
      <c r="ODG294" s="103"/>
      <c r="ODH294" s="113"/>
      <c r="ODI294" s="103"/>
      <c r="ODJ294" s="113"/>
      <c r="ODK294" s="103"/>
      <c r="ODL294" s="113"/>
      <c r="ODM294" s="103"/>
      <c r="ODN294" s="113"/>
      <c r="ODO294" s="103"/>
      <c r="ODP294" s="113"/>
      <c r="ODQ294" s="103"/>
      <c r="ODR294" s="113"/>
      <c r="ODS294" s="103"/>
      <c r="ODT294" s="113"/>
      <c r="ODU294" s="103"/>
      <c r="ODV294" s="113"/>
      <c r="ODW294" s="103"/>
      <c r="ODX294" s="113"/>
      <c r="ODY294" s="103"/>
      <c r="ODZ294" s="113"/>
      <c r="OEA294" s="103"/>
      <c r="OEB294" s="113"/>
      <c r="OEC294" s="103"/>
      <c r="OED294" s="113"/>
      <c r="OEE294" s="103"/>
      <c r="OEF294" s="113"/>
      <c r="OEG294" s="103"/>
      <c r="OEH294" s="113"/>
      <c r="OEI294" s="103"/>
      <c r="OEJ294" s="113"/>
      <c r="OEK294" s="103"/>
      <c r="OEL294" s="113"/>
      <c r="OEM294" s="103"/>
      <c r="OEN294" s="113"/>
      <c r="OEO294" s="103"/>
      <c r="OEP294" s="113"/>
      <c r="OEQ294" s="103"/>
      <c r="OER294" s="113"/>
      <c r="OES294" s="103"/>
      <c r="OET294" s="113"/>
      <c r="OEU294" s="103"/>
      <c r="OEV294" s="113"/>
      <c r="OEW294" s="103"/>
      <c r="OEX294" s="113"/>
      <c r="OEY294" s="103"/>
      <c r="OEZ294" s="113"/>
      <c r="OFA294" s="103"/>
      <c r="OFB294" s="113"/>
      <c r="OFC294" s="103"/>
      <c r="OFD294" s="113"/>
      <c r="OFE294" s="103"/>
      <c r="OFF294" s="113"/>
      <c r="OFG294" s="103"/>
      <c r="OFH294" s="113"/>
      <c r="OFI294" s="103"/>
      <c r="OFJ294" s="113"/>
      <c r="OFK294" s="103"/>
      <c r="OFL294" s="113"/>
      <c r="OFM294" s="103"/>
      <c r="OFN294" s="113"/>
      <c r="OFO294" s="103"/>
      <c r="OFP294" s="113"/>
      <c r="OFQ294" s="103"/>
      <c r="OFR294" s="113"/>
      <c r="OFS294" s="103"/>
      <c r="OFT294" s="113"/>
      <c r="OFU294" s="103"/>
      <c r="OFV294" s="113"/>
      <c r="OFW294" s="103"/>
      <c r="OFX294" s="113"/>
      <c r="OFY294" s="103"/>
      <c r="OFZ294" s="113"/>
      <c r="OGA294" s="103"/>
      <c r="OGB294" s="113"/>
      <c r="OGC294" s="103"/>
      <c r="OGD294" s="113"/>
      <c r="OGE294" s="103"/>
      <c r="OGF294" s="113"/>
      <c r="OGG294" s="103"/>
      <c r="OGH294" s="113"/>
      <c r="OGI294" s="103"/>
      <c r="OGJ294" s="113"/>
      <c r="OGK294" s="103"/>
      <c r="OGL294" s="113"/>
      <c r="OGM294" s="103"/>
      <c r="OGN294" s="113"/>
      <c r="OGO294" s="103"/>
      <c r="OGP294" s="113"/>
      <c r="OGQ294" s="103"/>
      <c r="OGR294" s="113"/>
      <c r="OGS294" s="103"/>
      <c r="OGT294" s="113"/>
      <c r="OGU294" s="103"/>
      <c r="OGV294" s="113"/>
      <c r="OGW294" s="103"/>
      <c r="OGX294" s="113"/>
      <c r="OGY294" s="103"/>
      <c r="OGZ294" s="113"/>
      <c r="OHA294" s="103"/>
      <c r="OHB294" s="113"/>
      <c r="OHC294" s="103"/>
      <c r="OHD294" s="113"/>
      <c r="OHE294" s="103"/>
      <c r="OHF294" s="113"/>
      <c r="OHG294" s="103"/>
      <c r="OHH294" s="113"/>
      <c r="OHI294" s="103"/>
      <c r="OHJ294" s="113"/>
      <c r="OHK294" s="103"/>
      <c r="OHL294" s="113"/>
      <c r="OHM294" s="103"/>
      <c r="OHN294" s="113"/>
      <c r="OHO294" s="103"/>
      <c r="OHP294" s="113"/>
      <c r="OHQ294" s="103"/>
      <c r="OHR294" s="113"/>
      <c r="OHS294" s="103"/>
      <c r="OHT294" s="113"/>
      <c r="OHU294" s="103"/>
      <c r="OHV294" s="113"/>
      <c r="OHW294" s="103"/>
      <c r="OHX294" s="113"/>
      <c r="OHY294" s="103"/>
      <c r="OHZ294" s="113"/>
      <c r="OIA294" s="103"/>
      <c r="OIB294" s="113"/>
      <c r="OIC294" s="103"/>
      <c r="OID294" s="113"/>
      <c r="OIE294" s="103"/>
      <c r="OIF294" s="113"/>
      <c r="OIG294" s="103"/>
      <c r="OIH294" s="113"/>
      <c r="OII294" s="103"/>
      <c r="OIJ294" s="113"/>
      <c r="OIK294" s="103"/>
      <c r="OIL294" s="113"/>
      <c r="OIM294" s="103"/>
      <c r="OIN294" s="113"/>
      <c r="OIO294" s="103"/>
      <c r="OIP294" s="113"/>
      <c r="OIQ294" s="103"/>
      <c r="OIR294" s="113"/>
      <c r="OIS294" s="103"/>
      <c r="OIT294" s="113"/>
      <c r="OIU294" s="103"/>
      <c r="OIV294" s="113"/>
      <c r="OIW294" s="103"/>
      <c r="OIX294" s="113"/>
      <c r="OIY294" s="103"/>
      <c r="OIZ294" s="113"/>
      <c r="OJA294" s="103"/>
      <c r="OJB294" s="113"/>
      <c r="OJC294" s="103"/>
      <c r="OJD294" s="113"/>
      <c r="OJE294" s="103"/>
      <c r="OJF294" s="113"/>
      <c r="OJG294" s="103"/>
      <c r="OJH294" s="113"/>
      <c r="OJI294" s="103"/>
      <c r="OJJ294" s="113"/>
      <c r="OJK294" s="103"/>
      <c r="OJL294" s="113"/>
      <c r="OJM294" s="103"/>
      <c r="OJN294" s="113"/>
      <c r="OJO294" s="103"/>
      <c r="OJP294" s="113"/>
      <c r="OJQ294" s="103"/>
      <c r="OJR294" s="113"/>
      <c r="OJS294" s="103"/>
      <c r="OJT294" s="113"/>
      <c r="OJU294" s="103"/>
      <c r="OJV294" s="113"/>
      <c r="OJW294" s="103"/>
      <c r="OJX294" s="113"/>
      <c r="OJY294" s="103"/>
      <c r="OJZ294" s="113"/>
      <c r="OKA294" s="103"/>
      <c r="OKB294" s="113"/>
      <c r="OKC294" s="103"/>
      <c r="OKD294" s="113"/>
      <c r="OKE294" s="103"/>
      <c r="OKF294" s="113"/>
      <c r="OKG294" s="103"/>
      <c r="OKH294" s="113"/>
      <c r="OKI294" s="103"/>
      <c r="OKJ294" s="113"/>
      <c r="OKK294" s="103"/>
      <c r="OKL294" s="113"/>
      <c r="OKM294" s="103"/>
      <c r="OKN294" s="113"/>
      <c r="OKO294" s="103"/>
      <c r="OKP294" s="113"/>
      <c r="OKQ294" s="103"/>
      <c r="OKR294" s="113"/>
      <c r="OKS294" s="103"/>
      <c r="OKT294" s="113"/>
      <c r="OKU294" s="103"/>
      <c r="OKV294" s="113"/>
      <c r="OKW294" s="103"/>
      <c r="OKX294" s="113"/>
      <c r="OKY294" s="103"/>
      <c r="OKZ294" s="113"/>
      <c r="OLA294" s="103"/>
      <c r="OLB294" s="113"/>
      <c r="OLC294" s="103"/>
      <c r="OLD294" s="113"/>
      <c r="OLE294" s="103"/>
      <c r="OLF294" s="113"/>
      <c r="OLG294" s="103"/>
      <c r="OLH294" s="113"/>
      <c r="OLI294" s="103"/>
      <c r="OLJ294" s="113"/>
      <c r="OLK294" s="103"/>
      <c r="OLL294" s="113"/>
      <c r="OLM294" s="103"/>
      <c r="OLN294" s="113"/>
      <c r="OLO294" s="103"/>
      <c r="OLP294" s="113"/>
      <c r="OLQ294" s="103"/>
      <c r="OLR294" s="113"/>
      <c r="OLS294" s="103"/>
      <c r="OLT294" s="113"/>
      <c r="OLU294" s="103"/>
      <c r="OLV294" s="113"/>
      <c r="OLW294" s="103"/>
      <c r="OLX294" s="113"/>
      <c r="OLY294" s="103"/>
      <c r="OLZ294" s="113"/>
      <c r="OMA294" s="103"/>
      <c r="OMB294" s="113"/>
      <c r="OMC294" s="103"/>
      <c r="OMD294" s="113"/>
      <c r="OME294" s="103"/>
      <c r="OMF294" s="113"/>
      <c r="OMG294" s="103"/>
      <c r="OMH294" s="113"/>
      <c r="OMI294" s="103"/>
      <c r="OMJ294" s="113"/>
      <c r="OMK294" s="103"/>
      <c r="OML294" s="113"/>
      <c r="OMM294" s="103"/>
      <c r="OMN294" s="113"/>
      <c r="OMO294" s="103"/>
      <c r="OMP294" s="113"/>
      <c r="OMQ294" s="103"/>
      <c r="OMR294" s="113"/>
      <c r="OMS294" s="103"/>
      <c r="OMT294" s="113"/>
      <c r="OMU294" s="103"/>
      <c r="OMV294" s="113"/>
      <c r="OMW294" s="103"/>
      <c r="OMX294" s="113"/>
      <c r="OMY294" s="103"/>
      <c r="OMZ294" s="113"/>
      <c r="ONA294" s="103"/>
      <c r="ONB294" s="113"/>
      <c r="ONC294" s="103"/>
      <c r="OND294" s="113"/>
      <c r="ONE294" s="103"/>
      <c r="ONF294" s="113"/>
      <c r="ONG294" s="103"/>
      <c r="ONH294" s="113"/>
      <c r="ONI294" s="103"/>
      <c r="ONJ294" s="113"/>
      <c r="ONK294" s="103"/>
      <c r="ONL294" s="113"/>
      <c r="ONM294" s="103"/>
      <c r="ONN294" s="113"/>
      <c r="ONO294" s="103"/>
      <c r="ONP294" s="113"/>
      <c r="ONQ294" s="103"/>
      <c r="ONR294" s="113"/>
      <c r="ONS294" s="103"/>
      <c r="ONT294" s="113"/>
      <c r="ONU294" s="103"/>
      <c r="ONV294" s="113"/>
      <c r="ONW294" s="103"/>
      <c r="ONX294" s="113"/>
      <c r="ONY294" s="103"/>
      <c r="ONZ294" s="113"/>
      <c r="OOA294" s="103"/>
      <c r="OOB294" s="113"/>
      <c r="OOC294" s="103"/>
      <c r="OOD294" s="113"/>
      <c r="OOE294" s="103"/>
      <c r="OOF294" s="113"/>
      <c r="OOG294" s="103"/>
      <c r="OOH294" s="113"/>
      <c r="OOI294" s="103"/>
      <c r="OOJ294" s="113"/>
      <c r="OOK294" s="103"/>
      <c r="OOL294" s="113"/>
      <c r="OOM294" s="103"/>
      <c r="OON294" s="113"/>
      <c r="OOO294" s="103"/>
      <c r="OOP294" s="113"/>
      <c r="OOQ294" s="103"/>
      <c r="OOR294" s="113"/>
      <c r="OOS294" s="103"/>
      <c r="OOT294" s="113"/>
      <c r="OOU294" s="103"/>
      <c r="OOV294" s="113"/>
      <c r="OOW294" s="103"/>
      <c r="OOX294" s="113"/>
      <c r="OOY294" s="103"/>
      <c r="OOZ294" s="113"/>
      <c r="OPA294" s="103"/>
      <c r="OPB294" s="113"/>
      <c r="OPC294" s="103"/>
      <c r="OPD294" s="113"/>
      <c r="OPE294" s="103"/>
      <c r="OPF294" s="113"/>
      <c r="OPG294" s="103"/>
      <c r="OPH294" s="113"/>
      <c r="OPI294" s="103"/>
      <c r="OPJ294" s="113"/>
      <c r="OPK294" s="103"/>
      <c r="OPL294" s="113"/>
      <c r="OPM294" s="103"/>
      <c r="OPN294" s="113"/>
      <c r="OPO294" s="103"/>
      <c r="OPP294" s="113"/>
      <c r="OPQ294" s="103"/>
      <c r="OPR294" s="113"/>
      <c r="OPS294" s="103"/>
      <c r="OPT294" s="113"/>
      <c r="OPU294" s="103"/>
      <c r="OPV294" s="113"/>
      <c r="OPW294" s="103"/>
      <c r="OPX294" s="113"/>
      <c r="OPY294" s="103"/>
      <c r="OPZ294" s="113"/>
      <c r="OQA294" s="103"/>
      <c r="OQB294" s="113"/>
      <c r="OQC294" s="103"/>
      <c r="OQD294" s="113"/>
      <c r="OQE294" s="103"/>
      <c r="OQF294" s="113"/>
      <c r="OQG294" s="103"/>
      <c r="OQH294" s="113"/>
      <c r="OQI294" s="103"/>
      <c r="OQJ294" s="113"/>
      <c r="OQK294" s="103"/>
      <c r="OQL294" s="113"/>
      <c r="OQM294" s="103"/>
      <c r="OQN294" s="113"/>
      <c r="OQO294" s="103"/>
      <c r="OQP294" s="113"/>
      <c r="OQQ294" s="103"/>
      <c r="OQR294" s="113"/>
      <c r="OQS294" s="103"/>
      <c r="OQT294" s="113"/>
      <c r="OQU294" s="103"/>
      <c r="OQV294" s="113"/>
      <c r="OQW294" s="103"/>
      <c r="OQX294" s="113"/>
      <c r="OQY294" s="103"/>
      <c r="OQZ294" s="113"/>
      <c r="ORA294" s="103"/>
      <c r="ORB294" s="113"/>
      <c r="ORC294" s="103"/>
      <c r="ORD294" s="113"/>
      <c r="ORE294" s="103"/>
      <c r="ORF294" s="113"/>
      <c r="ORG294" s="103"/>
      <c r="ORH294" s="113"/>
      <c r="ORI294" s="103"/>
      <c r="ORJ294" s="113"/>
      <c r="ORK294" s="103"/>
      <c r="ORL294" s="113"/>
      <c r="ORM294" s="103"/>
      <c r="ORN294" s="113"/>
      <c r="ORO294" s="103"/>
      <c r="ORP294" s="113"/>
      <c r="ORQ294" s="103"/>
      <c r="ORR294" s="113"/>
      <c r="ORS294" s="103"/>
      <c r="ORT294" s="113"/>
      <c r="ORU294" s="103"/>
      <c r="ORV294" s="113"/>
      <c r="ORW294" s="103"/>
      <c r="ORX294" s="113"/>
      <c r="ORY294" s="103"/>
      <c r="ORZ294" s="113"/>
      <c r="OSA294" s="103"/>
      <c r="OSB294" s="113"/>
      <c r="OSC294" s="103"/>
      <c r="OSD294" s="113"/>
      <c r="OSE294" s="103"/>
      <c r="OSF294" s="113"/>
      <c r="OSG294" s="103"/>
      <c r="OSH294" s="113"/>
      <c r="OSI294" s="103"/>
      <c r="OSJ294" s="113"/>
      <c r="OSK294" s="103"/>
      <c r="OSL294" s="113"/>
      <c r="OSM294" s="103"/>
      <c r="OSN294" s="113"/>
      <c r="OSO294" s="103"/>
      <c r="OSP294" s="113"/>
      <c r="OSQ294" s="103"/>
      <c r="OSR294" s="113"/>
      <c r="OSS294" s="103"/>
      <c r="OST294" s="113"/>
      <c r="OSU294" s="103"/>
      <c r="OSV294" s="113"/>
      <c r="OSW294" s="103"/>
      <c r="OSX294" s="113"/>
      <c r="OSY294" s="103"/>
      <c r="OSZ294" s="113"/>
      <c r="OTA294" s="103"/>
      <c r="OTB294" s="113"/>
      <c r="OTC294" s="103"/>
      <c r="OTD294" s="113"/>
      <c r="OTE294" s="103"/>
      <c r="OTF294" s="113"/>
      <c r="OTG294" s="103"/>
      <c r="OTH294" s="113"/>
      <c r="OTI294" s="103"/>
      <c r="OTJ294" s="113"/>
      <c r="OTK294" s="103"/>
      <c r="OTL294" s="113"/>
      <c r="OTM294" s="103"/>
      <c r="OTN294" s="113"/>
      <c r="OTO294" s="103"/>
      <c r="OTP294" s="113"/>
      <c r="OTQ294" s="103"/>
      <c r="OTR294" s="113"/>
      <c r="OTS294" s="103"/>
      <c r="OTT294" s="113"/>
      <c r="OTU294" s="103"/>
      <c r="OTV294" s="113"/>
      <c r="OTW294" s="103"/>
      <c r="OTX294" s="113"/>
      <c r="OTY294" s="103"/>
      <c r="OTZ294" s="113"/>
      <c r="OUA294" s="103"/>
      <c r="OUB294" s="113"/>
      <c r="OUC294" s="103"/>
      <c r="OUD294" s="113"/>
      <c r="OUE294" s="103"/>
      <c r="OUF294" s="113"/>
      <c r="OUG294" s="103"/>
      <c r="OUH294" s="113"/>
      <c r="OUI294" s="103"/>
      <c r="OUJ294" s="113"/>
      <c r="OUK294" s="103"/>
      <c r="OUL294" s="113"/>
      <c r="OUM294" s="103"/>
      <c r="OUN294" s="113"/>
      <c r="OUO294" s="103"/>
      <c r="OUP294" s="113"/>
      <c r="OUQ294" s="103"/>
      <c r="OUR294" s="113"/>
      <c r="OUS294" s="103"/>
      <c r="OUT294" s="113"/>
      <c r="OUU294" s="103"/>
      <c r="OUV294" s="113"/>
      <c r="OUW294" s="103"/>
      <c r="OUX294" s="113"/>
      <c r="OUY294" s="103"/>
      <c r="OUZ294" s="113"/>
      <c r="OVA294" s="103"/>
      <c r="OVB294" s="113"/>
      <c r="OVC294" s="103"/>
      <c r="OVD294" s="113"/>
      <c r="OVE294" s="103"/>
      <c r="OVF294" s="113"/>
      <c r="OVG294" s="103"/>
      <c r="OVH294" s="113"/>
      <c r="OVI294" s="103"/>
      <c r="OVJ294" s="113"/>
      <c r="OVK294" s="103"/>
      <c r="OVL294" s="113"/>
      <c r="OVM294" s="103"/>
      <c r="OVN294" s="113"/>
      <c r="OVO294" s="103"/>
      <c r="OVP294" s="113"/>
      <c r="OVQ294" s="103"/>
      <c r="OVR294" s="113"/>
      <c r="OVS294" s="103"/>
      <c r="OVT294" s="113"/>
      <c r="OVU294" s="103"/>
      <c r="OVV294" s="113"/>
      <c r="OVW294" s="103"/>
      <c r="OVX294" s="113"/>
      <c r="OVY294" s="103"/>
      <c r="OVZ294" s="113"/>
      <c r="OWA294" s="103"/>
      <c r="OWB294" s="113"/>
      <c r="OWC294" s="103"/>
      <c r="OWD294" s="113"/>
      <c r="OWE294" s="103"/>
      <c r="OWF294" s="113"/>
      <c r="OWG294" s="103"/>
      <c r="OWH294" s="113"/>
      <c r="OWI294" s="103"/>
      <c r="OWJ294" s="113"/>
      <c r="OWK294" s="103"/>
      <c r="OWL294" s="113"/>
      <c r="OWM294" s="103"/>
      <c r="OWN294" s="113"/>
      <c r="OWO294" s="103"/>
      <c r="OWP294" s="113"/>
      <c r="OWQ294" s="103"/>
      <c r="OWR294" s="113"/>
      <c r="OWS294" s="103"/>
      <c r="OWT294" s="113"/>
      <c r="OWU294" s="103"/>
      <c r="OWV294" s="113"/>
      <c r="OWW294" s="103"/>
      <c r="OWX294" s="113"/>
      <c r="OWY294" s="103"/>
      <c r="OWZ294" s="113"/>
      <c r="OXA294" s="103"/>
      <c r="OXB294" s="113"/>
      <c r="OXC294" s="103"/>
      <c r="OXD294" s="113"/>
      <c r="OXE294" s="103"/>
      <c r="OXF294" s="113"/>
      <c r="OXG294" s="103"/>
      <c r="OXH294" s="113"/>
      <c r="OXI294" s="103"/>
      <c r="OXJ294" s="113"/>
      <c r="OXK294" s="103"/>
      <c r="OXL294" s="113"/>
      <c r="OXM294" s="103"/>
      <c r="OXN294" s="113"/>
      <c r="OXO294" s="103"/>
      <c r="OXP294" s="113"/>
      <c r="OXQ294" s="103"/>
      <c r="OXR294" s="113"/>
      <c r="OXS294" s="103"/>
      <c r="OXT294" s="113"/>
      <c r="OXU294" s="103"/>
      <c r="OXV294" s="113"/>
      <c r="OXW294" s="103"/>
      <c r="OXX294" s="113"/>
      <c r="OXY294" s="103"/>
      <c r="OXZ294" s="113"/>
      <c r="OYA294" s="103"/>
      <c r="OYB294" s="113"/>
      <c r="OYC294" s="103"/>
      <c r="OYD294" s="113"/>
      <c r="OYE294" s="103"/>
      <c r="OYF294" s="113"/>
      <c r="OYG294" s="103"/>
      <c r="OYH294" s="113"/>
      <c r="OYI294" s="103"/>
      <c r="OYJ294" s="113"/>
      <c r="OYK294" s="103"/>
      <c r="OYL294" s="113"/>
      <c r="OYM294" s="103"/>
      <c r="OYN294" s="113"/>
      <c r="OYO294" s="103"/>
      <c r="OYP294" s="113"/>
      <c r="OYQ294" s="103"/>
      <c r="OYR294" s="113"/>
      <c r="OYS294" s="103"/>
      <c r="OYT294" s="113"/>
      <c r="OYU294" s="103"/>
      <c r="OYV294" s="113"/>
      <c r="OYW294" s="103"/>
      <c r="OYX294" s="113"/>
      <c r="OYY294" s="103"/>
      <c r="OYZ294" s="113"/>
      <c r="OZA294" s="103"/>
      <c r="OZB294" s="113"/>
      <c r="OZC294" s="103"/>
      <c r="OZD294" s="113"/>
      <c r="OZE294" s="103"/>
      <c r="OZF294" s="113"/>
      <c r="OZG294" s="103"/>
      <c r="OZH294" s="113"/>
      <c r="OZI294" s="103"/>
      <c r="OZJ294" s="113"/>
      <c r="OZK294" s="103"/>
      <c r="OZL294" s="113"/>
      <c r="OZM294" s="103"/>
      <c r="OZN294" s="113"/>
      <c r="OZO294" s="103"/>
      <c r="OZP294" s="113"/>
      <c r="OZQ294" s="103"/>
      <c r="OZR294" s="113"/>
      <c r="OZS294" s="103"/>
      <c r="OZT294" s="113"/>
      <c r="OZU294" s="103"/>
      <c r="OZV294" s="113"/>
      <c r="OZW294" s="103"/>
      <c r="OZX294" s="113"/>
      <c r="OZY294" s="103"/>
      <c r="OZZ294" s="113"/>
      <c r="PAA294" s="103"/>
      <c r="PAB294" s="113"/>
      <c r="PAC294" s="103"/>
      <c r="PAD294" s="113"/>
      <c r="PAE294" s="103"/>
      <c r="PAF294" s="113"/>
      <c r="PAG294" s="103"/>
      <c r="PAH294" s="113"/>
      <c r="PAI294" s="103"/>
      <c r="PAJ294" s="113"/>
      <c r="PAK294" s="103"/>
      <c r="PAL294" s="113"/>
      <c r="PAM294" s="103"/>
      <c r="PAN294" s="113"/>
      <c r="PAO294" s="103"/>
      <c r="PAP294" s="113"/>
      <c r="PAQ294" s="103"/>
      <c r="PAR294" s="113"/>
      <c r="PAS294" s="103"/>
      <c r="PAT294" s="113"/>
      <c r="PAU294" s="103"/>
      <c r="PAV294" s="113"/>
      <c r="PAW294" s="103"/>
      <c r="PAX294" s="113"/>
      <c r="PAY294" s="103"/>
      <c r="PAZ294" s="113"/>
      <c r="PBA294" s="103"/>
      <c r="PBB294" s="113"/>
      <c r="PBC294" s="103"/>
      <c r="PBD294" s="113"/>
      <c r="PBE294" s="103"/>
      <c r="PBF294" s="113"/>
      <c r="PBG294" s="103"/>
      <c r="PBH294" s="113"/>
      <c r="PBI294" s="103"/>
      <c r="PBJ294" s="113"/>
      <c r="PBK294" s="103"/>
      <c r="PBL294" s="113"/>
      <c r="PBM294" s="103"/>
      <c r="PBN294" s="113"/>
      <c r="PBO294" s="103"/>
      <c r="PBP294" s="113"/>
      <c r="PBQ294" s="103"/>
      <c r="PBR294" s="113"/>
      <c r="PBS294" s="103"/>
      <c r="PBT294" s="113"/>
      <c r="PBU294" s="103"/>
      <c r="PBV294" s="113"/>
      <c r="PBW294" s="103"/>
      <c r="PBX294" s="113"/>
      <c r="PBY294" s="103"/>
      <c r="PBZ294" s="113"/>
      <c r="PCA294" s="103"/>
      <c r="PCB294" s="113"/>
      <c r="PCC294" s="103"/>
      <c r="PCD294" s="113"/>
      <c r="PCE294" s="103"/>
      <c r="PCF294" s="113"/>
      <c r="PCG294" s="103"/>
      <c r="PCH294" s="113"/>
      <c r="PCI294" s="103"/>
      <c r="PCJ294" s="113"/>
      <c r="PCK294" s="103"/>
      <c r="PCL294" s="113"/>
      <c r="PCM294" s="103"/>
      <c r="PCN294" s="113"/>
      <c r="PCO294" s="103"/>
      <c r="PCP294" s="113"/>
      <c r="PCQ294" s="103"/>
      <c r="PCR294" s="113"/>
      <c r="PCS294" s="103"/>
      <c r="PCT294" s="113"/>
      <c r="PCU294" s="103"/>
      <c r="PCV294" s="113"/>
      <c r="PCW294" s="103"/>
      <c r="PCX294" s="113"/>
      <c r="PCY294" s="103"/>
      <c r="PCZ294" s="113"/>
      <c r="PDA294" s="103"/>
      <c r="PDB294" s="113"/>
      <c r="PDC294" s="103"/>
      <c r="PDD294" s="113"/>
      <c r="PDE294" s="103"/>
      <c r="PDF294" s="113"/>
      <c r="PDG294" s="103"/>
      <c r="PDH294" s="113"/>
      <c r="PDI294" s="103"/>
      <c r="PDJ294" s="113"/>
      <c r="PDK294" s="103"/>
      <c r="PDL294" s="113"/>
      <c r="PDM294" s="103"/>
      <c r="PDN294" s="113"/>
      <c r="PDO294" s="103"/>
      <c r="PDP294" s="113"/>
      <c r="PDQ294" s="103"/>
      <c r="PDR294" s="113"/>
      <c r="PDS294" s="103"/>
      <c r="PDT294" s="113"/>
      <c r="PDU294" s="103"/>
      <c r="PDV294" s="113"/>
      <c r="PDW294" s="103"/>
      <c r="PDX294" s="113"/>
      <c r="PDY294" s="103"/>
      <c r="PDZ294" s="113"/>
      <c r="PEA294" s="103"/>
      <c r="PEB294" s="113"/>
      <c r="PEC294" s="103"/>
      <c r="PED294" s="113"/>
      <c r="PEE294" s="103"/>
      <c r="PEF294" s="113"/>
      <c r="PEG294" s="103"/>
      <c r="PEH294" s="113"/>
      <c r="PEI294" s="103"/>
      <c r="PEJ294" s="113"/>
      <c r="PEK294" s="103"/>
      <c r="PEL294" s="113"/>
      <c r="PEM294" s="103"/>
      <c r="PEN294" s="113"/>
      <c r="PEO294" s="103"/>
      <c r="PEP294" s="113"/>
      <c r="PEQ294" s="103"/>
      <c r="PER294" s="113"/>
      <c r="PES294" s="103"/>
      <c r="PET294" s="113"/>
      <c r="PEU294" s="103"/>
      <c r="PEV294" s="113"/>
      <c r="PEW294" s="103"/>
      <c r="PEX294" s="113"/>
      <c r="PEY294" s="103"/>
      <c r="PEZ294" s="113"/>
      <c r="PFA294" s="103"/>
      <c r="PFB294" s="113"/>
      <c r="PFC294" s="103"/>
      <c r="PFD294" s="113"/>
      <c r="PFE294" s="103"/>
      <c r="PFF294" s="113"/>
      <c r="PFG294" s="103"/>
      <c r="PFH294" s="113"/>
      <c r="PFI294" s="103"/>
      <c r="PFJ294" s="113"/>
      <c r="PFK294" s="103"/>
      <c r="PFL294" s="113"/>
      <c r="PFM294" s="103"/>
      <c r="PFN294" s="113"/>
      <c r="PFO294" s="103"/>
      <c r="PFP294" s="113"/>
      <c r="PFQ294" s="103"/>
      <c r="PFR294" s="113"/>
      <c r="PFS294" s="103"/>
      <c r="PFT294" s="113"/>
      <c r="PFU294" s="103"/>
      <c r="PFV294" s="113"/>
      <c r="PFW294" s="103"/>
      <c r="PFX294" s="113"/>
      <c r="PFY294" s="103"/>
      <c r="PFZ294" s="113"/>
      <c r="PGA294" s="103"/>
      <c r="PGB294" s="113"/>
      <c r="PGC294" s="103"/>
      <c r="PGD294" s="113"/>
      <c r="PGE294" s="103"/>
      <c r="PGF294" s="113"/>
      <c r="PGG294" s="103"/>
      <c r="PGH294" s="113"/>
      <c r="PGI294" s="103"/>
      <c r="PGJ294" s="113"/>
      <c r="PGK294" s="103"/>
      <c r="PGL294" s="113"/>
      <c r="PGM294" s="103"/>
      <c r="PGN294" s="113"/>
      <c r="PGO294" s="103"/>
      <c r="PGP294" s="113"/>
      <c r="PGQ294" s="103"/>
      <c r="PGR294" s="113"/>
      <c r="PGS294" s="103"/>
      <c r="PGT294" s="113"/>
      <c r="PGU294" s="103"/>
      <c r="PGV294" s="113"/>
      <c r="PGW294" s="103"/>
      <c r="PGX294" s="113"/>
      <c r="PGY294" s="103"/>
      <c r="PGZ294" s="113"/>
      <c r="PHA294" s="103"/>
      <c r="PHB294" s="113"/>
      <c r="PHC294" s="103"/>
      <c r="PHD294" s="113"/>
      <c r="PHE294" s="103"/>
      <c r="PHF294" s="113"/>
      <c r="PHG294" s="103"/>
      <c r="PHH294" s="113"/>
      <c r="PHI294" s="103"/>
      <c r="PHJ294" s="113"/>
      <c r="PHK294" s="103"/>
      <c r="PHL294" s="113"/>
      <c r="PHM294" s="103"/>
      <c r="PHN294" s="113"/>
      <c r="PHO294" s="103"/>
      <c r="PHP294" s="113"/>
      <c r="PHQ294" s="103"/>
      <c r="PHR294" s="113"/>
      <c r="PHS294" s="103"/>
      <c r="PHT294" s="113"/>
      <c r="PHU294" s="103"/>
      <c r="PHV294" s="113"/>
      <c r="PHW294" s="103"/>
      <c r="PHX294" s="113"/>
      <c r="PHY294" s="103"/>
      <c r="PHZ294" s="113"/>
      <c r="PIA294" s="103"/>
      <c r="PIB294" s="113"/>
      <c r="PIC294" s="103"/>
      <c r="PID294" s="113"/>
      <c r="PIE294" s="103"/>
      <c r="PIF294" s="113"/>
      <c r="PIG294" s="103"/>
      <c r="PIH294" s="113"/>
      <c r="PII294" s="103"/>
      <c r="PIJ294" s="113"/>
      <c r="PIK294" s="103"/>
      <c r="PIL294" s="113"/>
      <c r="PIM294" s="103"/>
      <c r="PIN294" s="113"/>
      <c r="PIO294" s="103"/>
      <c r="PIP294" s="113"/>
      <c r="PIQ294" s="103"/>
      <c r="PIR294" s="113"/>
      <c r="PIS294" s="103"/>
      <c r="PIT294" s="113"/>
      <c r="PIU294" s="103"/>
      <c r="PIV294" s="113"/>
      <c r="PIW294" s="103"/>
      <c r="PIX294" s="113"/>
      <c r="PIY294" s="103"/>
      <c r="PIZ294" s="113"/>
      <c r="PJA294" s="103"/>
      <c r="PJB294" s="113"/>
      <c r="PJC294" s="103"/>
      <c r="PJD294" s="113"/>
      <c r="PJE294" s="103"/>
      <c r="PJF294" s="113"/>
      <c r="PJG294" s="103"/>
      <c r="PJH294" s="113"/>
      <c r="PJI294" s="103"/>
      <c r="PJJ294" s="113"/>
      <c r="PJK294" s="103"/>
      <c r="PJL294" s="113"/>
      <c r="PJM294" s="103"/>
      <c r="PJN294" s="113"/>
      <c r="PJO294" s="103"/>
      <c r="PJP294" s="113"/>
      <c r="PJQ294" s="103"/>
      <c r="PJR294" s="113"/>
      <c r="PJS294" s="103"/>
      <c r="PJT294" s="113"/>
      <c r="PJU294" s="103"/>
      <c r="PJV294" s="113"/>
      <c r="PJW294" s="103"/>
      <c r="PJX294" s="113"/>
      <c r="PJY294" s="103"/>
      <c r="PJZ294" s="113"/>
      <c r="PKA294" s="103"/>
      <c r="PKB294" s="113"/>
      <c r="PKC294" s="103"/>
      <c r="PKD294" s="113"/>
      <c r="PKE294" s="103"/>
      <c r="PKF294" s="113"/>
      <c r="PKG294" s="103"/>
      <c r="PKH294" s="113"/>
      <c r="PKI294" s="103"/>
      <c r="PKJ294" s="113"/>
      <c r="PKK294" s="103"/>
      <c r="PKL294" s="113"/>
      <c r="PKM294" s="103"/>
      <c r="PKN294" s="113"/>
      <c r="PKO294" s="103"/>
      <c r="PKP294" s="113"/>
      <c r="PKQ294" s="103"/>
      <c r="PKR294" s="113"/>
      <c r="PKS294" s="103"/>
      <c r="PKT294" s="113"/>
      <c r="PKU294" s="103"/>
      <c r="PKV294" s="113"/>
      <c r="PKW294" s="103"/>
      <c r="PKX294" s="113"/>
      <c r="PKY294" s="103"/>
      <c r="PKZ294" s="113"/>
      <c r="PLA294" s="103"/>
      <c r="PLB294" s="113"/>
      <c r="PLC294" s="103"/>
      <c r="PLD294" s="113"/>
      <c r="PLE294" s="103"/>
      <c r="PLF294" s="113"/>
      <c r="PLG294" s="103"/>
      <c r="PLH294" s="113"/>
      <c r="PLI294" s="103"/>
      <c r="PLJ294" s="113"/>
      <c r="PLK294" s="103"/>
      <c r="PLL294" s="113"/>
      <c r="PLM294" s="103"/>
      <c r="PLN294" s="113"/>
      <c r="PLO294" s="103"/>
      <c r="PLP294" s="113"/>
      <c r="PLQ294" s="103"/>
      <c r="PLR294" s="113"/>
      <c r="PLS294" s="103"/>
      <c r="PLT294" s="113"/>
      <c r="PLU294" s="103"/>
      <c r="PLV294" s="113"/>
      <c r="PLW294" s="103"/>
      <c r="PLX294" s="113"/>
      <c r="PLY294" s="103"/>
      <c r="PLZ294" s="113"/>
      <c r="PMA294" s="103"/>
      <c r="PMB294" s="113"/>
      <c r="PMC294" s="103"/>
      <c r="PMD294" s="113"/>
      <c r="PME294" s="103"/>
      <c r="PMF294" s="113"/>
      <c r="PMG294" s="103"/>
      <c r="PMH294" s="113"/>
      <c r="PMI294" s="103"/>
      <c r="PMJ294" s="113"/>
      <c r="PMK294" s="103"/>
      <c r="PML294" s="113"/>
      <c r="PMM294" s="103"/>
      <c r="PMN294" s="113"/>
      <c r="PMO294" s="103"/>
      <c r="PMP294" s="113"/>
      <c r="PMQ294" s="103"/>
      <c r="PMR294" s="113"/>
      <c r="PMS294" s="103"/>
      <c r="PMT294" s="113"/>
      <c r="PMU294" s="103"/>
      <c r="PMV294" s="113"/>
      <c r="PMW294" s="103"/>
      <c r="PMX294" s="113"/>
      <c r="PMY294" s="103"/>
      <c r="PMZ294" s="113"/>
      <c r="PNA294" s="103"/>
      <c r="PNB294" s="113"/>
      <c r="PNC294" s="103"/>
      <c r="PND294" s="113"/>
      <c r="PNE294" s="103"/>
      <c r="PNF294" s="113"/>
      <c r="PNG294" s="103"/>
      <c r="PNH294" s="113"/>
      <c r="PNI294" s="103"/>
      <c r="PNJ294" s="113"/>
      <c r="PNK294" s="103"/>
      <c r="PNL294" s="113"/>
      <c r="PNM294" s="103"/>
      <c r="PNN294" s="113"/>
      <c r="PNO294" s="103"/>
      <c r="PNP294" s="113"/>
      <c r="PNQ294" s="103"/>
      <c r="PNR294" s="113"/>
      <c r="PNS294" s="103"/>
      <c r="PNT294" s="113"/>
      <c r="PNU294" s="103"/>
      <c r="PNV294" s="113"/>
      <c r="PNW294" s="103"/>
      <c r="PNX294" s="113"/>
      <c r="PNY294" s="103"/>
      <c r="PNZ294" s="113"/>
      <c r="POA294" s="103"/>
      <c r="POB294" s="113"/>
      <c r="POC294" s="103"/>
      <c r="POD294" s="113"/>
      <c r="POE294" s="103"/>
      <c r="POF294" s="113"/>
      <c r="POG294" s="103"/>
      <c r="POH294" s="113"/>
      <c r="POI294" s="103"/>
      <c r="POJ294" s="113"/>
      <c r="POK294" s="103"/>
      <c r="POL294" s="113"/>
      <c r="POM294" s="103"/>
      <c r="PON294" s="113"/>
      <c r="POO294" s="103"/>
      <c r="POP294" s="113"/>
      <c r="POQ294" s="103"/>
      <c r="POR294" s="113"/>
      <c r="POS294" s="103"/>
      <c r="POT294" s="113"/>
      <c r="POU294" s="103"/>
      <c r="POV294" s="113"/>
      <c r="POW294" s="103"/>
      <c r="POX294" s="113"/>
      <c r="POY294" s="103"/>
      <c r="POZ294" s="113"/>
      <c r="PPA294" s="103"/>
      <c r="PPB294" s="113"/>
      <c r="PPC294" s="103"/>
      <c r="PPD294" s="113"/>
      <c r="PPE294" s="103"/>
      <c r="PPF294" s="113"/>
      <c r="PPG294" s="103"/>
      <c r="PPH294" s="113"/>
      <c r="PPI294" s="103"/>
      <c r="PPJ294" s="113"/>
      <c r="PPK294" s="103"/>
      <c r="PPL294" s="113"/>
      <c r="PPM294" s="103"/>
      <c r="PPN294" s="113"/>
      <c r="PPO294" s="103"/>
      <c r="PPP294" s="113"/>
      <c r="PPQ294" s="103"/>
      <c r="PPR294" s="113"/>
      <c r="PPS294" s="103"/>
      <c r="PPT294" s="113"/>
      <c r="PPU294" s="103"/>
      <c r="PPV294" s="113"/>
      <c r="PPW294" s="103"/>
      <c r="PPX294" s="113"/>
      <c r="PPY294" s="103"/>
      <c r="PPZ294" s="113"/>
      <c r="PQA294" s="103"/>
      <c r="PQB294" s="113"/>
      <c r="PQC294" s="103"/>
      <c r="PQD294" s="113"/>
      <c r="PQE294" s="103"/>
      <c r="PQF294" s="113"/>
      <c r="PQG294" s="103"/>
      <c r="PQH294" s="113"/>
      <c r="PQI294" s="103"/>
      <c r="PQJ294" s="113"/>
      <c r="PQK294" s="103"/>
      <c r="PQL294" s="113"/>
      <c r="PQM294" s="103"/>
      <c r="PQN294" s="113"/>
      <c r="PQO294" s="103"/>
      <c r="PQP294" s="113"/>
      <c r="PQQ294" s="103"/>
      <c r="PQR294" s="113"/>
      <c r="PQS294" s="103"/>
      <c r="PQT294" s="113"/>
      <c r="PQU294" s="103"/>
      <c r="PQV294" s="113"/>
      <c r="PQW294" s="103"/>
      <c r="PQX294" s="113"/>
      <c r="PQY294" s="103"/>
      <c r="PQZ294" s="113"/>
      <c r="PRA294" s="103"/>
      <c r="PRB294" s="113"/>
      <c r="PRC294" s="103"/>
      <c r="PRD294" s="113"/>
      <c r="PRE294" s="103"/>
      <c r="PRF294" s="113"/>
      <c r="PRG294" s="103"/>
      <c r="PRH294" s="113"/>
      <c r="PRI294" s="103"/>
      <c r="PRJ294" s="113"/>
      <c r="PRK294" s="103"/>
      <c r="PRL294" s="113"/>
      <c r="PRM294" s="103"/>
      <c r="PRN294" s="113"/>
      <c r="PRO294" s="103"/>
      <c r="PRP294" s="113"/>
      <c r="PRQ294" s="103"/>
      <c r="PRR294" s="113"/>
      <c r="PRS294" s="103"/>
      <c r="PRT294" s="113"/>
      <c r="PRU294" s="103"/>
      <c r="PRV294" s="113"/>
      <c r="PRW294" s="103"/>
      <c r="PRX294" s="113"/>
      <c r="PRY294" s="103"/>
      <c r="PRZ294" s="113"/>
      <c r="PSA294" s="103"/>
      <c r="PSB294" s="113"/>
      <c r="PSC294" s="103"/>
      <c r="PSD294" s="113"/>
      <c r="PSE294" s="103"/>
      <c r="PSF294" s="113"/>
      <c r="PSG294" s="103"/>
      <c r="PSH294" s="113"/>
      <c r="PSI294" s="103"/>
      <c r="PSJ294" s="113"/>
      <c r="PSK294" s="103"/>
      <c r="PSL294" s="113"/>
      <c r="PSM294" s="103"/>
      <c r="PSN294" s="113"/>
      <c r="PSO294" s="103"/>
      <c r="PSP294" s="113"/>
      <c r="PSQ294" s="103"/>
      <c r="PSR294" s="113"/>
      <c r="PSS294" s="103"/>
      <c r="PST294" s="113"/>
      <c r="PSU294" s="103"/>
      <c r="PSV294" s="113"/>
      <c r="PSW294" s="103"/>
      <c r="PSX294" s="113"/>
      <c r="PSY294" s="103"/>
      <c r="PSZ294" s="113"/>
      <c r="PTA294" s="103"/>
      <c r="PTB294" s="113"/>
      <c r="PTC294" s="103"/>
      <c r="PTD294" s="113"/>
      <c r="PTE294" s="103"/>
      <c r="PTF294" s="113"/>
      <c r="PTG294" s="103"/>
      <c r="PTH294" s="113"/>
      <c r="PTI294" s="103"/>
      <c r="PTJ294" s="113"/>
      <c r="PTK294" s="103"/>
      <c r="PTL294" s="113"/>
      <c r="PTM294" s="103"/>
      <c r="PTN294" s="113"/>
      <c r="PTO294" s="103"/>
      <c r="PTP294" s="113"/>
      <c r="PTQ294" s="103"/>
      <c r="PTR294" s="113"/>
      <c r="PTS294" s="103"/>
      <c r="PTT294" s="113"/>
      <c r="PTU294" s="103"/>
      <c r="PTV294" s="113"/>
      <c r="PTW294" s="103"/>
      <c r="PTX294" s="113"/>
      <c r="PTY294" s="103"/>
      <c r="PTZ294" s="113"/>
      <c r="PUA294" s="103"/>
      <c r="PUB294" s="113"/>
      <c r="PUC294" s="103"/>
      <c r="PUD294" s="113"/>
      <c r="PUE294" s="103"/>
      <c r="PUF294" s="113"/>
      <c r="PUG294" s="103"/>
      <c r="PUH294" s="113"/>
      <c r="PUI294" s="103"/>
      <c r="PUJ294" s="113"/>
      <c r="PUK294" s="103"/>
      <c r="PUL294" s="113"/>
      <c r="PUM294" s="103"/>
      <c r="PUN294" s="113"/>
      <c r="PUO294" s="103"/>
      <c r="PUP294" s="113"/>
      <c r="PUQ294" s="103"/>
      <c r="PUR294" s="113"/>
      <c r="PUS294" s="103"/>
      <c r="PUT294" s="113"/>
      <c r="PUU294" s="103"/>
      <c r="PUV294" s="113"/>
      <c r="PUW294" s="103"/>
      <c r="PUX294" s="113"/>
      <c r="PUY294" s="103"/>
      <c r="PUZ294" s="113"/>
      <c r="PVA294" s="103"/>
      <c r="PVB294" s="113"/>
      <c r="PVC294" s="103"/>
      <c r="PVD294" s="113"/>
      <c r="PVE294" s="103"/>
      <c r="PVF294" s="113"/>
      <c r="PVG294" s="103"/>
      <c r="PVH294" s="113"/>
      <c r="PVI294" s="103"/>
      <c r="PVJ294" s="113"/>
      <c r="PVK294" s="103"/>
      <c r="PVL294" s="113"/>
      <c r="PVM294" s="103"/>
      <c r="PVN294" s="113"/>
      <c r="PVO294" s="103"/>
      <c r="PVP294" s="113"/>
      <c r="PVQ294" s="103"/>
      <c r="PVR294" s="113"/>
      <c r="PVS294" s="103"/>
      <c r="PVT294" s="113"/>
      <c r="PVU294" s="103"/>
      <c r="PVV294" s="113"/>
      <c r="PVW294" s="103"/>
      <c r="PVX294" s="113"/>
      <c r="PVY294" s="103"/>
      <c r="PVZ294" s="113"/>
      <c r="PWA294" s="103"/>
      <c r="PWB294" s="113"/>
      <c r="PWC294" s="103"/>
      <c r="PWD294" s="113"/>
      <c r="PWE294" s="103"/>
      <c r="PWF294" s="113"/>
      <c r="PWG294" s="103"/>
      <c r="PWH294" s="113"/>
      <c r="PWI294" s="103"/>
      <c r="PWJ294" s="113"/>
      <c r="PWK294" s="103"/>
      <c r="PWL294" s="113"/>
      <c r="PWM294" s="103"/>
      <c r="PWN294" s="113"/>
      <c r="PWO294" s="103"/>
      <c r="PWP294" s="113"/>
      <c r="PWQ294" s="103"/>
      <c r="PWR294" s="113"/>
      <c r="PWS294" s="103"/>
      <c r="PWT294" s="113"/>
      <c r="PWU294" s="103"/>
      <c r="PWV294" s="113"/>
      <c r="PWW294" s="103"/>
      <c r="PWX294" s="113"/>
      <c r="PWY294" s="103"/>
      <c r="PWZ294" s="113"/>
      <c r="PXA294" s="103"/>
      <c r="PXB294" s="113"/>
      <c r="PXC294" s="103"/>
      <c r="PXD294" s="113"/>
      <c r="PXE294" s="103"/>
      <c r="PXF294" s="113"/>
      <c r="PXG294" s="103"/>
      <c r="PXH294" s="113"/>
      <c r="PXI294" s="103"/>
      <c r="PXJ294" s="113"/>
      <c r="PXK294" s="103"/>
      <c r="PXL294" s="113"/>
      <c r="PXM294" s="103"/>
      <c r="PXN294" s="113"/>
      <c r="PXO294" s="103"/>
      <c r="PXP294" s="113"/>
      <c r="PXQ294" s="103"/>
      <c r="PXR294" s="113"/>
      <c r="PXS294" s="103"/>
      <c r="PXT294" s="113"/>
      <c r="PXU294" s="103"/>
      <c r="PXV294" s="113"/>
      <c r="PXW294" s="103"/>
      <c r="PXX294" s="113"/>
      <c r="PXY294" s="103"/>
      <c r="PXZ294" s="113"/>
      <c r="PYA294" s="103"/>
      <c r="PYB294" s="113"/>
      <c r="PYC294" s="103"/>
      <c r="PYD294" s="113"/>
      <c r="PYE294" s="103"/>
      <c r="PYF294" s="113"/>
      <c r="PYG294" s="103"/>
      <c r="PYH294" s="113"/>
      <c r="PYI294" s="103"/>
      <c r="PYJ294" s="113"/>
      <c r="PYK294" s="103"/>
      <c r="PYL294" s="113"/>
      <c r="PYM294" s="103"/>
      <c r="PYN294" s="113"/>
      <c r="PYO294" s="103"/>
      <c r="PYP294" s="113"/>
      <c r="PYQ294" s="103"/>
      <c r="PYR294" s="113"/>
      <c r="PYS294" s="103"/>
      <c r="PYT294" s="113"/>
      <c r="PYU294" s="103"/>
      <c r="PYV294" s="113"/>
      <c r="PYW294" s="103"/>
      <c r="PYX294" s="113"/>
      <c r="PYY294" s="103"/>
      <c r="PYZ294" s="113"/>
      <c r="PZA294" s="103"/>
      <c r="PZB294" s="113"/>
      <c r="PZC294" s="103"/>
      <c r="PZD294" s="113"/>
      <c r="PZE294" s="103"/>
      <c r="PZF294" s="113"/>
      <c r="PZG294" s="103"/>
      <c r="PZH294" s="113"/>
      <c r="PZI294" s="103"/>
      <c r="PZJ294" s="113"/>
      <c r="PZK294" s="103"/>
      <c r="PZL294" s="113"/>
      <c r="PZM294" s="103"/>
      <c r="PZN294" s="113"/>
      <c r="PZO294" s="103"/>
      <c r="PZP294" s="113"/>
      <c r="PZQ294" s="103"/>
      <c r="PZR294" s="113"/>
      <c r="PZS294" s="103"/>
      <c r="PZT294" s="113"/>
      <c r="PZU294" s="103"/>
      <c r="PZV294" s="113"/>
      <c r="PZW294" s="103"/>
      <c r="PZX294" s="113"/>
      <c r="PZY294" s="103"/>
      <c r="PZZ294" s="113"/>
      <c r="QAA294" s="103"/>
      <c r="QAB294" s="113"/>
      <c r="QAC294" s="103"/>
      <c r="QAD294" s="113"/>
      <c r="QAE294" s="103"/>
      <c r="QAF294" s="113"/>
      <c r="QAG294" s="103"/>
      <c r="QAH294" s="113"/>
      <c r="QAI294" s="103"/>
      <c r="QAJ294" s="113"/>
      <c r="QAK294" s="103"/>
      <c r="QAL294" s="113"/>
      <c r="QAM294" s="103"/>
      <c r="QAN294" s="113"/>
      <c r="QAO294" s="103"/>
      <c r="QAP294" s="113"/>
      <c r="QAQ294" s="103"/>
      <c r="QAR294" s="113"/>
      <c r="QAS294" s="103"/>
      <c r="QAT294" s="113"/>
      <c r="QAU294" s="103"/>
      <c r="QAV294" s="113"/>
      <c r="QAW294" s="103"/>
      <c r="QAX294" s="113"/>
      <c r="QAY294" s="103"/>
      <c r="QAZ294" s="113"/>
      <c r="QBA294" s="103"/>
      <c r="QBB294" s="113"/>
      <c r="QBC294" s="103"/>
      <c r="QBD294" s="113"/>
      <c r="QBE294" s="103"/>
      <c r="QBF294" s="113"/>
      <c r="QBG294" s="103"/>
      <c r="QBH294" s="113"/>
      <c r="QBI294" s="103"/>
      <c r="QBJ294" s="113"/>
      <c r="QBK294" s="103"/>
      <c r="QBL294" s="113"/>
      <c r="QBM294" s="103"/>
      <c r="QBN294" s="113"/>
      <c r="QBO294" s="103"/>
      <c r="QBP294" s="113"/>
      <c r="QBQ294" s="103"/>
      <c r="QBR294" s="113"/>
      <c r="QBS294" s="103"/>
      <c r="QBT294" s="113"/>
      <c r="QBU294" s="103"/>
      <c r="QBV294" s="113"/>
      <c r="QBW294" s="103"/>
      <c r="QBX294" s="113"/>
      <c r="QBY294" s="103"/>
      <c r="QBZ294" s="113"/>
      <c r="QCA294" s="103"/>
      <c r="QCB294" s="113"/>
      <c r="QCC294" s="103"/>
      <c r="QCD294" s="113"/>
      <c r="QCE294" s="103"/>
      <c r="QCF294" s="113"/>
      <c r="QCG294" s="103"/>
      <c r="QCH294" s="113"/>
      <c r="QCI294" s="103"/>
      <c r="QCJ294" s="113"/>
      <c r="QCK294" s="103"/>
      <c r="QCL294" s="113"/>
      <c r="QCM294" s="103"/>
      <c r="QCN294" s="113"/>
      <c r="QCO294" s="103"/>
      <c r="QCP294" s="113"/>
      <c r="QCQ294" s="103"/>
      <c r="QCR294" s="113"/>
      <c r="QCS294" s="103"/>
      <c r="QCT294" s="113"/>
      <c r="QCU294" s="103"/>
      <c r="QCV294" s="113"/>
      <c r="QCW294" s="103"/>
      <c r="QCX294" s="113"/>
      <c r="QCY294" s="103"/>
      <c r="QCZ294" s="113"/>
      <c r="QDA294" s="103"/>
      <c r="QDB294" s="113"/>
      <c r="QDC294" s="103"/>
      <c r="QDD294" s="113"/>
      <c r="QDE294" s="103"/>
      <c r="QDF294" s="113"/>
      <c r="QDG294" s="103"/>
      <c r="QDH294" s="113"/>
      <c r="QDI294" s="103"/>
      <c r="QDJ294" s="113"/>
      <c r="QDK294" s="103"/>
      <c r="QDL294" s="113"/>
      <c r="QDM294" s="103"/>
      <c r="QDN294" s="113"/>
      <c r="QDO294" s="103"/>
      <c r="QDP294" s="113"/>
      <c r="QDQ294" s="103"/>
      <c r="QDR294" s="113"/>
      <c r="QDS294" s="103"/>
      <c r="QDT294" s="113"/>
      <c r="QDU294" s="103"/>
      <c r="QDV294" s="113"/>
      <c r="QDW294" s="103"/>
      <c r="QDX294" s="113"/>
      <c r="QDY294" s="103"/>
      <c r="QDZ294" s="113"/>
      <c r="QEA294" s="103"/>
      <c r="QEB294" s="113"/>
      <c r="QEC294" s="103"/>
      <c r="QED294" s="113"/>
      <c r="QEE294" s="103"/>
      <c r="QEF294" s="113"/>
      <c r="QEG294" s="103"/>
      <c r="QEH294" s="113"/>
      <c r="QEI294" s="103"/>
      <c r="QEJ294" s="113"/>
      <c r="QEK294" s="103"/>
      <c r="QEL294" s="113"/>
      <c r="QEM294" s="103"/>
      <c r="QEN294" s="113"/>
      <c r="QEO294" s="103"/>
      <c r="QEP294" s="113"/>
      <c r="QEQ294" s="103"/>
      <c r="QER294" s="113"/>
      <c r="QES294" s="103"/>
      <c r="QET294" s="113"/>
      <c r="QEU294" s="103"/>
      <c r="QEV294" s="113"/>
      <c r="QEW294" s="103"/>
      <c r="QEX294" s="113"/>
      <c r="QEY294" s="103"/>
      <c r="QEZ294" s="113"/>
      <c r="QFA294" s="103"/>
      <c r="QFB294" s="113"/>
      <c r="QFC294" s="103"/>
      <c r="QFD294" s="113"/>
      <c r="QFE294" s="103"/>
      <c r="QFF294" s="113"/>
      <c r="QFG294" s="103"/>
      <c r="QFH294" s="113"/>
      <c r="QFI294" s="103"/>
      <c r="QFJ294" s="113"/>
      <c r="QFK294" s="103"/>
      <c r="QFL294" s="113"/>
      <c r="QFM294" s="103"/>
      <c r="QFN294" s="113"/>
      <c r="QFO294" s="103"/>
      <c r="QFP294" s="113"/>
      <c r="QFQ294" s="103"/>
      <c r="QFR294" s="113"/>
      <c r="QFS294" s="103"/>
      <c r="QFT294" s="113"/>
      <c r="QFU294" s="103"/>
      <c r="QFV294" s="113"/>
      <c r="QFW294" s="103"/>
      <c r="QFX294" s="113"/>
      <c r="QFY294" s="103"/>
      <c r="QFZ294" s="113"/>
      <c r="QGA294" s="103"/>
      <c r="QGB294" s="113"/>
      <c r="QGC294" s="103"/>
      <c r="QGD294" s="113"/>
      <c r="QGE294" s="103"/>
      <c r="QGF294" s="113"/>
      <c r="QGG294" s="103"/>
      <c r="QGH294" s="113"/>
      <c r="QGI294" s="103"/>
      <c r="QGJ294" s="113"/>
      <c r="QGK294" s="103"/>
      <c r="QGL294" s="113"/>
      <c r="QGM294" s="103"/>
      <c r="QGN294" s="113"/>
      <c r="QGO294" s="103"/>
      <c r="QGP294" s="113"/>
      <c r="QGQ294" s="103"/>
      <c r="QGR294" s="113"/>
      <c r="QGS294" s="103"/>
      <c r="QGT294" s="113"/>
      <c r="QGU294" s="103"/>
      <c r="QGV294" s="113"/>
      <c r="QGW294" s="103"/>
      <c r="QGX294" s="113"/>
      <c r="QGY294" s="103"/>
      <c r="QGZ294" s="113"/>
      <c r="QHA294" s="103"/>
      <c r="QHB294" s="113"/>
      <c r="QHC294" s="103"/>
      <c r="QHD294" s="113"/>
      <c r="QHE294" s="103"/>
      <c r="QHF294" s="113"/>
      <c r="QHG294" s="103"/>
      <c r="QHH294" s="113"/>
      <c r="QHI294" s="103"/>
      <c r="QHJ294" s="113"/>
      <c r="QHK294" s="103"/>
      <c r="QHL294" s="113"/>
      <c r="QHM294" s="103"/>
      <c r="QHN294" s="113"/>
      <c r="QHO294" s="103"/>
      <c r="QHP294" s="113"/>
      <c r="QHQ294" s="103"/>
      <c r="QHR294" s="113"/>
      <c r="QHS294" s="103"/>
      <c r="QHT294" s="113"/>
      <c r="QHU294" s="103"/>
      <c r="QHV294" s="113"/>
      <c r="QHW294" s="103"/>
      <c r="QHX294" s="113"/>
      <c r="QHY294" s="103"/>
      <c r="QHZ294" s="113"/>
      <c r="QIA294" s="103"/>
      <c r="QIB294" s="113"/>
      <c r="QIC294" s="103"/>
      <c r="QID294" s="113"/>
      <c r="QIE294" s="103"/>
      <c r="QIF294" s="113"/>
      <c r="QIG294" s="103"/>
      <c r="QIH294" s="113"/>
      <c r="QII294" s="103"/>
      <c r="QIJ294" s="113"/>
      <c r="QIK294" s="103"/>
      <c r="QIL294" s="113"/>
      <c r="QIM294" s="103"/>
      <c r="QIN294" s="113"/>
      <c r="QIO294" s="103"/>
      <c r="QIP294" s="113"/>
      <c r="QIQ294" s="103"/>
      <c r="QIR294" s="113"/>
      <c r="QIS294" s="103"/>
      <c r="QIT294" s="113"/>
      <c r="QIU294" s="103"/>
      <c r="QIV294" s="113"/>
      <c r="QIW294" s="103"/>
      <c r="QIX294" s="113"/>
      <c r="QIY294" s="103"/>
      <c r="QIZ294" s="113"/>
      <c r="QJA294" s="103"/>
      <c r="QJB294" s="113"/>
      <c r="QJC294" s="103"/>
      <c r="QJD294" s="113"/>
      <c r="QJE294" s="103"/>
      <c r="QJF294" s="113"/>
      <c r="QJG294" s="103"/>
      <c r="QJH294" s="113"/>
      <c r="QJI294" s="103"/>
      <c r="QJJ294" s="113"/>
      <c r="QJK294" s="103"/>
      <c r="QJL294" s="113"/>
      <c r="QJM294" s="103"/>
      <c r="QJN294" s="113"/>
      <c r="QJO294" s="103"/>
      <c r="QJP294" s="113"/>
      <c r="QJQ294" s="103"/>
      <c r="QJR294" s="113"/>
      <c r="QJS294" s="103"/>
      <c r="QJT294" s="113"/>
      <c r="QJU294" s="103"/>
      <c r="QJV294" s="113"/>
      <c r="QJW294" s="103"/>
      <c r="QJX294" s="113"/>
      <c r="QJY294" s="103"/>
      <c r="QJZ294" s="113"/>
      <c r="QKA294" s="103"/>
      <c r="QKB294" s="113"/>
      <c r="QKC294" s="103"/>
      <c r="QKD294" s="113"/>
      <c r="QKE294" s="103"/>
      <c r="QKF294" s="113"/>
      <c r="QKG294" s="103"/>
      <c r="QKH294" s="113"/>
      <c r="QKI294" s="103"/>
      <c r="QKJ294" s="113"/>
      <c r="QKK294" s="103"/>
      <c r="QKL294" s="113"/>
      <c r="QKM294" s="103"/>
      <c r="QKN294" s="113"/>
      <c r="QKO294" s="103"/>
      <c r="QKP294" s="113"/>
      <c r="QKQ294" s="103"/>
      <c r="QKR294" s="113"/>
      <c r="QKS294" s="103"/>
      <c r="QKT294" s="113"/>
      <c r="QKU294" s="103"/>
      <c r="QKV294" s="113"/>
      <c r="QKW294" s="103"/>
      <c r="QKX294" s="113"/>
      <c r="QKY294" s="103"/>
      <c r="QKZ294" s="113"/>
      <c r="QLA294" s="103"/>
      <c r="QLB294" s="113"/>
      <c r="QLC294" s="103"/>
      <c r="QLD294" s="113"/>
      <c r="QLE294" s="103"/>
      <c r="QLF294" s="113"/>
      <c r="QLG294" s="103"/>
      <c r="QLH294" s="113"/>
      <c r="QLI294" s="103"/>
      <c r="QLJ294" s="113"/>
      <c r="QLK294" s="103"/>
      <c r="QLL294" s="113"/>
      <c r="QLM294" s="103"/>
      <c r="QLN294" s="113"/>
      <c r="QLO294" s="103"/>
      <c r="QLP294" s="113"/>
      <c r="QLQ294" s="103"/>
      <c r="QLR294" s="113"/>
      <c r="QLS294" s="103"/>
      <c r="QLT294" s="113"/>
      <c r="QLU294" s="103"/>
      <c r="QLV294" s="113"/>
      <c r="QLW294" s="103"/>
      <c r="QLX294" s="113"/>
      <c r="QLY294" s="103"/>
      <c r="QLZ294" s="113"/>
      <c r="QMA294" s="103"/>
      <c r="QMB294" s="113"/>
      <c r="QMC294" s="103"/>
      <c r="QMD294" s="113"/>
      <c r="QME294" s="103"/>
      <c r="QMF294" s="113"/>
      <c r="QMG294" s="103"/>
      <c r="QMH294" s="113"/>
      <c r="QMI294" s="103"/>
      <c r="QMJ294" s="113"/>
      <c r="QMK294" s="103"/>
      <c r="QML294" s="113"/>
      <c r="QMM294" s="103"/>
      <c r="QMN294" s="113"/>
      <c r="QMO294" s="103"/>
      <c r="QMP294" s="113"/>
      <c r="QMQ294" s="103"/>
      <c r="QMR294" s="113"/>
      <c r="QMS294" s="103"/>
      <c r="QMT294" s="113"/>
      <c r="QMU294" s="103"/>
      <c r="QMV294" s="113"/>
      <c r="QMW294" s="103"/>
      <c r="QMX294" s="113"/>
      <c r="QMY294" s="103"/>
      <c r="QMZ294" s="113"/>
      <c r="QNA294" s="103"/>
      <c r="QNB294" s="113"/>
      <c r="QNC294" s="103"/>
      <c r="QND294" s="113"/>
      <c r="QNE294" s="103"/>
      <c r="QNF294" s="113"/>
      <c r="QNG294" s="103"/>
      <c r="QNH294" s="113"/>
      <c r="QNI294" s="103"/>
      <c r="QNJ294" s="113"/>
      <c r="QNK294" s="103"/>
      <c r="QNL294" s="113"/>
      <c r="QNM294" s="103"/>
      <c r="QNN294" s="113"/>
      <c r="QNO294" s="103"/>
      <c r="QNP294" s="113"/>
      <c r="QNQ294" s="103"/>
      <c r="QNR294" s="113"/>
      <c r="QNS294" s="103"/>
      <c r="QNT294" s="113"/>
      <c r="QNU294" s="103"/>
      <c r="QNV294" s="113"/>
      <c r="QNW294" s="103"/>
      <c r="QNX294" s="113"/>
      <c r="QNY294" s="103"/>
      <c r="QNZ294" s="113"/>
      <c r="QOA294" s="103"/>
      <c r="QOB294" s="113"/>
      <c r="QOC294" s="103"/>
      <c r="QOD294" s="113"/>
      <c r="QOE294" s="103"/>
      <c r="QOF294" s="113"/>
      <c r="QOG294" s="103"/>
      <c r="QOH294" s="113"/>
      <c r="QOI294" s="103"/>
      <c r="QOJ294" s="113"/>
      <c r="QOK294" s="103"/>
      <c r="QOL294" s="113"/>
      <c r="QOM294" s="103"/>
      <c r="QON294" s="113"/>
      <c r="QOO294" s="103"/>
      <c r="QOP294" s="113"/>
      <c r="QOQ294" s="103"/>
      <c r="QOR294" s="113"/>
      <c r="QOS294" s="103"/>
      <c r="QOT294" s="113"/>
      <c r="QOU294" s="103"/>
      <c r="QOV294" s="113"/>
      <c r="QOW294" s="103"/>
      <c r="QOX294" s="113"/>
      <c r="QOY294" s="103"/>
      <c r="QOZ294" s="113"/>
      <c r="QPA294" s="103"/>
      <c r="QPB294" s="113"/>
      <c r="QPC294" s="103"/>
      <c r="QPD294" s="113"/>
      <c r="QPE294" s="103"/>
      <c r="QPF294" s="113"/>
      <c r="QPG294" s="103"/>
      <c r="QPH294" s="113"/>
      <c r="QPI294" s="103"/>
      <c r="QPJ294" s="113"/>
      <c r="QPK294" s="103"/>
      <c r="QPL294" s="113"/>
      <c r="QPM294" s="103"/>
      <c r="QPN294" s="113"/>
      <c r="QPO294" s="103"/>
      <c r="QPP294" s="113"/>
      <c r="QPQ294" s="103"/>
      <c r="QPR294" s="113"/>
      <c r="QPS294" s="103"/>
      <c r="QPT294" s="113"/>
      <c r="QPU294" s="103"/>
      <c r="QPV294" s="113"/>
      <c r="QPW294" s="103"/>
      <c r="QPX294" s="113"/>
      <c r="QPY294" s="103"/>
      <c r="QPZ294" s="113"/>
      <c r="QQA294" s="103"/>
      <c r="QQB294" s="113"/>
      <c r="QQC294" s="103"/>
      <c r="QQD294" s="113"/>
      <c r="QQE294" s="103"/>
      <c r="QQF294" s="113"/>
      <c r="QQG294" s="103"/>
      <c r="QQH294" s="113"/>
      <c r="QQI294" s="103"/>
      <c r="QQJ294" s="113"/>
      <c r="QQK294" s="103"/>
      <c r="QQL294" s="113"/>
      <c r="QQM294" s="103"/>
      <c r="QQN294" s="113"/>
      <c r="QQO294" s="103"/>
      <c r="QQP294" s="113"/>
      <c r="QQQ294" s="103"/>
      <c r="QQR294" s="113"/>
      <c r="QQS294" s="103"/>
      <c r="QQT294" s="113"/>
      <c r="QQU294" s="103"/>
      <c r="QQV294" s="113"/>
      <c r="QQW294" s="103"/>
      <c r="QQX294" s="113"/>
      <c r="QQY294" s="103"/>
      <c r="QQZ294" s="113"/>
      <c r="QRA294" s="103"/>
      <c r="QRB294" s="113"/>
      <c r="QRC294" s="103"/>
      <c r="QRD294" s="113"/>
      <c r="QRE294" s="103"/>
      <c r="QRF294" s="113"/>
      <c r="QRG294" s="103"/>
      <c r="QRH294" s="113"/>
      <c r="QRI294" s="103"/>
      <c r="QRJ294" s="113"/>
      <c r="QRK294" s="103"/>
      <c r="QRL294" s="113"/>
      <c r="QRM294" s="103"/>
      <c r="QRN294" s="113"/>
      <c r="QRO294" s="103"/>
      <c r="QRP294" s="113"/>
      <c r="QRQ294" s="103"/>
      <c r="QRR294" s="113"/>
      <c r="QRS294" s="103"/>
      <c r="QRT294" s="113"/>
      <c r="QRU294" s="103"/>
      <c r="QRV294" s="113"/>
      <c r="QRW294" s="103"/>
      <c r="QRX294" s="113"/>
      <c r="QRY294" s="103"/>
      <c r="QRZ294" s="113"/>
      <c r="QSA294" s="103"/>
      <c r="QSB294" s="113"/>
      <c r="QSC294" s="103"/>
      <c r="QSD294" s="113"/>
      <c r="QSE294" s="103"/>
      <c r="QSF294" s="113"/>
      <c r="QSG294" s="103"/>
      <c r="QSH294" s="113"/>
      <c r="QSI294" s="103"/>
      <c r="QSJ294" s="113"/>
      <c r="QSK294" s="103"/>
      <c r="QSL294" s="113"/>
      <c r="QSM294" s="103"/>
      <c r="QSN294" s="113"/>
      <c r="QSO294" s="103"/>
      <c r="QSP294" s="113"/>
      <c r="QSQ294" s="103"/>
      <c r="QSR294" s="113"/>
      <c r="QSS294" s="103"/>
      <c r="QST294" s="113"/>
      <c r="QSU294" s="103"/>
      <c r="QSV294" s="113"/>
      <c r="QSW294" s="103"/>
      <c r="QSX294" s="113"/>
      <c r="QSY294" s="103"/>
      <c r="QSZ294" s="113"/>
      <c r="QTA294" s="103"/>
      <c r="QTB294" s="113"/>
      <c r="QTC294" s="103"/>
      <c r="QTD294" s="113"/>
      <c r="QTE294" s="103"/>
      <c r="QTF294" s="113"/>
      <c r="QTG294" s="103"/>
      <c r="QTH294" s="113"/>
      <c r="QTI294" s="103"/>
      <c r="QTJ294" s="113"/>
      <c r="QTK294" s="103"/>
      <c r="QTL294" s="113"/>
      <c r="QTM294" s="103"/>
      <c r="QTN294" s="113"/>
      <c r="QTO294" s="103"/>
      <c r="QTP294" s="113"/>
      <c r="QTQ294" s="103"/>
      <c r="QTR294" s="113"/>
      <c r="QTS294" s="103"/>
      <c r="QTT294" s="113"/>
      <c r="QTU294" s="103"/>
      <c r="QTV294" s="113"/>
      <c r="QTW294" s="103"/>
      <c r="QTX294" s="113"/>
      <c r="QTY294" s="103"/>
      <c r="QTZ294" s="113"/>
      <c r="QUA294" s="103"/>
      <c r="QUB294" s="113"/>
      <c r="QUC294" s="103"/>
      <c r="QUD294" s="113"/>
      <c r="QUE294" s="103"/>
      <c r="QUF294" s="113"/>
      <c r="QUG294" s="103"/>
      <c r="QUH294" s="113"/>
      <c r="QUI294" s="103"/>
      <c r="QUJ294" s="113"/>
      <c r="QUK294" s="103"/>
      <c r="QUL294" s="113"/>
      <c r="QUM294" s="103"/>
      <c r="QUN294" s="113"/>
      <c r="QUO294" s="103"/>
      <c r="QUP294" s="113"/>
      <c r="QUQ294" s="103"/>
      <c r="QUR294" s="113"/>
      <c r="QUS294" s="103"/>
      <c r="QUT294" s="113"/>
      <c r="QUU294" s="103"/>
      <c r="QUV294" s="113"/>
      <c r="QUW294" s="103"/>
      <c r="QUX294" s="113"/>
      <c r="QUY294" s="103"/>
      <c r="QUZ294" s="113"/>
      <c r="QVA294" s="103"/>
      <c r="QVB294" s="113"/>
      <c r="QVC294" s="103"/>
      <c r="QVD294" s="113"/>
      <c r="QVE294" s="103"/>
      <c r="QVF294" s="113"/>
      <c r="QVG294" s="103"/>
      <c r="QVH294" s="113"/>
      <c r="QVI294" s="103"/>
      <c r="QVJ294" s="113"/>
      <c r="QVK294" s="103"/>
      <c r="QVL294" s="113"/>
      <c r="QVM294" s="103"/>
      <c r="QVN294" s="113"/>
      <c r="QVO294" s="103"/>
      <c r="QVP294" s="113"/>
      <c r="QVQ294" s="103"/>
      <c r="QVR294" s="113"/>
      <c r="QVS294" s="103"/>
      <c r="QVT294" s="113"/>
      <c r="QVU294" s="103"/>
      <c r="QVV294" s="113"/>
      <c r="QVW294" s="103"/>
      <c r="QVX294" s="113"/>
      <c r="QVY294" s="103"/>
      <c r="QVZ294" s="113"/>
      <c r="QWA294" s="103"/>
      <c r="QWB294" s="113"/>
      <c r="QWC294" s="103"/>
      <c r="QWD294" s="113"/>
      <c r="QWE294" s="103"/>
      <c r="QWF294" s="113"/>
      <c r="QWG294" s="103"/>
      <c r="QWH294" s="113"/>
      <c r="QWI294" s="103"/>
      <c r="QWJ294" s="113"/>
      <c r="QWK294" s="103"/>
      <c r="QWL294" s="113"/>
      <c r="QWM294" s="103"/>
      <c r="QWN294" s="113"/>
      <c r="QWO294" s="103"/>
      <c r="QWP294" s="113"/>
      <c r="QWQ294" s="103"/>
      <c r="QWR294" s="113"/>
      <c r="QWS294" s="103"/>
      <c r="QWT294" s="113"/>
      <c r="QWU294" s="103"/>
      <c r="QWV294" s="113"/>
      <c r="QWW294" s="103"/>
      <c r="QWX294" s="113"/>
      <c r="QWY294" s="103"/>
      <c r="QWZ294" s="113"/>
      <c r="QXA294" s="103"/>
      <c r="QXB294" s="113"/>
      <c r="QXC294" s="103"/>
      <c r="QXD294" s="113"/>
      <c r="QXE294" s="103"/>
      <c r="QXF294" s="113"/>
      <c r="QXG294" s="103"/>
      <c r="QXH294" s="113"/>
      <c r="QXI294" s="103"/>
      <c r="QXJ294" s="113"/>
      <c r="QXK294" s="103"/>
      <c r="QXL294" s="113"/>
      <c r="QXM294" s="103"/>
      <c r="QXN294" s="113"/>
      <c r="QXO294" s="103"/>
      <c r="QXP294" s="113"/>
      <c r="QXQ294" s="103"/>
      <c r="QXR294" s="113"/>
      <c r="QXS294" s="103"/>
      <c r="QXT294" s="113"/>
      <c r="QXU294" s="103"/>
      <c r="QXV294" s="113"/>
      <c r="QXW294" s="103"/>
      <c r="QXX294" s="113"/>
      <c r="QXY294" s="103"/>
      <c r="QXZ294" s="113"/>
      <c r="QYA294" s="103"/>
      <c r="QYB294" s="113"/>
      <c r="QYC294" s="103"/>
      <c r="QYD294" s="113"/>
      <c r="QYE294" s="103"/>
      <c r="QYF294" s="113"/>
      <c r="QYG294" s="103"/>
      <c r="QYH294" s="113"/>
      <c r="QYI294" s="103"/>
      <c r="QYJ294" s="113"/>
      <c r="QYK294" s="103"/>
      <c r="QYL294" s="113"/>
      <c r="QYM294" s="103"/>
      <c r="QYN294" s="113"/>
      <c r="QYO294" s="103"/>
      <c r="QYP294" s="113"/>
      <c r="QYQ294" s="103"/>
      <c r="QYR294" s="113"/>
      <c r="QYS294" s="103"/>
      <c r="QYT294" s="113"/>
      <c r="QYU294" s="103"/>
      <c r="QYV294" s="113"/>
      <c r="QYW294" s="103"/>
      <c r="QYX294" s="113"/>
      <c r="QYY294" s="103"/>
      <c r="QYZ294" s="113"/>
      <c r="QZA294" s="103"/>
      <c r="QZB294" s="113"/>
      <c r="QZC294" s="103"/>
      <c r="QZD294" s="113"/>
      <c r="QZE294" s="103"/>
      <c r="QZF294" s="113"/>
      <c r="QZG294" s="103"/>
      <c r="QZH294" s="113"/>
      <c r="QZI294" s="103"/>
      <c r="QZJ294" s="113"/>
      <c r="QZK294" s="103"/>
      <c r="QZL294" s="113"/>
      <c r="QZM294" s="103"/>
      <c r="QZN294" s="113"/>
      <c r="QZO294" s="103"/>
      <c r="QZP294" s="113"/>
      <c r="QZQ294" s="103"/>
      <c r="QZR294" s="113"/>
      <c r="QZS294" s="103"/>
      <c r="QZT294" s="113"/>
      <c r="QZU294" s="103"/>
      <c r="QZV294" s="113"/>
      <c r="QZW294" s="103"/>
      <c r="QZX294" s="113"/>
      <c r="QZY294" s="103"/>
      <c r="QZZ294" s="113"/>
      <c r="RAA294" s="103"/>
      <c r="RAB294" s="113"/>
      <c r="RAC294" s="103"/>
      <c r="RAD294" s="113"/>
      <c r="RAE294" s="103"/>
      <c r="RAF294" s="113"/>
      <c r="RAG294" s="103"/>
      <c r="RAH294" s="113"/>
      <c r="RAI294" s="103"/>
      <c r="RAJ294" s="113"/>
      <c r="RAK294" s="103"/>
      <c r="RAL294" s="113"/>
      <c r="RAM294" s="103"/>
      <c r="RAN294" s="113"/>
      <c r="RAO294" s="103"/>
      <c r="RAP294" s="113"/>
      <c r="RAQ294" s="103"/>
      <c r="RAR294" s="113"/>
      <c r="RAS294" s="103"/>
      <c r="RAT294" s="113"/>
      <c r="RAU294" s="103"/>
      <c r="RAV294" s="113"/>
      <c r="RAW294" s="103"/>
      <c r="RAX294" s="113"/>
      <c r="RAY294" s="103"/>
      <c r="RAZ294" s="113"/>
      <c r="RBA294" s="103"/>
      <c r="RBB294" s="113"/>
      <c r="RBC294" s="103"/>
      <c r="RBD294" s="113"/>
      <c r="RBE294" s="103"/>
      <c r="RBF294" s="113"/>
      <c r="RBG294" s="103"/>
      <c r="RBH294" s="113"/>
      <c r="RBI294" s="103"/>
      <c r="RBJ294" s="113"/>
      <c r="RBK294" s="103"/>
      <c r="RBL294" s="113"/>
      <c r="RBM294" s="103"/>
      <c r="RBN294" s="113"/>
      <c r="RBO294" s="103"/>
      <c r="RBP294" s="113"/>
      <c r="RBQ294" s="103"/>
      <c r="RBR294" s="113"/>
      <c r="RBS294" s="103"/>
      <c r="RBT294" s="113"/>
      <c r="RBU294" s="103"/>
      <c r="RBV294" s="113"/>
      <c r="RBW294" s="103"/>
      <c r="RBX294" s="113"/>
      <c r="RBY294" s="103"/>
      <c r="RBZ294" s="113"/>
      <c r="RCA294" s="103"/>
      <c r="RCB294" s="113"/>
      <c r="RCC294" s="103"/>
      <c r="RCD294" s="113"/>
      <c r="RCE294" s="103"/>
      <c r="RCF294" s="113"/>
      <c r="RCG294" s="103"/>
      <c r="RCH294" s="113"/>
      <c r="RCI294" s="103"/>
      <c r="RCJ294" s="113"/>
      <c r="RCK294" s="103"/>
      <c r="RCL294" s="113"/>
      <c r="RCM294" s="103"/>
      <c r="RCN294" s="113"/>
      <c r="RCO294" s="103"/>
      <c r="RCP294" s="113"/>
      <c r="RCQ294" s="103"/>
      <c r="RCR294" s="113"/>
      <c r="RCS294" s="103"/>
      <c r="RCT294" s="113"/>
      <c r="RCU294" s="103"/>
      <c r="RCV294" s="113"/>
      <c r="RCW294" s="103"/>
      <c r="RCX294" s="113"/>
      <c r="RCY294" s="103"/>
      <c r="RCZ294" s="113"/>
      <c r="RDA294" s="103"/>
      <c r="RDB294" s="113"/>
      <c r="RDC294" s="103"/>
      <c r="RDD294" s="113"/>
      <c r="RDE294" s="103"/>
      <c r="RDF294" s="113"/>
      <c r="RDG294" s="103"/>
      <c r="RDH294" s="113"/>
      <c r="RDI294" s="103"/>
      <c r="RDJ294" s="113"/>
      <c r="RDK294" s="103"/>
      <c r="RDL294" s="113"/>
      <c r="RDM294" s="103"/>
      <c r="RDN294" s="113"/>
      <c r="RDO294" s="103"/>
      <c r="RDP294" s="113"/>
      <c r="RDQ294" s="103"/>
      <c r="RDR294" s="113"/>
      <c r="RDS294" s="103"/>
      <c r="RDT294" s="113"/>
      <c r="RDU294" s="103"/>
      <c r="RDV294" s="113"/>
      <c r="RDW294" s="103"/>
      <c r="RDX294" s="113"/>
      <c r="RDY294" s="103"/>
      <c r="RDZ294" s="113"/>
      <c r="REA294" s="103"/>
      <c r="REB294" s="113"/>
      <c r="REC294" s="103"/>
      <c r="RED294" s="113"/>
      <c r="REE294" s="103"/>
      <c r="REF294" s="113"/>
      <c r="REG294" s="103"/>
      <c r="REH294" s="113"/>
      <c r="REI294" s="103"/>
      <c r="REJ294" s="113"/>
      <c r="REK294" s="103"/>
      <c r="REL294" s="113"/>
      <c r="REM294" s="103"/>
      <c r="REN294" s="113"/>
      <c r="REO294" s="103"/>
      <c r="REP294" s="113"/>
      <c r="REQ294" s="103"/>
      <c r="RER294" s="113"/>
      <c r="RES294" s="103"/>
      <c r="RET294" s="113"/>
      <c r="REU294" s="103"/>
      <c r="REV294" s="113"/>
      <c r="REW294" s="103"/>
      <c r="REX294" s="113"/>
      <c r="REY294" s="103"/>
      <c r="REZ294" s="113"/>
      <c r="RFA294" s="103"/>
      <c r="RFB294" s="113"/>
      <c r="RFC294" s="103"/>
      <c r="RFD294" s="113"/>
      <c r="RFE294" s="103"/>
      <c r="RFF294" s="113"/>
      <c r="RFG294" s="103"/>
      <c r="RFH294" s="113"/>
      <c r="RFI294" s="103"/>
      <c r="RFJ294" s="113"/>
      <c r="RFK294" s="103"/>
      <c r="RFL294" s="113"/>
      <c r="RFM294" s="103"/>
      <c r="RFN294" s="113"/>
      <c r="RFO294" s="103"/>
      <c r="RFP294" s="113"/>
      <c r="RFQ294" s="103"/>
      <c r="RFR294" s="113"/>
      <c r="RFS294" s="103"/>
      <c r="RFT294" s="113"/>
      <c r="RFU294" s="103"/>
      <c r="RFV294" s="113"/>
      <c r="RFW294" s="103"/>
      <c r="RFX294" s="113"/>
      <c r="RFY294" s="103"/>
      <c r="RFZ294" s="113"/>
      <c r="RGA294" s="103"/>
      <c r="RGB294" s="113"/>
      <c r="RGC294" s="103"/>
      <c r="RGD294" s="113"/>
      <c r="RGE294" s="103"/>
      <c r="RGF294" s="113"/>
      <c r="RGG294" s="103"/>
      <c r="RGH294" s="113"/>
      <c r="RGI294" s="103"/>
      <c r="RGJ294" s="113"/>
      <c r="RGK294" s="103"/>
      <c r="RGL294" s="113"/>
      <c r="RGM294" s="103"/>
      <c r="RGN294" s="113"/>
      <c r="RGO294" s="103"/>
      <c r="RGP294" s="113"/>
      <c r="RGQ294" s="103"/>
      <c r="RGR294" s="113"/>
      <c r="RGS294" s="103"/>
      <c r="RGT294" s="113"/>
      <c r="RGU294" s="103"/>
      <c r="RGV294" s="113"/>
      <c r="RGW294" s="103"/>
      <c r="RGX294" s="113"/>
      <c r="RGY294" s="103"/>
      <c r="RGZ294" s="113"/>
      <c r="RHA294" s="103"/>
      <c r="RHB294" s="113"/>
      <c r="RHC294" s="103"/>
      <c r="RHD294" s="113"/>
      <c r="RHE294" s="103"/>
      <c r="RHF294" s="113"/>
      <c r="RHG294" s="103"/>
      <c r="RHH294" s="113"/>
      <c r="RHI294" s="103"/>
      <c r="RHJ294" s="113"/>
      <c r="RHK294" s="103"/>
      <c r="RHL294" s="113"/>
      <c r="RHM294" s="103"/>
      <c r="RHN294" s="113"/>
      <c r="RHO294" s="103"/>
      <c r="RHP294" s="113"/>
      <c r="RHQ294" s="103"/>
      <c r="RHR294" s="113"/>
      <c r="RHS294" s="103"/>
      <c r="RHT294" s="113"/>
      <c r="RHU294" s="103"/>
      <c r="RHV294" s="113"/>
      <c r="RHW294" s="103"/>
      <c r="RHX294" s="113"/>
      <c r="RHY294" s="103"/>
      <c r="RHZ294" s="113"/>
      <c r="RIA294" s="103"/>
      <c r="RIB294" s="113"/>
      <c r="RIC294" s="103"/>
      <c r="RID294" s="113"/>
      <c r="RIE294" s="103"/>
      <c r="RIF294" s="113"/>
      <c r="RIG294" s="103"/>
      <c r="RIH294" s="113"/>
      <c r="RII294" s="103"/>
      <c r="RIJ294" s="113"/>
      <c r="RIK294" s="103"/>
      <c r="RIL294" s="113"/>
      <c r="RIM294" s="103"/>
      <c r="RIN294" s="113"/>
      <c r="RIO294" s="103"/>
      <c r="RIP294" s="113"/>
      <c r="RIQ294" s="103"/>
      <c r="RIR294" s="113"/>
      <c r="RIS294" s="103"/>
      <c r="RIT294" s="113"/>
      <c r="RIU294" s="103"/>
      <c r="RIV294" s="113"/>
      <c r="RIW294" s="103"/>
      <c r="RIX294" s="113"/>
      <c r="RIY294" s="103"/>
      <c r="RIZ294" s="113"/>
      <c r="RJA294" s="103"/>
      <c r="RJB294" s="113"/>
      <c r="RJC294" s="103"/>
      <c r="RJD294" s="113"/>
      <c r="RJE294" s="103"/>
      <c r="RJF294" s="113"/>
      <c r="RJG294" s="103"/>
      <c r="RJH294" s="113"/>
      <c r="RJI294" s="103"/>
      <c r="RJJ294" s="113"/>
      <c r="RJK294" s="103"/>
      <c r="RJL294" s="113"/>
      <c r="RJM294" s="103"/>
      <c r="RJN294" s="113"/>
      <c r="RJO294" s="103"/>
      <c r="RJP294" s="113"/>
      <c r="RJQ294" s="103"/>
      <c r="RJR294" s="113"/>
      <c r="RJS294" s="103"/>
      <c r="RJT294" s="113"/>
      <c r="RJU294" s="103"/>
      <c r="RJV294" s="113"/>
      <c r="RJW294" s="103"/>
      <c r="RJX294" s="113"/>
      <c r="RJY294" s="103"/>
      <c r="RJZ294" s="113"/>
      <c r="RKA294" s="103"/>
      <c r="RKB294" s="113"/>
      <c r="RKC294" s="103"/>
      <c r="RKD294" s="113"/>
      <c r="RKE294" s="103"/>
      <c r="RKF294" s="113"/>
      <c r="RKG294" s="103"/>
      <c r="RKH294" s="113"/>
      <c r="RKI294" s="103"/>
      <c r="RKJ294" s="113"/>
      <c r="RKK294" s="103"/>
      <c r="RKL294" s="113"/>
      <c r="RKM294" s="103"/>
      <c r="RKN294" s="113"/>
      <c r="RKO294" s="103"/>
      <c r="RKP294" s="113"/>
      <c r="RKQ294" s="103"/>
      <c r="RKR294" s="113"/>
      <c r="RKS294" s="103"/>
      <c r="RKT294" s="113"/>
      <c r="RKU294" s="103"/>
      <c r="RKV294" s="113"/>
      <c r="RKW294" s="103"/>
      <c r="RKX294" s="113"/>
      <c r="RKY294" s="103"/>
      <c r="RKZ294" s="113"/>
      <c r="RLA294" s="103"/>
      <c r="RLB294" s="113"/>
      <c r="RLC294" s="103"/>
      <c r="RLD294" s="113"/>
      <c r="RLE294" s="103"/>
      <c r="RLF294" s="113"/>
      <c r="RLG294" s="103"/>
      <c r="RLH294" s="113"/>
      <c r="RLI294" s="103"/>
      <c r="RLJ294" s="113"/>
      <c r="RLK294" s="103"/>
      <c r="RLL294" s="113"/>
      <c r="RLM294" s="103"/>
      <c r="RLN294" s="113"/>
      <c r="RLO294" s="103"/>
      <c r="RLP294" s="113"/>
      <c r="RLQ294" s="103"/>
      <c r="RLR294" s="113"/>
      <c r="RLS294" s="103"/>
      <c r="RLT294" s="113"/>
      <c r="RLU294" s="103"/>
      <c r="RLV294" s="113"/>
      <c r="RLW294" s="103"/>
      <c r="RLX294" s="113"/>
      <c r="RLY294" s="103"/>
      <c r="RLZ294" s="113"/>
      <c r="RMA294" s="103"/>
      <c r="RMB294" s="113"/>
      <c r="RMC294" s="103"/>
      <c r="RMD294" s="113"/>
      <c r="RME294" s="103"/>
      <c r="RMF294" s="113"/>
      <c r="RMG294" s="103"/>
      <c r="RMH294" s="113"/>
      <c r="RMI294" s="103"/>
      <c r="RMJ294" s="113"/>
      <c r="RMK294" s="103"/>
      <c r="RML294" s="113"/>
      <c r="RMM294" s="103"/>
      <c r="RMN294" s="113"/>
      <c r="RMO294" s="103"/>
      <c r="RMP294" s="113"/>
      <c r="RMQ294" s="103"/>
      <c r="RMR294" s="113"/>
      <c r="RMS294" s="103"/>
      <c r="RMT294" s="113"/>
      <c r="RMU294" s="103"/>
      <c r="RMV294" s="113"/>
      <c r="RMW294" s="103"/>
      <c r="RMX294" s="113"/>
      <c r="RMY294" s="103"/>
      <c r="RMZ294" s="113"/>
      <c r="RNA294" s="103"/>
      <c r="RNB294" s="113"/>
      <c r="RNC294" s="103"/>
      <c r="RND294" s="113"/>
      <c r="RNE294" s="103"/>
      <c r="RNF294" s="113"/>
      <c r="RNG294" s="103"/>
      <c r="RNH294" s="113"/>
      <c r="RNI294" s="103"/>
      <c r="RNJ294" s="113"/>
      <c r="RNK294" s="103"/>
      <c r="RNL294" s="113"/>
      <c r="RNM294" s="103"/>
      <c r="RNN294" s="113"/>
      <c r="RNO294" s="103"/>
      <c r="RNP294" s="113"/>
      <c r="RNQ294" s="103"/>
      <c r="RNR294" s="113"/>
      <c r="RNS294" s="103"/>
      <c r="RNT294" s="113"/>
      <c r="RNU294" s="103"/>
      <c r="RNV294" s="113"/>
      <c r="RNW294" s="103"/>
      <c r="RNX294" s="113"/>
      <c r="RNY294" s="103"/>
      <c r="RNZ294" s="113"/>
      <c r="ROA294" s="103"/>
      <c r="ROB294" s="113"/>
      <c r="ROC294" s="103"/>
      <c r="ROD294" s="113"/>
      <c r="ROE294" s="103"/>
      <c r="ROF294" s="113"/>
      <c r="ROG294" s="103"/>
      <c r="ROH294" s="113"/>
      <c r="ROI294" s="103"/>
      <c r="ROJ294" s="113"/>
      <c r="ROK294" s="103"/>
      <c r="ROL294" s="113"/>
      <c r="ROM294" s="103"/>
      <c r="RON294" s="113"/>
      <c r="ROO294" s="103"/>
      <c r="ROP294" s="113"/>
      <c r="ROQ294" s="103"/>
      <c r="ROR294" s="113"/>
      <c r="ROS294" s="103"/>
      <c r="ROT294" s="113"/>
      <c r="ROU294" s="103"/>
      <c r="ROV294" s="113"/>
      <c r="ROW294" s="103"/>
      <c r="ROX294" s="113"/>
      <c r="ROY294" s="103"/>
      <c r="ROZ294" s="113"/>
      <c r="RPA294" s="103"/>
      <c r="RPB294" s="113"/>
      <c r="RPC294" s="103"/>
      <c r="RPD294" s="113"/>
      <c r="RPE294" s="103"/>
      <c r="RPF294" s="113"/>
      <c r="RPG294" s="103"/>
      <c r="RPH294" s="113"/>
      <c r="RPI294" s="103"/>
      <c r="RPJ294" s="113"/>
      <c r="RPK294" s="103"/>
      <c r="RPL294" s="113"/>
      <c r="RPM294" s="103"/>
      <c r="RPN294" s="113"/>
      <c r="RPO294" s="103"/>
      <c r="RPP294" s="113"/>
      <c r="RPQ294" s="103"/>
      <c r="RPR294" s="113"/>
      <c r="RPS294" s="103"/>
      <c r="RPT294" s="113"/>
      <c r="RPU294" s="103"/>
      <c r="RPV294" s="113"/>
      <c r="RPW294" s="103"/>
      <c r="RPX294" s="113"/>
      <c r="RPY294" s="103"/>
      <c r="RPZ294" s="113"/>
      <c r="RQA294" s="103"/>
      <c r="RQB294" s="113"/>
      <c r="RQC294" s="103"/>
      <c r="RQD294" s="113"/>
      <c r="RQE294" s="103"/>
      <c r="RQF294" s="113"/>
      <c r="RQG294" s="103"/>
      <c r="RQH294" s="113"/>
      <c r="RQI294" s="103"/>
      <c r="RQJ294" s="113"/>
      <c r="RQK294" s="103"/>
      <c r="RQL294" s="113"/>
      <c r="RQM294" s="103"/>
      <c r="RQN294" s="113"/>
      <c r="RQO294" s="103"/>
      <c r="RQP294" s="113"/>
      <c r="RQQ294" s="103"/>
      <c r="RQR294" s="113"/>
      <c r="RQS294" s="103"/>
      <c r="RQT294" s="113"/>
      <c r="RQU294" s="103"/>
      <c r="RQV294" s="113"/>
      <c r="RQW294" s="103"/>
      <c r="RQX294" s="113"/>
      <c r="RQY294" s="103"/>
      <c r="RQZ294" s="113"/>
      <c r="RRA294" s="103"/>
      <c r="RRB294" s="113"/>
      <c r="RRC294" s="103"/>
      <c r="RRD294" s="113"/>
      <c r="RRE294" s="103"/>
      <c r="RRF294" s="113"/>
      <c r="RRG294" s="103"/>
      <c r="RRH294" s="113"/>
      <c r="RRI294" s="103"/>
      <c r="RRJ294" s="113"/>
      <c r="RRK294" s="103"/>
      <c r="RRL294" s="113"/>
      <c r="RRM294" s="103"/>
      <c r="RRN294" s="113"/>
      <c r="RRO294" s="103"/>
      <c r="RRP294" s="113"/>
      <c r="RRQ294" s="103"/>
      <c r="RRR294" s="113"/>
      <c r="RRS294" s="103"/>
      <c r="RRT294" s="113"/>
      <c r="RRU294" s="103"/>
      <c r="RRV294" s="113"/>
      <c r="RRW294" s="103"/>
      <c r="RRX294" s="113"/>
      <c r="RRY294" s="103"/>
      <c r="RRZ294" s="113"/>
      <c r="RSA294" s="103"/>
      <c r="RSB294" s="113"/>
      <c r="RSC294" s="103"/>
      <c r="RSD294" s="113"/>
      <c r="RSE294" s="103"/>
      <c r="RSF294" s="113"/>
      <c r="RSG294" s="103"/>
      <c r="RSH294" s="113"/>
      <c r="RSI294" s="103"/>
      <c r="RSJ294" s="113"/>
      <c r="RSK294" s="103"/>
      <c r="RSL294" s="113"/>
      <c r="RSM294" s="103"/>
      <c r="RSN294" s="113"/>
      <c r="RSO294" s="103"/>
      <c r="RSP294" s="113"/>
      <c r="RSQ294" s="103"/>
      <c r="RSR294" s="113"/>
      <c r="RSS294" s="103"/>
      <c r="RST294" s="113"/>
      <c r="RSU294" s="103"/>
      <c r="RSV294" s="113"/>
      <c r="RSW294" s="103"/>
      <c r="RSX294" s="113"/>
      <c r="RSY294" s="103"/>
      <c r="RSZ294" s="113"/>
      <c r="RTA294" s="103"/>
      <c r="RTB294" s="113"/>
      <c r="RTC294" s="103"/>
      <c r="RTD294" s="113"/>
      <c r="RTE294" s="103"/>
      <c r="RTF294" s="113"/>
      <c r="RTG294" s="103"/>
      <c r="RTH294" s="113"/>
      <c r="RTI294" s="103"/>
      <c r="RTJ294" s="113"/>
      <c r="RTK294" s="103"/>
      <c r="RTL294" s="113"/>
      <c r="RTM294" s="103"/>
      <c r="RTN294" s="113"/>
      <c r="RTO294" s="103"/>
      <c r="RTP294" s="113"/>
      <c r="RTQ294" s="103"/>
      <c r="RTR294" s="113"/>
      <c r="RTS294" s="103"/>
      <c r="RTT294" s="113"/>
      <c r="RTU294" s="103"/>
      <c r="RTV294" s="113"/>
      <c r="RTW294" s="103"/>
      <c r="RTX294" s="113"/>
      <c r="RTY294" s="103"/>
      <c r="RTZ294" s="113"/>
      <c r="RUA294" s="103"/>
      <c r="RUB294" s="113"/>
      <c r="RUC294" s="103"/>
      <c r="RUD294" s="113"/>
      <c r="RUE294" s="103"/>
      <c r="RUF294" s="113"/>
      <c r="RUG294" s="103"/>
      <c r="RUH294" s="113"/>
      <c r="RUI294" s="103"/>
      <c r="RUJ294" s="113"/>
      <c r="RUK294" s="103"/>
      <c r="RUL294" s="113"/>
      <c r="RUM294" s="103"/>
      <c r="RUN294" s="113"/>
      <c r="RUO294" s="103"/>
      <c r="RUP294" s="113"/>
      <c r="RUQ294" s="103"/>
      <c r="RUR294" s="113"/>
      <c r="RUS294" s="103"/>
      <c r="RUT294" s="113"/>
      <c r="RUU294" s="103"/>
      <c r="RUV294" s="113"/>
      <c r="RUW294" s="103"/>
      <c r="RUX294" s="113"/>
      <c r="RUY294" s="103"/>
      <c r="RUZ294" s="113"/>
      <c r="RVA294" s="103"/>
      <c r="RVB294" s="113"/>
      <c r="RVC294" s="103"/>
      <c r="RVD294" s="113"/>
      <c r="RVE294" s="103"/>
      <c r="RVF294" s="113"/>
      <c r="RVG294" s="103"/>
      <c r="RVH294" s="113"/>
      <c r="RVI294" s="103"/>
      <c r="RVJ294" s="113"/>
      <c r="RVK294" s="103"/>
      <c r="RVL294" s="113"/>
      <c r="RVM294" s="103"/>
      <c r="RVN294" s="113"/>
      <c r="RVO294" s="103"/>
      <c r="RVP294" s="113"/>
      <c r="RVQ294" s="103"/>
      <c r="RVR294" s="113"/>
      <c r="RVS294" s="103"/>
      <c r="RVT294" s="113"/>
      <c r="RVU294" s="103"/>
      <c r="RVV294" s="113"/>
      <c r="RVW294" s="103"/>
      <c r="RVX294" s="113"/>
      <c r="RVY294" s="103"/>
      <c r="RVZ294" s="113"/>
      <c r="RWA294" s="103"/>
      <c r="RWB294" s="113"/>
      <c r="RWC294" s="103"/>
      <c r="RWD294" s="113"/>
      <c r="RWE294" s="103"/>
      <c r="RWF294" s="113"/>
      <c r="RWG294" s="103"/>
      <c r="RWH294" s="113"/>
      <c r="RWI294" s="103"/>
      <c r="RWJ294" s="113"/>
      <c r="RWK294" s="103"/>
      <c r="RWL294" s="113"/>
      <c r="RWM294" s="103"/>
      <c r="RWN294" s="113"/>
      <c r="RWO294" s="103"/>
      <c r="RWP294" s="113"/>
      <c r="RWQ294" s="103"/>
      <c r="RWR294" s="113"/>
      <c r="RWS294" s="103"/>
      <c r="RWT294" s="113"/>
      <c r="RWU294" s="103"/>
      <c r="RWV294" s="113"/>
      <c r="RWW294" s="103"/>
      <c r="RWX294" s="113"/>
      <c r="RWY294" s="103"/>
      <c r="RWZ294" s="113"/>
      <c r="RXA294" s="103"/>
      <c r="RXB294" s="113"/>
      <c r="RXC294" s="103"/>
      <c r="RXD294" s="113"/>
      <c r="RXE294" s="103"/>
      <c r="RXF294" s="113"/>
      <c r="RXG294" s="103"/>
      <c r="RXH294" s="113"/>
      <c r="RXI294" s="103"/>
      <c r="RXJ294" s="113"/>
      <c r="RXK294" s="103"/>
      <c r="RXL294" s="113"/>
      <c r="RXM294" s="103"/>
      <c r="RXN294" s="113"/>
      <c r="RXO294" s="103"/>
      <c r="RXP294" s="113"/>
      <c r="RXQ294" s="103"/>
      <c r="RXR294" s="113"/>
      <c r="RXS294" s="103"/>
      <c r="RXT294" s="113"/>
      <c r="RXU294" s="103"/>
      <c r="RXV294" s="113"/>
      <c r="RXW294" s="103"/>
      <c r="RXX294" s="113"/>
      <c r="RXY294" s="103"/>
      <c r="RXZ294" s="113"/>
      <c r="RYA294" s="103"/>
      <c r="RYB294" s="113"/>
      <c r="RYC294" s="103"/>
      <c r="RYD294" s="113"/>
      <c r="RYE294" s="103"/>
      <c r="RYF294" s="113"/>
      <c r="RYG294" s="103"/>
      <c r="RYH294" s="113"/>
      <c r="RYI294" s="103"/>
      <c r="RYJ294" s="113"/>
      <c r="RYK294" s="103"/>
      <c r="RYL294" s="113"/>
      <c r="RYM294" s="103"/>
      <c r="RYN294" s="113"/>
      <c r="RYO294" s="103"/>
      <c r="RYP294" s="113"/>
      <c r="RYQ294" s="103"/>
      <c r="RYR294" s="113"/>
      <c r="RYS294" s="103"/>
      <c r="RYT294" s="113"/>
      <c r="RYU294" s="103"/>
      <c r="RYV294" s="113"/>
      <c r="RYW294" s="103"/>
      <c r="RYX294" s="113"/>
      <c r="RYY294" s="103"/>
      <c r="RYZ294" s="113"/>
      <c r="RZA294" s="103"/>
      <c r="RZB294" s="113"/>
      <c r="RZC294" s="103"/>
      <c r="RZD294" s="113"/>
      <c r="RZE294" s="103"/>
      <c r="RZF294" s="113"/>
      <c r="RZG294" s="103"/>
      <c r="RZH294" s="113"/>
      <c r="RZI294" s="103"/>
      <c r="RZJ294" s="113"/>
      <c r="RZK294" s="103"/>
      <c r="RZL294" s="113"/>
      <c r="RZM294" s="103"/>
      <c r="RZN294" s="113"/>
      <c r="RZO294" s="103"/>
      <c r="RZP294" s="113"/>
      <c r="RZQ294" s="103"/>
      <c r="RZR294" s="113"/>
      <c r="RZS294" s="103"/>
      <c r="RZT294" s="113"/>
      <c r="RZU294" s="103"/>
      <c r="RZV294" s="113"/>
      <c r="RZW294" s="103"/>
      <c r="RZX294" s="113"/>
      <c r="RZY294" s="103"/>
      <c r="RZZ294" s="113"/>
      <c r="SAA294" s="103"/>
      <c r="SAB294" s="113"/>
      <c r="SAC294" s="103"/>
      <c r="SAD294" s="113"/>
      <c r="SAE294" s="103"/>
      <c r="SAF294" s="113"/>
      <c r="SAG294" s="103"/>
      <c r="SAH294" s="113"/>
      <c r="SAI294" s="103"/>
      <c r="SAJ294" s="113"/>
      <c r="SAK294" s="103"/>
      <c r="SAL294" s="113"/>
      <c r="SAM294" s="103"/>
      <c r="SAN294" s="113"/>
      <c r="SAO294" s="103"/>
      <c r="SAP294" s="113"/>
      <c r="SAQ294" s="103"/>
      <c r="SAR294" s="113"/>
      <c r="SAS294" s="103"/>
      <c r="SAT294" s="113"/>
      <c r="SAU294" s="103"/>
      <c r="SAV294" s="113"/>
      <c r="SAW294" s="103"/>
      <c r="SAX294" s="113"/>
      <c r="SAY294" s="103"/>
      <c r="SAZ294" s="113"/>
      <c r="SBA294" s="103"/>
      <c r="SBB294" s="113"/>
      <c r="SBC294" s="103"/>
      <c r="SBD294" s="113"/>
      <c r="SBE294" s="103"/>
      <c r="SBF294" s="113"/>
      <c r="SBG294" s="103"/>
      <c r="SBH294" s="113"/>
      <c r="SBI294" s="103"/>
      <c r="SBJ294" s="113"/>
      <c r="SBK294" s="103"/>
      <c r="SBL294" s="113"/>
      <c r="SBM294" s="103"/>
      <c r="SBN294" s="113"/>
      <c r="SBO294" s="103"/>
      <c r="SBP294" s="113"/>
      <c r="SBQ294" s="103"/>
      <c r="SBR294" s="113"/>
      <c r="SBS294" s="103"/>
      <c r="SBT294" s="113"/>
      <c r="SBU294" s="103"/>
      <c r="SBV294" s="113"/>
      <c r="SBW294" s="103"/>
      <c r="SBX294" s="113"/>
      <c r="SBY294" s="103"/>
      <c r="SBZ294" s="113"/>
      <c r="SCA294" s="103"/>
      <c r="SCB294" s="113"/>
      <c r="SCC294" s="103"/>
      <c r="SCD294" s="113"/>
      <c r="SCE294" s="103"/>
      <c r="SCF294" s="113"/>
      <c r="SCG294" s="103"/>
      <c r="SCH294" s="113"/>
      <c r="SCI294" s="103"/>
      <c r="SCJ294" s="113"/>
      <c r="SCK294" s="103"/>
      <c r="SCL294" s="113"/>
      <c r="SCM294" s="103"/>
      <c r="SCN294" s="113"/>
      <c r="SCO294" s="103"/>
      <c r="SCP294" s="113"/>
      <c r="SCQ294" s="103"/>
      <c r="SCR294" s="113"/>
      <c r="SCS294" s="103"/>
      <c r="SCT294" s="113"/>
      <c r="SCU294" s="103"/>
      <c r="SCV294" s="113"/>
      <c r="SCW294" s="103"/>
      <c r="SCX294" s="113"/>
      <c r="SCY294" s="103"/>
      <c r="SCZ294" s="113"/>
      <c r="SDA294" s="103"/>
      <c r="SDB294" s="113"/>
      <c r="SDC294" s="103"/>
      <c r="SDD294" s="113"/>
      <c r="SDE294" s="103"/>
      <c r="SDF294" s="113"/>
      <c r="SDG294" s="103"/>
      <c r="SDH294" s="113"/>
      <c r="SDI294" s="103"/>
      <c r="SDJ294" s="113"/>
      <c r="SDK294" s="103"/>
      <c r="SDL294" s="113"/>
      <c r="SDM294" s="103"/>
      <c r="SDN294" s="113"/>
      <c r="SDO294" s="103"/>
      <c r="SDP294" s="113"/>
      <c r="SDQ294" s="103"/>
      <c r="SDR294" s="113"/>
      <c r="SDS294" s="103"/>
      <c r="SDT294" s="113"/>
      <c r="SDU294" s="103"/>
      <c r="SDV294" s="113"/>
      <c r="SDW294" s="103"/>
      <c r="SDX294" s="113"/>
      <c r="SDY294" s="103"/>
      <c r="SDZ294" s="113"/>
      <c r="SEA294" s="103"/>
      <c r="SEB294" s="113"/>
      <c r="SEC294" s="103"/>
      <c r="SED294" s="113"/>
      <c r="SEE294" s="103"/>
      <c r="SEF294" s="113"/>
      <c r="SEG294" s="103"/>
      <c r="SEH294" s="113"/>
      <c r="SEI294" s="103"/>
      <c r="SEJ294" s="113"/>
      <c r="SEK294" s="103"/>
      <c r="SEL294" s="113"/>
      <c r="SEM294" s="103"/>
      <c r="SEN294" s="113"/>
      <c r="SEO294" s="103"/>
      <c r="SEP294" s="113"/>
      <c r="SEQ294" s="103"/>
      <c r="SER294" s="113"/>
      <c r="SES294" s="103"/>
      <c r="SET294" s="113"/>
      <c r="SEU294" s="103"/>
      <c r="SEV294" s="113"/>
      <c r="SEW294" s="103"/>
      <c r="SEX294" s="113"/>
      <c r="SEY294" s="103"/>
      <c r="SEZ294" s="113"/>
      <c r="SFA294" s="103"/>
      <c r="SFB294" s="113"/>
      <c r="SFC294" s="103"/>
      <c r="SFD294" s="113"/>
      <c r="SFE294" s="103"/>
      <c r="SFF294" s="113"/>
      <c r="SFG294" s="103"/>
      <c r="SFH294" s="113"/>
      <c r="SFI294" s="103"/>
      <c r="SFJ294" s="113"/>
      <c r="SFK294" s="103"/>
      <c r="SFL294" s="113"/>
      <c r="SFM294" s="103"/>
      <c r="SFN294" s="113"/>
      <c r="SFO294" s="103"/>
      <c r="SFP294" s="113"/>
      <c r="SFQ294" s="103"/>
      <c r="SFR294" s="113"/>
      <c r="SFS294" s="103"/>
      <c r="SFT294" s="113"/>
      <c r="SFU294" s="103"/>
      <c r="SFV294" s="113"/>
      <c r="SFW294" s="103"/>
      <c r="SFX294" s="113"/>
      <c r="SFY294" s="103"/>
      <c r="SFZ294" s="113"/>
      <c r="SGA294" s="103"/>
      <c r="SGB294" s="113"/>
      <c r="SGC294" s="103"/>
      <c r="SGD294" s="113"/>
      <c r="SGE294" s="103"/>
      <c r="SGF294" s="113"/>
      <c r="SGG294" s="103"/>
      <c r="SGH294" s="113"/>
      <c r="SGI294" s="103"/>
      <c r="SGJ294" s="113"/>
      <c r="SGK294" s="103"/>
      <c r="SGL294" s="113"/>
      <c r="SGM294" s="103"/>
      <c r="SGN294" s="113"/>
      <c r="SGO294" s="103"/>
      <c r="SGP294" s="113"/>
      <c r="SGQ294" s="103"/>
      <c r="SGR294" s="113"/>
      <c r="SGS294" s="103"/>
      <c r="SGT294" s="113"/>
      <c r="SGU294" s="103"/>
      <c r="SGV294" s="113"/>
      <c r="SGW294" s="103"/>
      <c r="SGX294" s="113"/>
      <c r="SGY294" s="103"/>
      <c r="SGZ294" s="113"/>
      <c r="SHA294" s="103"/>
      <c r="SHB294" s="113"/>
      <c r="SHC294" s="103"/>
      <c r="SHD294" s="113"/>
      <c r="SHE294" s="103"/>
      <c r="SHF294" s="113"/>
      <c r="SHG294" s="103"/>
      <c r="SHH294" s="113"/>
      <c r="SHI294" s="103"/>
      <c r="SHJ294" s="113"/>
      <c r="SHK294" s="103"/>
      <c r="SHL294" s="113"/>
      <c r="SHM294" s="103"/>
      <c r="SHN294" s="113"/>
      <c r="SHO294" s="103"/>
      <c r="SHP294" s="113"/>
      <c r="SHQ294" s="103"/>
      <c r="SHR294" s="113"/>
      <c r="SHS294" s="103"/>
      <c r="SHT294" s="113"/>
      <c r="SHU294" s="103"/>
      <c r="SHV294" s="113"/>
      <c r="SHW294" s="103"/>
      <c r="SHX294" s="113"/>
      <c r="SHY294" s="103"/>
      <c r="SHZ294" s="113"/>
      <c r="SIA294" s="103"/>
      <c r="SIB294" s="113"/>
      <c r="SIC294" s="103"/>
      <c r="SID294" s="113"/>
      <c r="SIE294" s="103"/>
      <c r="SIF294" s="113"/>
      <c r="SIG294" s="103"/>
      <c r="SIH294" s="113"/>
      <c r="SII294" s="103"/>
      <c r="SIJ294" s="113"/>
      <c r="SIK294" s="103"/>
      <c r="SIL294" s="113"/>
      <c r="SIM294" s="103"/>
      <c r="SIN294" s="113"/>
      <c r="SIO294" s="103"/>
      <c r="SIP294" s="113"/>
      <c r="SIQ294" s="103"/>
      <c r="SIR294" s="113"/>
      <c r="SIS294" s="103"/>
      <c r="SIT294" s="113"/>
      <c r="SIU294" s="103"/>
      <c r="SIV294" s="113"/>
      <c r="SIW294" s="103"/>
      <c r="SIX294" s="113"/>
      <c r="SIY294" s="103"/>
      <c r="SIZ294" s="113"/>
      <c r="SJA294" s="103"/>
      <c r="SJB294" s="113"/>
      <c r="SJC294" s="103"/>
      <c r="SJD294" s="113"/>
      <c r="SJE294" s="103"/>
      <c r="SJF294" s="113"/>
      <c r="SJG294" s="103"/>
      <c r="SJH294" s="113"/>
      <c r="SJI294" s="103"/>
      <c r="SJJ294" s="113"/>
      <c r="SJK294" s="103"/>
      <c r="SJL294" s="113"/>
      <c r="SJM294" s="103"/>
      <c r="SJN294" s="113"/>
      <c r="SJO294" s="103"/>
      <c r="SJP294" s="113"/>
      <c r="SJQ294" s="103"/>
      <c r="SJR294" s="113"/>
      <c r="SJS294" s="103"/>
      <c r="SJT294" s="113"/>
      <c r="SJU294" s="103"/>
      <c r="SJV294" s="113"/>
      <c r="SJW294" s="103"/>
      <c r="SJX294" s="113"/>
      <c r="SJY294" s="103"/>
      <c r="SJZ294" s="113"/>
      <c r="SKA294" s="103"/>
      <c r="SKB294" s="113"/>
      <c r="SKC294" s="103"/>
      <c r="SKD294" s="113"/>
      <c r="SKE294" s="103"/>
      <c r="SKF294" s="113"/>
      <c r="SKG294" s="103"/>
      <c r="SKH294" s="113"/>
      <c r="SKI294" s="103"/>
      <c r="SKJ294" s="113"/>
      <c r="SKK294" s="103"/>
      <c r="SKL294" s="113"/>
      <c r="SKM294" s="103"/>
      <c r="SKN294" s="113"/>
      <c r="SKO294" s="103"/>
      <c r="SKP294" s="113"/>
      <c r="SKQ294" s="103"/>
      <c r="SKR294" s="113"/>
      <c r="SKS294" s="103"/>
      <c r="SKT294" s="113"/>
      <c r="SKU294" s="103"/>
      <c r="SKV294" s="113"/>
      <c r="SKW294" s="103"/>
      <c r="SKX294" s="113"/>
      <c r="SKY294" s="103"/>
      <c r="SKZ294" s="113"/>
      <c r="SLA294" s="103"/>
      <c r="SLB294" s="113"/>
      <c r="SLC294" s="103"/>
      <c r="SLD294" s="113"/>
      <c r="SLE294" s="103"/>
      <c r="SLF294" s="113"/>
      <c r="SLG294" s="103"/>
      <c r="SLH294" s="113"/>
      <c r="SLI294" s="103"/>
      <c r="SLJ294" s="113"/>
      <c r="SLK294" s="103"/>
      <c r="SLL294" s="113"/>
      <c r="SLM294" s="103"/>
      <c r="SLN294" s="113"/>
      <c r="SLO294" s="103"/>
      <c r="SLP294" s="113"/>
      <c r="SLQ294" s="103"/>
      <c r="SLR294" s="113"/>
      <c r="SLS294" s="103"/>
      <c r="SLT294" s="113"/>
      <c r="SLU294" s="103"/>
      <c r="SLV294" s="113"/>
      <c r="SLW294" s="103"/>
      <c r="SLX294" s="113"/>
      <c r="SLY294" s="103"/>
      <c r="SLZ294" s="113"/>
      <c r="SMA294" s="103"/>
      <c r="SMB294" s="113"/>
      <c r="SMC294" s="103"/>
      <c r="SMD294" s="113"/>
      <c r="SME294" s="103"/>
      <c r="SMF294" s="113"/>
      <c r="SMG294" s="103"/>
      <c r="SMH294" s="113"/>
      <c r="SMI294" s="103"/>
      <c r="SMJ294" s="113"/>
      <c r="SMK294" s="103"/>
      <c r="SML294" s="113"/>
      <c r="SMM294" s="103"/>
      <c r="SMN294" s="113"/>
      <c r="SMO294" s="103"/>
      <c r="SMP294" s="113"/>
      <c r="SMQ294" s="103"/>
      <c r="SMR294" s="113"/>
      <c r="SMS294" s="103"/>
      <c r="SMT294" s="113"/>
      <c r="SMU294" s="103"/>
      <c r="SMV294" s="113"/>
      <c r="SMW294" s="103"/>
      <c r="SMX294" s="113"/>
      <c r="SMY294" s="103"/>
      <c r="SMZ294" s="113"/>
      <c r="SNA294" s="103"/>
      <c r="SNB294" s="113"/>
      <c r="SNC294" s="103"/>
      <c r="SND294" s="113"/>
      <c r="SNE294" s="103"/>
      <c r="SNF294" s="113"/>
      <c r="SNG294" s="103"/>
      <c r="SNH294" s="113"/>
      <c r="SNI294" s="103"/>
      <c r="SNJ294" s="113"/>
      <c r="SNK294" s="103"/>
      <c r="SNL294" s="113"/>
      <c r="SNM294" s="103"/>
      <c r="SNN294" s="113"/>
      <c r="SNO294" s="103"/>
      <c r="SNP294" s="113"/>
      <c r="SNQ294" s="103"/>
      <c r="SNR294" s="113"/>
      <c r="SNS294" s="103"/>
      <c r="SNT294" s="113"/>
      <c r="SNU294" s="103"/>
      <c r="SNV294" s="113"/>
      <c r="SNW294" s="103"/>
      <c r="SNX294" s="113"/>
      <c r="SNY294" s="103"/>
      <c r="SNZ294" s="113"/>
      <c r="SOA294" s="103"/>
      <c r="SOB294" s="113"/>
      <c r="SOC294" s="103"/>
      <c r="SOD294" s="113"/>
      <c r="SOE294" s="103"/>
      <c r="SOF294" s="113"/>
      <c r="SOG294" s="103"/>
      <c r="SOH294" s="113"/>
      <c r="SOI294" s="103"/>
      <c r="SOJ294" s="113"/>
      <c r="SOK294" s="103"/>
      <c r="SOL294" s="113"/>
      <c r="SOM294" s="103"/>
      <c r="SON294" s="113"/>
      <c r="SOO294" s="103"/>
      <c r="SOP294" s="113"/>
      <c r="SOQ294" s="103"/>
      <c r="SOR294" s="113"/>
      <c r="SOS294" s="103"/>
      <c r="SOT294" s="113"/>
      <c r="SOU294" s="103"/>
      <c r="SOV294" s="113"/>
      <c r="SOW294" s="103"/>
      <c r="SOX294" s="113"/>
      <c r="SOY294" s="103"/>
      <c r="SOZ294" s="113"/>
      <c r="SPA294" s="103"/>
      <c r="SPB294" s="113"/>
      <c r="SPC294" s="103"/>
      <c r="SPD294" s="113"/>
      <c r="SPE294" s="103"/>
      <c r="SPF294" s="113"/>
      <c r="SPG294" s="103"/>
      <c r="SPH294" s="113"/>
      <c r="SPI294" s="103"/>
      <c r="SPJ294" s="113"/>
      <c r="SPK294" s="103"/>
      <c r="SPL294" s="113"/>
      <c r="SPM294" s="103"/>
      <c r="SPN294" s="113"/>
      <c r="SPO294" s="103"/>
      <c r="SPP294" s="113"/>
      <c r="SPQ294" s="103"/>
      <c r="SPR294" s="113"/>
      <c r="SPS294" s="103"/>
      <c r="SPT294" s="113"/>
      <c r="SPU294" s="103"/>
      <c r="SPV294" s="113"/>
      <c r="SPW294" s="103"/>
      <c r="SPX294" s="113"/>
      <c r="SPY294" s="103"/>
      <c r="SPZ294" s="113"/>
      <c r="SQA294" s="103"/>
      <c r="SQB294" s="113"/>
      <c r="SQC294" s="103"/>
      <c r="SQD294" s="113"/>
      <c r="SQE294" s="103"/>
      <c r="SQF294" s="113"/>
      <c r="SQG294" s="103"/>
      <c r="SQH294" s="113"/>
      <c r="SQI294" s="103"/>
      <c r="SQJ294" s="113"/>
      <c r="SQK294" s="103"/>
      <c r="SQL294" s="113"/>
      <c r="SQM294" s="103"/>
      <c r="SQN294" s="113"/>
      <c r="SQO294" s="103"/>
      <c r="SQP294" s="113"/>
      <c r="SQQ294" s="103"/>
      <c r="SQR294" s="113"/>
      <c r="SQS294" s="103"/>
      <c r="SQT294" s="113"/>
      <c r="SQU294" s="103"/>
      <c r="SQV294" s="113"/>
      <c r="SQW294" s="103"/>
      <c r="SQX294" s="113"/>
      <c r="SQY294" s="103"/>
      <c r="SQZ294" s="113"/>
      <c r="SRA294" s="103"/>
      <c r="SRB294" s="113"/>
      <c r="SRC294" s="103"/>
      <c r="SRD294" s="113"/>
      <c r="SRE294" s="103"/>
      <c r="SRF294" s="113"/>
      <c r="SRG294" s="103"/>
      <c r="SRH294" s="113"/>
      <c r="SRI294" s="103"/>
      <c r="SRJ294" s="113"/>
      <c r="SRK294" s="103"/>
      <c r="SRL294" s="113"/>
      <c r="SRM294" s="103"/>
      <c r="SRN294" s="113"/>
      <c r="SRO294" s="103"/>
      <c r="SRP294" s="113"/>
      <c r="SRQ294" s="103"/>
      <c r="SRR294" s="113"/>
      <c r="SRS294" s="103"/>
      <c r="SRT294" s="113"/>
      <c r="SRU294" s="103"/>
      <c r="SRV294" s="113"/>
      <c r="SRW294" s="103"/>
      <c r="SRX294" s="113"/>
      <c r="SRY294" s="103"/>
      <c r="SRZ294" s="113"/>
      <c r="SSA294" s="103"/>
      <c r="SSB294" s="113"/>
      <c r="SSC294" s="103"/>
      <c r="SSD294" s="113"/>
      <c r="SSE294" s="103"/>
      <c r="SSF294" s="113"/>
      <c r="SSG294" s="103"/>
      <c r="SSH294" s="113"/>
      <c r="SSI294" s="103"/>
      <c r="SSJ294" s="113"/>
      <c r="SSK294" s="103"/>
      <c r="SSL294" s="113"/>
      <c r="SSM294" s="103"/>
      <c r="SSN294" s="113"/>
      <c r="SSO294" s="103"/>
      <c r="SSP294" s="113"/>
      <c r="SSQ294" s="103"/>
      <c r="SSR294" s="113"/>
      <c r="SSS294" s="103"/>
      <c r="SST294" s="113"/>
      <c r="SSU294" s="103"/>
      <c r="SSV294" s="113"/>
      <c r="SSW294" s="103"/>
      <c r="SSX294" s="113"/>
      <c r="SSY294" s="103"/>
      <c r="SSZ294" s="113"/>
      <c r="STA294" s="103"/>
      <c r="STB294" s="113"/>
      <c r="STC294" s="103"/>
      <c r="STD294" s="113"/>
      <c r="STE294" s="103"/>
      <c r="STF294" s="113"/>
      <c r="STG294" s="103"/>
      <c r="STH294" s="113"/>
      <c r="STI294" s="103"/>
      <c r="STJ294" s="113"/>
      <c r="STK294" s="103"/>
      <c r="STL294" s="113"/>
      <c r="STM294" s="103"/>
      <c r="STN294" s="113"/>
      <c r="STO294" s="103"/>
      <c r="STP294" s="113"/>
      <c r="STQ294" s="103"/>
      <c r="STR294" s="113"/>
      <c r="STS294" s="103"/>
      <c r="STT294" s="113"/>
      <c r="STU294" s="103"/>
      <c r="STV294" s="113"/>
      <c r="STW294" s="103"/>
      <c r="STX294" s="113"/>
      <c r="STY294" s="103"/>
      <c r="STZ294" s="113"/>
      <c r="SUA294" s="103"/>
      <c r="SUB294" s="113"/>
      <c r="SUC294" s="103"/>
      <c r="SUD294" s="113"/>
      <c r="SUE294" s="103"/>
      <c r="SUF294" s="113"/>
      <c r="SUG294" s="103"/>
      <c r="SUH294" s="113"/>
      <c r="SUI294" s="103"/>
      <c r="SUJ294" s="113"/>
      <c r="SUK294" s="103"/>
      <c r="SUL294" s="113"/>
      <c r="SUM294" s="103"/>
      <c r="SUN294" s="113"/>
      <c r="SUO294" s="103"/>
      <c r="SUP294" s="113"/>
      <c r="SUQ294" s="103"/>
      <c r="SUR294" s="113"/>
      <c r="SUS294" s="103"/>
      <c r="SUT294" s="113"/>
      <c r="SUU294" s="103"/>
      <c r="SUV294" s="113"/>
      <c r="SUW294" s="103"/>
      <c r="SUX294" s="113"/>
      <c r="SUY294" s="103"/>
      <c r="SUZ294" s="113"/>
      <c r="SVA294" s="103"/>
      <c r="SVB294" s="113"/>
      <c r="SVC294" s="103"/>
      <c r="SVD294" s="113"/>
      <c r="SVE294" s="103"/>
      <c r="SVF294" s="113"/>
      <c r="SVG294" s="103"/>
      <c r="SVH294" s="113"/>
      <c r="SVI294" s="103"/>
      <c r="SVJ294" s="113"/>
      <c r="SVK294" s="103"/>
      <c r="SVL294" s="113"/>
      <c r="SVM294" s="103"/>
      <c r="SVN294" s="113"/>
      <c r="SVO294" s="103"/>
      <c r="SVP294" s="113"/>
      <c r="SVQ294" s="103"/>
      <c r="SVR294" s="113"/>
      <c r="SVS294" s="103"/>
      <c r="SVT294" s="113"/>
      <c r="SVU294" s="103"/>
      <c r="SVV294" s="113"/>
      <c r="SVW294" s="103"/>
      <c r="SVX294" s="113"/>
      <c r="SVY294" s="103"/>
      <c r="SVZ294" s="113"/>
      <c r="SWA294" s="103"/>
      <c r="SWB294" s="113"/>
      <c r="SWC294" s="103"/>
      <c r="SWD294" s="113"/>
      <c r="SWE294" s="103"/>
      <c r="SWF294" s="113"/>
      <c r="SWG294" s="103"/>
      <c r="SWH294" s="113"/>
      <c r="SWI294" s="103"/>
      <c r="SWJ294" s="113"/>
      <c r="SWK294" s="103"/>
      <c r="SWL294" s="113"/>
      <c r="SWM294" s="103"/>
      <c r="SWN294" s="113"/>
      <c r="SWO294" s="103"/>
      <c r="SWP294" s="113"/>
      <c r="SWQ294" s="103"/>
      <c r="SWR294" s="113"/>
      <c r="SWS294" s="103"/>
      <c r="SWT294" s="113"/>
      <c r="SWU294" s="103"/>
      <c r="SWV294" s="113"/>
      <c r="SWW294" s="103"/>
      <c r="SWX294" s="113"/>
      <c r="SWY294" s="103"/>
      <c r="SWZ294" s="113"/>
      <c r="SXA294" s="103"/>
      <c r="SXB294" s="113"/>
      <c r="SXC294" s="103"/>
      <c r="SXD294" s="113"/>
      <c r="SXE294" s="103"/>
      <c r="SXF294" s="113"/>
      <c r="SXG294" s="103"/>
      <c r="SXH294" s="113"/>
      <c r="SXI294" s="103"/>
      <c r="SXJ294" s="113"/>
      <c r="SXK294" s="103"/>
      <c r="SXL294" s="113"/>
      <c r="SXM294" s="103"/>
      <c r="SXN294" s="113"/>
      <c r="SXO294" s="103"/>
      <c r="SXP294" s="113"/>
      <c r="SXQ294" s="103"/>
      <c r="SXR294" s="113"/>
      <c r="SXS294" s="103"/>
      <c r="SXT294" s="113"/>
      <c r="SXU294" s="103"/>
      <c r="SXV294" s="113"/>
      <c r="SXW294" s="103"/>
      <c r="SXX294" s="113"/>
      <c r="SXY294" s="103"/>
      <c r="SXZ294" s="113"/>
      <c r="SYA294" s="103"/>
      <c r="SYB294" s="113"/>
      <c r="SYC294" s="103"/>
      <c r="SYD294" s="113"/>
      <c r="SYE294" s="103"/>
      <c r="SYF294" s="113"/>
      <c r="SYG294" s="103"/>
      <c r="SYH294" s="113"/>
      <c r="SYI294" s="103"/>
      <c r="SYJ294" s="113"/>
      <c r="SYK294" s="103"/>
      <c r="SYL294" s="113"/>
      <c r="SYM294" s="103"/>
      <c r="SYN294" s="113"/>
      <c r="SYO294" s="103"/>
      <c r="SYP294" s="113"/>
      <c r="SYQ294" s="103"/>
      <c r="SYR294" s="113"/>
      <c r="SYS294" s="103"/>
      <c r="SYT294" s="113"/>
      <c r="SYU294" s="103"/>
      <c r="SYV294" s="113"/>
      <c r="SYW294" s="103"/>
      <c r="SYX294" s="113"/>
      <c r="SYY294" s="103"/>
      <c r="SYZ294" s="113"/>
      <c r="SZA294" s="103"/>
      <c r="SZB294" s="113"/>
      <c r="SZC294" s="103"/>
      <c r="SZD294" s="113"/>
      <c r="SZE294" s="103"/>
      <c r="SZF294" s="113"/>
      <c r="SZG294" s="103"/>
      <c r="SZH294" s="113"/>
      <c r="SZI294" s="103"/>
      <c r="SZJ294" s="113"/>
      <c r="SZK294" s="103"/>
      <c r="SZL294" s="113"/>
      <c r="SZM294" s="103"/>
      <c r="SZN294" s="113"/>
      <c r="SZO294" s="103"/>
      <c r="SZP294" s="113"/>
      <c r="SZQ294" s="103"/>
      <c r="SZR294" s="113"/>
      <c r="SZS294" s="103"/>
      <c r="SZT294" s="113"/>
      <c r="SZU294" s="103"/>
      <c r="SZV294" s="113"/>
      <c r="SZW294" s="103"/>
      <c r="SZX294" s="113"/>
      <c r="SZY294" s="103"/>
      <c r="SZZ294" s="113"/>
      <c r="TAA294" s="103"/>
      <c r="TAB294" s="113"/>
      <c r="TAC294" s="103"/>
      <c r="TAD294" s="113"/>
      <c r="TAE294" s="103"/>
      <c r="TAF294" s="113"/>
      <c r="TAG294" s="103"/>
      <c r="TAH294" s="113"/>
      <c r="TAI294" s="103"/>
      <c r="TAJ294" s="113"/>
      <c r="TAK294" s="103"/>
      <c r="TAL294" s="113"/>
      <c r="TAM294" s="103"/>
      <c r="TAN294" s="113"/>
      <c r="TAO294" s="103"/>
      <c r="TAP294" s="113"/>
      <c r="TAQ294" s="103"/>
      <c r="TAR294" s="113"/>
      <c r="TAS294" s="103"/>
      <c r="TAT294" s="113"/>
      <c r="TAU294" s="103"/>
      <c r="TAV294" s="113"/>
      <c r="TAW294" s="103"/>
      <c r="TAX294" s="113"/>
      <c r="TAY294" s="103"/>
      <c r="TAZ294" s="113"/>
      <c r="TBA294" s="103"/>
      <c r="TBB294" s="113"/>
      <c r="TBC294" s="103"/>
      <c r="TBD294" s="113"/>
      <c r="TBE294" s="103"/>
      <c r="TBF294" s="113"/>
      <c r="TBG294" s="103"/>
      <c r="TBH294" s="113"/>
      <c r="TBI294" s="103"/>
      <c r="TBJ294" s="113"/>
      <c r="TBK294" s="103"/>
      <c r="TBL294" s="113"/>
      <c r="TBM294" s="103"/>
      <c r="TBN294" s="113"/>
      <c r="TBO294" s="103"/>
      <c r="TBP294" s="113"/>
      <c r="TBQ294" s="103"/>
      <c r="TBR294" s="113"/>
      <c r="TBS294" s="103"/>
      <c r="TBT294" s="113"/>
      <c r="TBU294" s="103"/>
      <c r="TBV294" s="113"/>
      <c r="TBW294" s="103"/>
      <c r="TBX294" s="113"/>
      <c r="TBY294" s="103"/>
      <c r="TBZ294" s="113"/>
      <c r="TCA294" s="103"/>
      <c r="TCB294" s="113"/>
      <c r="TCC294" s="103"/>
      <c r="TCD294" s="113"/>
      <c r="TCE294" s="103"/>
      <c r="TCF294" s="113"/>
      <c r="TCG294" s="103"/>
      <c r="TCH294" s="113"/>
      <c r="TCI294" s="103"/>
      <c r="TCJ294" s="113"/>
      <c r="TCK294" s="103"/>
      <c r="TCL294" s="113"/>
      <c r="TCM294" s="103"/>
      <c r="TCN294" s="113"/>
      <c r="TCO294" s="103"/>
      <c r="TCP294" s="113"/>
      <c r="TCQ294" s="103"/>
      <c r="TCR294" s="113"/>
      <c r="TCS294" s="103"/>
      <c r="TCT294" s="113"/>
      <c r="TCU294" s="103"/>
      <c r="TCV294" s="113"/>
      <c r="TCW294" s="103"/>
      <c r="TCX294" s="113"/>
      <c r="TCY294" s="103"/>
      <c r="TCZ294" s="113"/>
      <c r="TDA294" s="103"/>
      <c r="TDB294" s="113"/>
      <c r="TDC294" s="103"/>
      <c r="TDD294" s="113"/>
      <c r="TDE294" s="103"/>
      <c r="TDF294" s="113"/>
      <c r="TDG294" s="103"/>
      <c r="TDH294" s="113"/>
      <c r="TDI294" s="103"/>
      <c r="TDJ294" s="113"/>
      <c r="TDK294" s="103"/>
      <c r="TDL294" s="113"/>
      <c r="TDM294" s="103"/>
      <c r="TDN294" s="113"/>
      <c r="TDO294" s="103"/>
      <c r="TDP294" s="113"/>
      <c r="TDQ294" s="103"/>
      <c r="TDR294" s="113"/>
      <c r="TDS294" s="103"/>
      <c r="TDT294" s="113"/>
      <c r="TDU294" s="103"/>
      <c r="TDV294" s="113"/>
      <c r="TDW294" s="103"/>
      <c r="TDX294" s="113"/>
      <c r="TDY294" s="103"/>
      <c r="TDZ294" s="113"/>
      <c r="TEA294" s="103"/>
      <c r="TEB294" s="113"/>
      <c r="TEC294" s="103"/>
      <c r="TED294" s="113"/>
      <c r="TEE294" s="103"/>
      <c r="TEF294" s="113"/>
      <c r="TEG294" s="103"/>
      <c r="TEH294" s="113"/>
      <c r="TEI294" s="103"/>
      <c r="TEJ294" s="113"/>
      <c r="TEK294" s="103"/>
      <c r="TEL294" s="113"/>
      <c r="TEM294" s="103"/>
      <c r="TEN294" s="113"/>
      <c r="TEO294" s="103"/>
      <c r="TEP294" s="113"/>
      <c r="TEQ294" s="103"/>
      <c r="TER294" s="113"/>
      <c r="TES294" s="103"/>
      <c r="TET294" s="113"/>
      <c r="TEU294" s="103"/>
      <c r="TEV294" s="113"/>
      <c r="TEW294" s="103"/>
      <c r="TEX294" s="113"/>
      <c r="TEY294" s="103"/>
      <c r="TEZ294" s="113"/>
      <c r="TFA294" s="103"/>
      <c r="TFB294" s="113"/>
      <c r="TFC294" s="103"/>
      <c r="TFD294" s="113"/>
      <c r="TFE294" s="103"/>
      <c r="TFF294" s="113"/>
      <c r="TFG294" s="103"/>
      <c r="TFH294" s="113"/>
      <c r="TFI294" s="103"/>
      <c r="TFJ294" s="113"/>
      <c r="TFK294" s="103"/>
      <c r="TFL294" s="113"/>
      <c r="TFM294" s="103"/>
      <c r="TFN294" s="113"/>
      <c r="TFO294" s="103"/>
      <c r="TFP294" s="113"/>
      <c r="TFQ294" s="103"/>
      <c r="TFR294" s="113"/>
      <c r="TFS294" s="103"/>
      <c r="TFT294" s="113"/>
      <c r="TFU294" s="103"/>
      <c r="TFV294" s="113"/>
      <c r="TFW294" s="103"/>
      <c r="TFX294" s="113"/>
      <c r="TFY294" s="103"/>
      <c r="TFZ294" s="113"/>
      <c r="TGA294" s="103"/>
      <c r="TGB294" s="113"/>
      <c r="TGC294" s="103"/>
      <c r="TGD294" s="113"/>
      <c r="TGE294" s="103"/>
      <c r="TGF294" s="113"/>
      <c r="TGG294" s="103"/>
      <c r="TGH294" s="113"/>
      <c r="TGI294" s="103"/>
      <c r="TGJ294" s="113"/>
      <c r="TGK294" s="103"/>
      <c r="TGL294" s="113"/>
      <c r="TGM294" s="103"/>
      <c r="TGN294" s="113"/>
      <c r="TGO294" s="103"/>
      <c r="TGP294" s="113"/>
      <c r="TGQ294" s="103"/>
      <c r="TGR294" s="113"/>
      <c r="TGS294" s="103"/>
      <c r="TGT294" s="113"/>
      <c r="TGU294" s="103"/>
      <c r="TGV294" s="113"/>
      <c r="TGW294" s="103"/>
      <c r="TGX294" s="113"/>
      <c r="TGY294" s="103"/>
      <c r="TGZ294" s="113"/>
      <c r="THA294" s="103"/>
      <c r="THB294" s="113"/>
      <c r="THC294" s="103"/>
      <c r="THD294" s="113"/>
      <c r="THE294" s="103"/>
      <c r="THF294" s="113"/>
      <c r="THG294" s="103"/>
      <c r="THH294" s="113"/>
      <c r="THI294" s="103"/>
      <c r="THJ294" s="113"/>
      <c r="THK294" s="103"/>
      <c r="THL294" s="113"/>
      <c r="THM294" s="103"/>
      <c r="THN294" s="113"/>
      <c r="THO294" s="103"/>
      <c r="THP294" s="113"/>
      <c r="THQ294" s="103"/>
      <c r="THR294" s="113"/>
      <c r="THS294" s="103"/>
      <c r="THT294" s="113"/>
      <c r="THU294" s="103"/>
      <c r="THV294" s="113"/>
      <c r="THW294" s="103"/>
      <c r="THX294" s="113"/>
      <c r="THY294" s="103"/>
      <c r="THZ294" s="113"/>
      <c r="TIA294" s="103"/>
      <c r="TIB294" s="113"/>
      <c r="TIC294" s="103"/>
      <c r="TID294" s="113"/>
      <c r="TIE294" s="103"/>
      <c r="TIF294" s="113"/>
      <c r="TIG294" s="103"/>
      <c r="TIH294" s="113"/>
      <c r="TII294" s="103"/>
      <c r="TIJ294" s="113"/>
      <c r="TIK294" s="103"/>
      <c r="TIL294" s="113"/>
      <c r="TIM294" s="103"/>
      <c r="TIN294" s="113"/>
      <c r="TIO294" s="103"/>
      <c r="TIP294" s="113"/>
      <c r="TIQ294" s="103"/>
      <c r="TIR294" s="113"/>
      <c r="TIS294" s="103"/>
      <c r="TIT294" s="113"/>
      <c r="TIU294" s="103"/>
      <c r="TIV294" s="113"/>
      <c r="TIW294" s="103"/>
      <c r="TIX294" s="113"/>
      <c r="TIY294" s="103"/>
      <c r="TIZ294" s="113"/>
      <c r="TJA294" s="103"/>
      <c r="TJB294" s="113"/>
      <c r="TJC294" s="103"/>
      <c r="TJD294" s="113"/>
      <c r="TJE294" s="103"/>
      <c r="TJF294" s="113"/>
      <c r="TJG294" s="103"/>
      <c r="TJH294" s="113"/>
      <c r="TJI294" s="103"/>
      <c r="TJJ294" s="113"/>
      <c r="TJK294" s="103"/>
      <c r="TJL294" s="113"/>
      <c r="TJM294" s="103"/>
      <c r="TJN294" s="113"/>
      <c r="TJO294" s="103"/>
      <c r="TJP294" s="113"/>
      <c r="TJQ294" s="103"/>
      <c r="TJR294" s="113"/>
      <c r="TJS294" s="103"/>
      <c r="TJT294" s="113"/>
      <c r="TJU294" s="103"/>
      <c r="TJV294" s="113"/>
      <c r="TJW294" s="103"/>
      <c r="TJX294" s="113"/>
      <c r="TJY294" s="103"/>
      <c r="TJZ294" s="113"/>
      <c r="TKA294" s="103"/>
      <c r="TKB294" s="113"/>
      <c r="TKC294" s="103"/>
      <c r="TKD294" s="113"/>
      <c r="TKE294" s="103"/>
      <c r="TKF294" s="113"/>
      <c r="TKG294" s="103"/>
      <c r="TKH294" s="113"/>
      <c r="TKI294" s="103"/>
      <c r="TKJ294" s="113"/>
      <c r="TKK294" s="103"/>
      <c r="TKL294" s="113"/>
      <c r="TKM294" s="103"/>
      <c r="TKN294" s="113"/>
      <c r="TKO294" s="103"/>
      <c r="TKP294" s="113"/>
      <c r="TKQ294" s="103"/>
      <c r="TKR294" s="113"/>
      <c r="TKS294" s="103"/>
      <c r="TKT294" s="113"/>
      <c r="TKU294" s="103"/>
      <c r="TKV294" s="113"/>
      <c r="TKW294" s="103"/>
      <c r="TKX294" s="113"/>
      <c r="TKY294" s="103"/>
      <c r="TKZ294" s="113"/>
      <c r="TLA294" s="103"/>
      <c r="TLB294" s="113"/>
      <c r="TLC294" s="103"/>
      <c r="TLD294" s="113"/>
      <c r="TLE294" s="103"/>
      <c r="TLF294" s="113"/>
      <c r="TLG294" s="103"/>
      <c r="TLH294" s="113"/>
      <c r="TLI294" s="103"/>
      <c r="TLJ294" s="113"/>
      <c r="TLK294" s="103"/>
      <c r="TLL294" s="113"/>
      <c r="TLM294" s="103"/>
      <c r="TLN294" s="113"/>
      <c r="TLO294" s="103"/>
      <c r="TLP294" s="113"/>
      <c r="TLQ294" s="103"/>
      <c r="TLR294" s="113"/>
      <c r="TLS294" s="103"/>
      <c r="TLT294" s="113"/>
      <c r="TLU294" s="103"/>
      <c r="TLV294" s="113"/>
      <c r="TLW294" s="103"/>
      <c r="TLX294" s="113"/>
      <c r="TLY294" s="103"/>
      <c r="TLZ294" s="113"/>
      <c r="TMA294" s="103"/>
      <c r="TMB294" s="113"/>
      <c r="TMC294" s="103"/>
      <c r="TMD294" s="113"/>
      <c r="TME294" s="103"/>
      <c r="TMF294" s="113"/>
      <c r="TMG294" s="103"/>
      <c r="TMH294" s="113"/>
      <c r="TMI294" s="103"/>
      <c r="TMJ294" s="113"/>
      <c r="TMK294" s="103"/>
      <c r="TML294" s="113"/>
      <c r="TMM294" s="103"/>
      <c r="TMN294" s="113"/>
      <c r="TMO294" s="103"/>
      <c r="TMP294" s="113"/>
      <c r="TMQ294" s="103"/>
      <c r="TMR294" s="113"/>
      <c r="TMS294" s="103"/>
      <c r="TMT294" s="113"/>
      <c r="TMU294" s="103"/>
      <c r="TMV294" s="113"/>
      <c r="TMW294" s="103"/>
      <c r="TMX294" s="113"/>
      <c r="TMY294" s="103"/>
      <c r="TMZ294" s="113"/>
      <c r="TNA294" s="103"/>
      <c r="TNB294" s="113"/>
      <c r="TNC294" s="103"/>
      <c r="TND294" s="113"/>
      <c r="TNE294" s="103"/>
      <c r="TNF294" s="113"/>
      <c r="TNG294" s="103"/>
      <c r="TNH294" s="113"/>
      <c r="TNI294" s="103"/>
      <c r="TNJ294" s="113"/>
      <c r="TNK294" s="103"/>
      <c r="TNL294" s="113"/>
      <c r="TNM294" s="103"/>
      <c r="TNN294" s="113"/>
      <c r="TNO294" s="103"/>
      <c r="TNP294" s="113"/>
      <c r="TNQ294" s="103"/>
      <c r="TNR294" s="113"/>
      <c r="TNS294" s="103"/>
      <c r="TNT294" s="113"/>
      <c r="TNU294" s="103"/>
      <c r="TNV294" s="113"/>
      <c r="TNW294" s="103"/>
      <c r="TNX294" s="113"/>
      <c r="TNY294" s="103"/>
      <c r="TNZ294" s="113"/>
      <c r="TOA294" s="103"/>
      <c r="TOB294" s="113"/>
      <c r="TOC294" s="103"/>
      <c r="TOD294" s="113"/>
      <c r="TOE294" s="103"/>
      <c r="TOF294" s="113"/>
      <c r="TOG294" s="103"/>
      <c r="TOH294" s="113"/>
      <c r="TOI294" s="103"/>
      <c r="TOJ294" s="113"/>
      <c r="TOK294" s="103"/>
      <c r="TOL294" s="113"/>
      <c r="TOM294" s="103"/>
      <c r="TON294" s="113"/>
      <c r="TOO294" s="103"/>
      <c r="TOP294" s="113"/>
      <c r="TOQ294" s="103"/>
      <c r="TOR294" s="113"/>
      <c r="TOS294" s="103"/>
      <c r="TOT294" s="113"/>
      <c r="TOU294" s="103"/>
      <c r="TOV294" s="113"/>
      <c r="TOW294" s="103"/>
      <c r="TOX294" s="113"/>
      <c r="TOY294" s="103"/>
      <c r="TOZ294" s="113"/>
      <c r="TPA294" s="103"/>
      <c r="TPB294" s="113"/>
      <c r="TPC294" s="103"/>
      <c r="TPD294" s="113"/>
      <c r="TPE294" s="103"/>
      <c r="TPF294" s="113"/>
      <c r="TPG294" s="103"/>
      <c r="TPH294" s="113"/>
      <c r="TPI294" s="103"/>
      <c r="TPJ294" s="113"/>
      <c r="TPK294" s="103"/>
      <c r="TPL294" s="113"/>
      <c r="TPM294" s="103"/>
      <c r="TPN294" s="113"/>
      <c r="TPO294" s="103"/>
      <c r="TPP294" s="113"/>
      <c r="TPQ294" s="103"/>
      <c r="TPR294" s="113"/>
      <c r="TPS294" s="103"/>
      <c r="TPT294" s="113"/>
      <c r="TPU294" s="103"/>
      <c r="TPV294" s="113"/>
      <c r="TPW294" s="103"/>
      <c r="TPX294" s="113"/>
      <c r="TPY294" s="103"/>
      <c r="TPZ294" s="113"/>
      <c r="TQA294" s="103"/>
      <c r="TQB294" s="113"/>
      <c r="TQC294" s="103"/>
      <c r="TQD294" s="113"/>
      <c r="TQE294" s="103"/>
      <c r="TQF294" s="113"/>
      <c r="TQG294" s="103"/>
      <c r="TQH294" s="113"/>
      <c r="TQI294" s="103"/>
      <c r="TQJ294" s="113"/>
      <c r="TQK294" s="103"/>
      <c r="TQL294" s="113"/>
      <c r="TQM294" s="103"/>
      <c r="TQN294" s="113"/>
      <c r="TQO294" s="103"/>
      <c r="TQP294" s="113"/>
      <c r="TQQ294" s="103"/>
      <c r="TQR294" s="113"/>
      <c r="TQS294" s="103"/>
      <c r="TQT294" s="113"/>
      <c r="TQU294" s="103"/>
      <c r="TQV294" s="113"/>
      <c r="TQW294" s="103"/>
      <c r="TQX294" s="113"/>
      <c r="TQY294" s="103"/>
      <c r="TQZ294" s="113"/>
      <c r="TRA294" s="103"/>
      <c r="TRB294" s="113"/>
      <c r="TRC294" s="103"/>
      <c r="TRD294" s="113"/>
      <c r="TRE294" s="103"/>
      <c r="TRF294" s="113"/>
      <c r="TRG294" s="103"/>
      <c r="TRH294" s="113"/>
      <c r="TRI294" s="103"/>
      <c r="TRJ294" s="113"/>
      <c r="TRK294" s="103"/>
      <c r="TRL294" s="113"/>
      <c r="TRM294" s="103"/>
      <c r="TRN294" s="113"/>
      <c r="TRO294" s="103"/>
      <c r="TRP294" s="113"/>
      <c r="TRQ294" s="103"/>
      <c r="TRR294" s="113"/>
      <c r="TRS294" s="103"/>
      <c r="TRT294" s="113"/>
      <c r="TRU294" s="103"/>
      <c r="TRV294" s="113"/>
      <c r="TRW294" s="103"/>
      <c r="TRX294" s="113"/>
      <c r="TRY294" s="103"/>
      <c r="TRZ294" s="113"/>
      <c r="TSA294" s="103"/>
      <c r="TSB294" s="113"/>
      <c r="TSC294" s="103"/>
      <c r="TSD294" s="113"/>
      <c r="TSE294" s="103"/>
      <c r="TSF294" s="113"/>
      <c r="TSG294" s="103"/>
      <c r="TSH294" s="113"/>
      <c r="TSI294" s="103"/>
      <c r="TSJ294" s="113"/>
      <c r="TSK294" s="103"/>
      <c r="TSL294" s="113"/>
      <c r="TSM294" s="103"/>
      <c r="TSN294" s="113"/>
      <c r="TSO294" s="103"/>
      <c r="TSP294" s="113"/>
      <c r="TSQ294" s="103"/>
      <c r="TSR294" s="113"/>
      <c r="TSS294" s="103"/>
      <c r="TST294" s="113"/>
      <c r="TSU294" s="103"/>
      <c r="TSV294" s="113"/>
      <c r="TSW294" s="103"/>
      <c r="TSX294" s="113"/>
      <c r="TSY294" s="103"/>
      <c r="TSZ294" s="113"/>
      <c r="TTA294" s="103"/>
      <c r="TTB294" s="113"/>
      <c r="TTC294" s="103"/>
      <c r="TTD294" s="113"/>
      <c r="TTE294" s="103"/>
      <c r="TTF294" s="113"/>
      <c r="TTG294" s="103"/>
      <c r="TTH294" s="113"/>
      <c r="TTI294" s="103"/>
      <c r="TTJ294" s="113"/>
      <c r="TTK294" s="103"/>
      <c r="TTL294" s="113"/>
      <c r="TTM294" s="103"/>
      <c r="TTN294" s="113"/>
      <c r="TTO294" s="103"/>
      <c r="TTP294" s="113"/>
      <c r="TTQ294" s="103"/>
      <c r="TTR294" s="113"/>
      <c r="TTS294" s="103"/>
      <c r="TTT294" s="113"/>
      <c r="TTU294" s="103"/>
      <c r="TTV294" s="113"/>
      <c r="TTW294" s="103"/>
      <c r="TTX294" s="113"/>
      <c r="TTY294" s="103"/>
      <c r="TTZ294" s="113"/>
      <c r="TUA294" s="103"/>
      <c r="TUB294" s="113"/>
      <c r="TUC294" s="103"/>
      <c r="TUD294" s="113"/>
      <c r="TUE294" s="103"/>
      <c r="TUF294" s="113"/>
      <c r="TUG294" s="103"/>
      <c r="TUH294" s="113"/>
      <c r="TUI294" s="103"/>
      <c r="TUJ294" s="113"/>
      <c r="TUK294" s="103"/>
      <c r="TUL294" s="113"/>
      <c r="TUM294" s="103"/>
      <c r="TUN294" s="113"/>
      <c r="TUO294" s="103"/>
      <c r="TUP294" s="113"/>
      <c r="TUQ294" s="103"/>
      <c r="TUR294" s="113"/>
      <c r="TUS294" s="103"/>
      <c r="TUT294" s="113"/>
      <c r="TUU294" s="103"/>
      <c r="TUV294" s="113"/>
      <c r="TUW294" s="103"/>
      <c r="TUX294" s="113"/>
      <c r="TUY294" s="103"/>
      <c r="TUZ294" s="113"/>
      <c r="TVA294" s="103"/>
      <c r="TVB294" s="113"/>
      <c r="TVC294" s="103"/>
      <c r="TVD294" s="113"/>
      <c r="TVE294" s="103"/>
      <c r="TVF294" s="113"/>
      <c r="TVG294" s="103"/>
      <c r="TVH294" s="113"/>
      <c r="TVI294" s="103"/>
      <c r="TVJ294" s="113"/>
      <c r="TVK294" s="103"/>
      <c r="TVL294" s="113"/>
      <c r="TVM294" s="103"/>
      <c r="TVN294" s="113"/>
      <c r="TVO294" s="103"/>
      <c r="TVP294" s="113"/>
      <c r="TVQ294" s="103"/>
      <c r="TVR294" s="113"/>
      <c r="TVS294" s="103"/>
      <c r="TVT294" s="113"/>
      <c r="TVU294" s="103"/>
      <c r="TVV294" s="113"/>
      <c r="TVW294" s="103"/>
      <c r="TVX294" s="113"/>
      <c r="TVY294" s="103"/>
      <c r="TVZ294" s="113"/>
      <c r="TWA294" s="103"/>
      <c r="TWB294" s="113"/>
      <c r="TWC294" s="103"/>
      <c r="TWD294" s="113"/>
      <c r="TWE294" s="103"/>
      <c r="TWF294" s="113"/>
      <c r="TWG294" s="103"/>
      <c r="TWH294" s="113"/>
      <c r="TWI294" s="103"/>
      <c r="TWJ294" s="113"/>
      <c r="TWK294" s="103"/>
      <c r="TWL294" s="113"/>
      <c r="TWM294" s="103"/>
      <c r="TWN294" s="113"/>
      <c r="TWO294" s="103"/>
      <c r="TWP294" s="113"/>
      <c r="TWQ294" s="103"/>
      <c r="TWR294" s="113"/>
      <c r="TWS294" s="103"/>
      <c r="TWT294" s="113"/>
      <c r="TWU294" s="103"/>
      <c r="TWV294" s="113"/>
      <c r="TWW294" s="103"/>
      <c r="TWX294" s="113"/>
      <c r="TWY294" s="103"/>
      <c r="TWZ294" s="113"/>
      <c r="TXA294" s="103"/>
      <c r="TXB294" s="113"/>
      <c r="TXC294" s="103"/>
      <c r="TXD294" s="113"/>
      <c r="TXE294" s="103"/>
      <c r="TXF294" s="113"/>
      <c r="TXG294" s="103"/>
      <c r="TXH294" s="113"/>
      <c r="TXI294" s="103"/>
      <c r="TXJ294" s="113"/>
      <c r="TXK294" s="103"/>
      <c r="TXL294" s="113"/>
      <c r="TXM294" s="103"/>
      <c r="TXN294" s="113"/>
      <c r="TXO294" s="103"/>
      <c r="TXP294" s="113"/>
      <c r="TXQ294" s="103"/>
      <c r="TXR294" s="113"/>
      <c r="TXS294" s="103"/>
      <c r="TXT294" s="113"/>
      <c r="TXU294" s="103"/>
      <c r="TXV294" s="113"/>
      <c r="TXW294" s="103"/>
      <c r="TXX294" s="113"/>
      <c r="TXY294" s="103"/>
      <c r="TXZ294" s="113"/>
      <c r="TYA294" s="103"/>
      <c r="TYB294" s="113"/>
      <c r="TYC294" s="103"/>
      <c r="TYD294" s="113"/>
      <c r="TYE294" s="103"/>
      <c r="TYF294" s="113"/>
      <c r="TYG294" s="103"/>
      <c r="TYH294" s="113"/>
      <c r="TYI294" s="103"/>
      <c r="TYJ294" s="113"/>
      <c r="TYK294" s="103"/>
      <c r="TYL294" s="113"/>
      <c r="TYM294" s="103"/>
      <c r="TYN294" s="113"/>
      <c r="TYO294" s="103"/>
      <c r="TYP294" s="113"/>
      <c r="TYQ294" s="103"/>
      <c r="TYR294" s="113"/>
      <c r="TYS294" s="103"/>
      <c r="TYT294" s="113"/>
      <c r="TYU294" s="103"/>
      <c r="TYV294" s="113"/>
      <c r="TYW294" s="103"/>
      <c r="TYX294" s="113"/>
      <c r="TYY294" s="103"/>
      <c r="TYZ294" s="113"/>
      <c r="TZA294" s="103"/>
      <c r="TZB294" s="113"/>
      <c r="TZC294" s="103"/>
      <c r="TZD294" s="113"/>
      <c r="TZE294" s="103"/>
      <c r="TZF294" s="113"/>
      <c r="TZG294" s="103"/>
      <c r="TZH294" s="113"/>
      <c r="TZI294" s="103"/>
      <c r="TZJ294" s="113"/>
      <c r="TZK294" s="103"/>
      <c r="TZL294" s="113"/>
      <c r="TZM294" s="103"/>
      <c r="TZN294" s="113"/>
      <c r="TZO294" s="103"/>
      <c r="TZP294" s="113"/>
      <c r="TZQ294" s="103"/>
      <c r="TZR294" s="113"/>
      <c r="TZS294" s="103"/>
      <c r="TZT294" s="113"/>
      <c r="TZU294" s="103"/>
      <c r="TZV294" s="113"/>
      <c r="TZW294" s="103"/>
      <c r="TZX294" s="113"/>
      <c r="TZY294" s="103"/>
      <c r="TZZ294" s="113"/>
      <c r="UAA294" s="103"/>
      <c r="UAB294" s="113"/>
      <c r="UAC294" s="103"/>
      <c r="UAD294" s="113"/>
      <c r="UAE294" s="103"/>
      <c r="UAF294" s="113"/>
      <c r="UAG294" s="103"/>
      <c r="UAH294" s="113"/>
      <c r="UAI294" s="103"/>
      <c r="UAJ294" s="113"/>
      <c r="UAK294" s="103"/>
      <c r="UAL294" s="113"/>
      <c r="UAM294" s="103"/>
      <c r="UAN294" s="113"/>
      <c r="UAO294" s="103"/>
      <c r="UAP294" s="113"/>
      <c r="UAQ294" s="103"/>
      <c r="UAR294" s="113"/>
      <c r="UAS294" s="103"/>
      <c r="UAT294" s="113"/>
      <c r="UAU294" s="103"/>
      <c r="UAV294" s="113"/>
      <c r="UAW294" s="103"/>
      <c r="UAX294" s="113"/>
      <c r="UAY294" s="103"/>
      <c r="UAZ294" s="113"/>
      <c r="UBA294" s="103"/>
      <c r="UBB294" s="113"/>
      <c r="UBC294" s="103"/>
      <c r="UBD294" s="113"/>
      <c r="UBE294" s="103"/>
      <c r="UBF294" s="113"/>
      <c r="UBG294" s="103"/>
      <c r="UBH294" s="113"/>
      <c r="UBI294" s="103"/>
      <c r="UBJ294" s="113"/>
      <c r="UBK294" s="103"/>
      <c r="UBL294" s="113"/>
      <c r="UBM294" s="103"/>
      <c r="UBN294" s="113"/>
      <c r="UBO294" s="103"/>
      <c r="UBP294" s="113"/>
      <c r="UBQ294" s="103"/>
      <c r="UBR294" s="113"/>
      <c r="UBS294" s="103"/>
      <c r="UBT294" s="113"/>
      <c r="UBU294" s="103"/>
      <c r="UBV294" s="113"/>
      <c r="UBW294" s="103"/>
      <c r="UBX294" s="113"/>
      <c r="UBY294" s="103"/>
      <c r="UBZ294" s="113"/>
      <c r="UCA294" s="103"/>
      <c r="UCB294" s="113"/>
      <c r="UCC294" s="103"/>
      <c r="UCD294" s="113"/>
      <c r="UCE294" s="103"/>
      <c r="UCF294" s="113"/>
      <c r="UCG294" s="103"/>
      <c r="UCH294" s="113"/>
      <c r="UCI294" s="103"/>
      <c r="UCJ294" s="113"/>
      <c r="UCK294" s="103"/>
      <c r="UCL294" s="113"/>
      <c r="UCM294" s="103"/>
      <c r="UCN294" s="113"/>
      <c r="UCO294" s="103"/>
      <c r="UCP294" s="113"/>
      <c r="UCQ294" s="103"/>
      <c r="UCR294" s="113"/>
      <c r="UCS294" s="103"/>
      <c r="UCT294" s="113"/>
      <c r="UCU294" s="103"/>
      <c r="UCV294" s="113"/>
      <c r="UCW294" s="103"/>
      <c r="UCX294" s="113"/>
      <c r="UCY294" s="103"/>
      <c r="UCZ294" s="113"/>
      <c r="UDA294" s="103"/>
      <c r="UDB294" s="113"/>
      <c r="UDC294" s="103"/>
      <c r="UDD294" s="113"/>
      <c r="UDE294" s="103"/>
      <c r="UDF294" s="113"/>
      <c r="UDG294" s="103"/>
      <c r="UDH294" s="113"/>
      <c r="UDI294" s="103"/>
      <c r="UDJ294" s="113"/>
      <c r="UDK294" s="103"/>
      <c r="UDL294" s="113"/>
      <c r="UDM294" s="103"/>
      <c r="UDN294" s="113"/>
      <c r="UDO294" s="103"/>
      <c r="UDP294" s="113"/>
      <c r="UDQ294" s="103"/>
      <c r="UDR294" s="113"/>
      <c r="UDS294" s="103"/>
      <c r="UDT294" s="113"/>
      <c r="UDU294" s="103"/>
      <c r="UDV294" s="113"/>
      <c r="UDW294" s="103"/>
      <c r="UDX294" s="113"/>
      <c r="UDY294" s="103"/>
      <c r="UDZ294" s="113"/>
      <c r="UEA294" s="103"/>
      <c r="UEB294" s="113"/>
      <c r="UEC294" s="103"/>
      <c r="UED294" s="113"/>
      <c r="UEE294" s="103"/>
      <c r="UEF294" s="113"/>
      <c r="UEG294" s="103"/>
      <c r="UEH294" s="113"/>
      <c r="UEI294" s="103"/>
      <c r="UEJ294" s="113"/>
      <c r="UEK294" s="103"/>
      <c r="UEL294" s="113"/>
      <c r="UEM294" s="103"/>
      <c r="UEN294" s="113"/>
      <c r="UEO294" s="103"/>
      <c r="UEP294" s="113"/>
      <c r="UEQ294" s="103"/>
      <c r="UER294" s="113"/>
      <c r="UES294" s="103"/>
      <c r="UET294" s="113"/>
      <c r="UEU294" s="103"/>
      <c r="UEV294" s="113"/>
      <c r="UEW294" s="103"/>
      <c r="UEX294" s="113"/>
      <c r="UEY294" s="103"/>
      <c r="UEZ294" s="113"/>
      <c r="UFA294" s="103"/>
      <c r="UFB294" s="113"/>
      <c r="UFC294" s="103"/>
      <c r="UFD294" s="113"/>
      <c r="UFE294" s="103"/>
      <c r="UFF294" s="113"/>
      <c r="UFG294" s="103"/>
      <c r="UFH294" s="113"/>
      <c r="UFI294" s="103"/>
      <c r="UFJ294" s="113"/>
      <c r="UFK294" s="103"/>
      <c r="UFL294" s="113"/>
      <c r="UFM294" s="103"/>
      <c r="UFN294" s="113"/>
      <c r="UFO294" s="103"/>
      <c r="UFP294" s="113"/>
      <c r="UFQ294" s="103"/>
      <c r="UFR294" s="113"/>
      <c r="UFS294" s="103"/>
      <c r="UFT294" s="113"/>
      <c r="UFU294" s="103"/>
      <c r="UFV294" s="113"/>
      <c r="UFW294" s="103"/>
      <c r="UFX294" s="113"/>
      <c r="UFY294" s="103"/>
      <c r="UFZ294" s="113"/>
      <c r="UGA294" s="103"/>
      <c r="UGB294" s="113"/>
      <c r="UGC294" s="103"/>
      <c r="UGD294" s="113"/>
      <c r="UGE294" s="103"/>
      <c r="UGF294" s="113"/>
      <c r="UGG294" s="103"/>
      <c r="UGH294" s="113"/>
      <c r="UGI294" s="103"/>
      <c r="UGJ294" s="113"/>
      <c r="UGK294" s="103"/>
      <c r="UGL294" s="113"/>
      <c r="UGM294" s="103"/>
      <c r="UGN294" s="113"/>
      <c r="UGO294" s="103"/>
      <c r="UGP294" s="113"/>
      <c r="UGQ294" s="103"/>
      <c r="UGR294" s="113"/>
      <c r="UGS294" s="103"/>
      <c r="UGT294" s="113"/>
      <c r="UGU294" s="103"/>
      <c r="UGV294" s="113"/>
      <c r="UGW294" s="103"/>
      <c r="UGX294" s="113"/>
      <c r="UGY294" s="103"/>
      <c r="UGZ294" s="113"/>
      <c r="UHA294" s="103"/>
      <c r="UHB294" s="113"/>
      <c r="UHC294" s="103"/>
      <c r="UHD294" s="113"/>
      <c r="UHE294" s="103"/>
      <c r="UHF294" s="113"/>
      <c r="UHG294" s="103"/>
      <c r="UHH294" s="113"/>
      <c r="UHI294" s="103"/>
      <c r="UHJ294" s="113"/>
      <c r="UHK294" s="103"/>
      <c r="UHL294" s="113"/>
      <c r="UHM294" s="103"/>
      <c r="UHN294" s="113"/>
      <c r="UHO294" s="103"/>
      <c r="UHP294" s="113"/>
      <c r="UHQ294" s="103"/>
      <c r="UHR294" s="113"/>
      <c r="UHS294" s="103"/>
      <c r="UHT294" s="113"/>
      <c r="UHU294" s="103"/>
      <c r="UHV294" s="113"/>
      <c r="UHW294" s="103"/>
      <c r="UHX294" s="113"/>
      <c r="UHY294" s="103"/>
      <c r="UHZ294" s="113"/>
      <c r="UIA294" s="103"/>
      <c r="UIB294" s="113"/>
      <c r="UIC294" s="103"/>
      <c r="UID294" s="113"/>
      <c r="UIE294" s="103"/>
      <c r="UIF294" s="113"/>
      <c r="UIG294" s="103"/>
      <c r="UIH294" s="113"/>
      <c r="UII294" s="103"/>
      <c r="UIJ294" s="113"/>
      <c r="UIK294" s="103"/>
      <c r="UIL294" s="113"/>
      <c r="UIM294" s="103"/>
      <c r="UIN294" s="113"/>
      <c r="UIO294" s="103"/>
      <c r="UIP294" s="113"/>
      <c r="UIQ294" s="103"/>
      <c r="UIR294" s="113"/>
      <c r="UIS294" s="103"/>
      <c r="UIT294" s="113"/>
      <c r="UIU294" s="103"/>
      <c r="UIV294" s="113"/>
      <c r="UIW294" s="103"/>
      <c r="UIX294" s="113"/>
      <c r="UIY294" s="103"/>
      <c r="UIZ294" s="113"/>
      <c r="UJA294" s="103"/>
      <c r="UJB294" s="113"/>
      <c r="UJC294" s="103"/>
      <c r="UJD294" s="113"/>
      <c r="UJE294" s="103"/>
      <c r="UJF294" s="113"/>
      <c r="UJG294" s="103"/>
      <c r="UJH294" s="113"/>
      <c r="UJI294" s="103"/>
      <c r="UJJ294" s="113"/>
      <c r="UJK294" s="103"/>
      <c r="UJL294" s="113"/>
      <c r="UJM294" s="103"/>
      <c r="UJN294" s="113"/>
      <c r="UJO294" s="103"/>
      <c r="UJP294" s="113"/>
      <c r="UJQ294" s="103"/>
      <c r="UJR294" s="113"/>
      <c r="UJS294" s="103"/>
      <c r="UJT294" s="113"/>
      <c r="UJU294" s="103"/>
      <c r="UJV294" s="113"/>
      <c r="UJW294" s="103"/>
      <c r="UJX294" s="113"/>
      <c r="UJY294" s="103"/>
      <c r="UJZ294" s="113"/>
      <c r="UKA294" s="103"/>
      <c r="UKB294" s="113"/>
      <c r="UKC294" s="103"/>
      <c r="UKD294" s="113"/>
      <c r="UKE294" s="103"/>
      <c r="UKF294" s="113"/>
      <c r="UKG294" s="103"/>
      <c r="UKH294" s="113"/>
      <c r="UKI294" s="103"/>
      <c r="UKJ294" s="113"/>
      <c r="UKK294" s="103"/>
      <c r="UKL294" s="113"/>
      <c r="UKM294" s="103"/>
      <c r="UKN294" s="113"/>
      <c r="UKO294" s="103"/>
      <c r="UKP294" s="113"/>
      <c r="UKQ294" s="103"/>
      <c r="UKR294" s="113"/>
      <c r="UKS294" s="103"/>
      <c r="UKT294" s="113"/>
      <c r="UKU294" s="103"/>
      <c r="UKV294" s="113"/>
      <c r="UKW294" s="103"/>
      <c r="UKX294" s="113"/>
      <c r="UKY294" s="103"/>
      <c r="UKZ294" s="113"/>
      <c r="ULA294" s="103"/>
      <c r="ULB294" s="113"/>
      <c r="ULC294" s="103"/>
      <c r="ULD294" s="113"/>
      <c r="ULE294" s="103"/>
      <c r="ULF294" s="113"/>
      <c r="ULG294" s="103"/>
      <c r="ULH294" s="113"/>
      <c r="ULI294" s="103"/>
      <c r="ULJ294" s="113"/>
      <c r="ULK294" s="103"/>
      <c r="ULL294" s="113"/>
      <c r="ULM294" s="103"/>
      <c r="ULN294" s="113"/>
      <c r="ULO294" s="103"/>
      <c r="ULP294" s="113"/>
      <c r="ULQ294" s="103"/>
      <c r="ULR294" s="113"/>
      <c r="ULS294" s="103"/>
      <c r="ULT294" s="113"/>
      <c r="ULU294" s="103"/>
      <c r="ULV294" s="113"/>
      <c r="ULW294" s="103"/>
      <c r="ULX294" s="113"/>
      <c r="ULY294" s="103"/>
      <c r="ULZ294" s="113"/>
      <c r="UMA294" s="103"/>
      <c r="UMB294" s="113"/>
      <c r="UMC294" s="103"/>
      <c r="UMD294" s="113"/>
      <c r="UME294" s="103"/>
      <c r="UMF294" s="113"/>
      <c r="UMG294" s="103"/>
      <c r="UMH294" s="113"/>
      <c r="UMI294" s="103"/>
      <c r="UMJ294" s="113"/>
      <c r="UMK294" s="103"/>
      <c r="UML294" s="113"/>
      <c r="UMM294" s="103"/>
      <c r="UMN294" s="113"/>
      <c r="UMO294" s="103"/>
      <c r="UMP294" s="113"/>
      <c r="UMQ294" s="103"/>
      <c r="UMR294" s="113"/>
      <c r="UMS294" s="103"/>
      <c r="UMT294" s="113"/>
      <c r="UMU294" s="103"/>
      <c r="UMV294" s="113"/>
      <c r="UMW294" s="103"/>
      <c r="UMX294" s="113"/>
      <c r="UMY294" s="103"/>
      <c r="UMZ294" s="113"/>
      <c r="UNA294" s="103"/>
      <c r="UNB294" s="113"/>
      <c r="UNC294" s="103"/>
      <c r="UND294" s="113"/>
      <c r="UNE294" s="103"/>
      <c r="UNF294" s="113"/>
      <c r="UNG294" s="103"/>
      <c r="UNH294" s="113"/>
      <c r="UNI294" s="103"/>
      <c r="UNJ294" s="113"/>
      <c r="UNK294" s="103"/>
      <c r="UNL294" s="113"/>
      <c r="UNM294" s="103"/>
      <c r="UNN294" s="113"/>
      <c r="UNO294" s="103"/>
      <c r="UNP294" s="113"/>
      <c r="UNQ294" s="103"/>
      <c r="UNR294" s="113"/>
      <c r="UNS294" s="103"/>
      <c r="UNT294" s="113"/>
      <c r="UNU294" s="103"/>
      <c r="UNV294" s="113"/>
      <c r="UNW294" s="103"/>
      <c r="UNX294" s="113"/>
      <c r="UNY294" s="103"/>
      <c r="UNZ294" s="113"/>
      <c r="UOA294" s="103"/>
      <c r="UOB294" s="113"/>
      <c r="UOC294" s="103"/>
      <c r="UOD294" s="113"/>
      <c r="UOE294" s="103"/>
      <c r="UOF294" s="113"/>
      <c r="UOG294" s="103"/>
      <c r="UOH294" s="113"/>
      <c r="UOI294" s="103"/>
      <c r="UOJ294" s="113"/>
      <c r="UOK294" s="103"/>
      <c r="UOL294" s="113"/>
      <c r="UOM294" s="103"/>
      <c r="UON294" s="113"/>
      <c r="UOO294" s="103"/>
      <c r="UOP294" s="113"/>
      <c r="UOQ294" s="103"/>
      <c r="UOR294" s="113"/>
      <c r="UOS294" s="103"/>
      <c r="UOT294" s="113"/>
      <c r="UOU294" s="103"/>
      <c r="UOV294" s="113"/>
      <c r="UOW294" s="103"/>
      <c r="UOX294" s="113"/>
      <c r="UOY294" s="103"/>
      <c r="UOZ294" s="113"/>
      <c r="UPA294" s="103"/>
      <c r="UPB294" s="113"/>
      <c r="UPC294" s="103"/>
      <c r="UPD294" s="113"/>
      <c r="UPE294" s="103"/>
      <c r="UPF294" s="113"/>
      <c r="UPG294" s="103"/>
      <c r="UPH294" s="113"/>
      <c r="UPI294" s="103"/>
      <c r="UPJ294" s="113"/>
      <c r="UPK294" s="103"/>
      <c r="UPL294" s="113"/>
      <c r="UPM294" s="103"/>
      <c r="UPN294" s="113"/>
      <c r="UPO294" s="103"/>
      <c r="UPP294" s="113"/>
      <c r="UPQ294" s="103"/>
      <c r="UPR294" s="113"/>
      <c r="UPS294" s="103"/>
      <c r="UPT294" s="113"/>
      <c r="UPU294" s="103"/>
      <c r="UPV294" s="113"/>
      <c r="UPW294" s="103"/>
      <c r="UPX294" s="113"/>
      <c r="UPY294" s="103"/>
      <c r="UPZ294" s="113"/>
      <c r="UQA294" s="103"/>
      <c r="UQB294" s="113"/>
      <c r="UQC294" s="103"/>
      <c r="UQD294" s="113"/>
      <c r="UQE294" s="103"/>
      <c r="UQF294" s="113"/>
      <c r="UQG294" s="103"/>
      <c r="UQH294" s="113"/>
      <c r="UQI294" s="103"/>
      <c r="UQJ294" s="113"/>
      <c r="UQK294" s="103"/>
      <c r="UQL294" s="113"/>
      <c r="UQM294" s="103"/>
      <c r="UQN294" s="113"/>
      <c r="UQO294" s="103"/>
      <c r="UQP294" s="113"/>
      <c r="UQQ294" s="103"/>
      <c r="UQR294" s="113"/>
      <c r="UQS294" s="103"/>
      <c r="UQT294" s="113"/>
      <c r="UQU294" s="103"/>
      <c r="UQV294" s="113"/>
      <c r="UQW294" s="103"/>
      <c r="UQX294" s="113"/>
      <c r="UQY294" s="103"/>
      <c r="UQZ294" s="113"/>
      <c r="URA294" s="103"/>
      <c r="URB294" s="113"/>
      <c r="URC294" s="103"/>
      <c r="URD294" s="113"/>
      <c r="URE294" s="103"/>
      <c r="URF294" s="113"/>
      <c r="URG294" s="103"/>
      <c r="URH294" s="113"/>
      <c r="URI294" s="103"/>
      <c r="URJ294" s="113"/>
      <c r="URK294" s="103"/>
      <c r="URL294" s="113"/>
      <c r="URM294" s="103"/>
      <c r="URN294" s="113"/>
      <c r="URO294" s="103"/>
      <c r="URP294" s="113"/>
      <c r="URQ294" s="103"/>
      <c r="URR294" s="113"/>
      <c r="URS294" s="103"/>
      <c r="URT294" s="113"/>
      <c r="URU294" s="103"/>
      <c r="URV294" s="113"/>
      <c r="URW294" s="103"/>
      <c r="URX294" s="113"/>
      <c r="URY294" s="103"/>
      <c r="URZ294" s="113"/>
      <c r="USA294" s="103"/>
      <c r="USB294" s="113"/>
      <c r="USC294" s="103"/>
      <c r="USD294" s="113"/>
      <c r="USE294" s="103"/>
      <c r="USF294" s="113"/>
      <c r="USG294" s="103"/>
      <c r="USH294" s="113"/>
      <c r="USI294" s="103"/>
      <c r="USJ294" s="113"/>
      <c r="USK294" s="103"/>
      <c r="USL294" s="113"/>
      <c r="USM294" s="103"/>
      <c r="USN294" s="113"/>
      <c r="USO294" s="103"/>
      <c r="USP294" s="113"/>
      <c r="USQ294" s="103"/>
      <c r="USR294" s="113"/>
      <c r="USS294" s="103"/>
      <c r="UST294" s="113"/>
      <c r="USU294" s="103"/>
      <c r="USV294" s="113"/>
      <c r="USW294" s="103"/>
      <c r="USX294" s="113"/>
      <c r="USY294" s="103"/>
      <c r="USZ294" s="113"/>
      <c r="UTA294" s="103"/>
      <c r="UTB294" s="113"/>
      <c r="UTC294" s="103"/>
      <c r="UTD294" s="113"/>
      <c r="UTE294" s="103"/>
      <c r="UTF294" s="113"/>
      <c r="UTG294" s="103"/>
      <c r="UTH294" s="113"/>
      <c r="UTI294" s="103"/>
      <c r="UTJ294" s="113"/>
      <c r="UTK294" s="103"/>
      <c r="UTL294" s="113"/>
      <c r="UTM294" s="103"/>
      <c r="UTN294" s="113"/>
      <c r="UTO294" s="103"/>
      <c r="UTP294" s="113"/>
      <c r="UTQ294" s="103"/>
      <c r="UTR294" s="113"/>
      <c r="UTS294" s="103"/>
      <c r="UTT294" s="113"/>
      <c r="UTU294" s="103"/>
      <c r="UTV294" s="113"/>
      <c r="UTW294" s="103"/>
      <c r="UTX294" s="113"/>
      <c r="UTY294" s="103"/>
      <c r="UTZ294" s="113"/>
      <c r="UUA294" s="103"/>
      <c r="UUB294" s="113"/>
      <c r="UUC294" s="103"/>
      <c r="UUD294" s="113"/>
      <c r="UUE294" s="103"/>
      <c r="UUF294" s="113"/>
      <c r="UUG294" s="103"/>
      <c r="UUH294" s="113"/>
      <c r="UUI294" s="103"/>
      <c r="UUJ294" s="113"/>
      <c r="UUK294" s="103"/>
      <c r="UUL294" s="113"/>
      <c r="UUM294" s="103"/>
      <c r="UUN294" s="113"/>
      <c r="UUO294" s="103"/>
      <c r="UUP294" s="113"/>
      <c r="UUQ294" s="103"/>
      <c r="UUR294" s="113"/>
      <c r="UUS294" s="103"/>
      <c r="UUT294" s="113"/>
      <c r="UUU294" s="103"/>
      <c r="UUV294" s="113"/>
      <c r="UUW294" s="103"/>
      <c r="UUX294" s="113"/>
      <c r="UUY294" s="103"/>
      <c r="UUZ294" s="113"/>
      <c r="UVA294" s="103"/>
      <c r="UVB294" s="113"/>
      <c r="UVC294" s="103"/>
      <c r="UVD294" s="113"/>
      <c r="UVE294" s="103"/>
      <c r="UVF294" s="113"/>
      <c r="UVG294" s="103"/>
      <c r="UVH294" s="113"/>
      <c r="UVI294" s="103"/>
      <c r="UVJ294" s="113"/>
      <c r="UVK294" s="103"/>
      <c r="UVL294" s="113"/>
      <c r="UVM294" s="103"/>
      <c r="UVN294" s="113"/>
      <c r="UVO294" s="103"/>
      <c r="UVP294" s="113"/>
      <c r="UVQ294" s="103"/>
      <c r="UVR294" s="113"/>
      <c r="UVS294" s="103"/>
      <c r="UVT294" s="113"/>
      <c r="UVU294" s="103"/>
      <c r="UVV294" s="113"/>
      <c r="UVW294" s="103"/>
      <c r="UVX294" s="113"/>
      <c r="UVY294" s="103"/>
      <c r="UVZ294" s="113"/>
      <c r="UWA294" s="103"/>
      <c r="UWB294" s="113"/>
      <c r="UWC294" s="103"/>
      <c r="UWD294" s="113"/>
      <c r="UWE294" s="103"/>
      <c r="UWF294" s="113"/>
      <c r="UWG294" s="103"/>
      <c r="UWH294" s="113"/>
      <c r="UWI294" s="103"/>
      <c r="UWJ294" s="113"/>
      <c r="UWK294" s="103"/>
      <c r="UWL294" s="113"/>
      <c r="UWM294" s="103"/>
      <c r="UWN294" s="113"/>
      <c r="UWO294" s="103"/>
      <c r="UWP294" s="113"/>
      <c r="UWQ294" s="103"/>
      <c r="UWR294" s="113"/>
      <c r="UWS294" s="103"/>
      <c r="UWT294" s="113"/>
      <c r="UWU294" s="103"/>
      <c r="UWV294" s="113"/>
      <c r="UWW294" s="103"/>
      <c r="UWX294" s="113"/>
      <c r="UWY294" s="103"/>
      <c r="UWZ294" s="113"/>
      <c r="UXA294" s="103"/>
      <c r="UXB294" s="113"/>
      <c r="UXC294" s="103"/>
      <c r="UXD294" s="113"/>
      <c r="UXE294" s="103"/>
      <c r="UXF294" s="113"/>
      <c r="UXG294" s="103"/>
      <c r="UXH294" s="113"/>
      <c r="UXI294" s="103"/>
      <c r="UXJ294" s="113"/>
      <c r="UXK294" s="103"/>
      <c r="UXL294" s="113"/>
      <c r="UXM294" s="103"/>
      <c r="UXN294" s="113"/>
      <c r="UXO294" s="103"/>
      <c r="UXP294" s="113"/>
      <c r="UXQ294" s="103"/>
      <c r="UXR294" s="113"/>
      <c r="UXS294" s="103"/>
      <c r="UXT294" s="113"/>
      <c r="UXU294" s="103"/>
      <c r="UXV294" s="113"/>
      <c r="UXW294" s="103"/>
      <c r="UXX294" s="113"/>
      <c r="UXY294" s="103"/>
      <c r="UXZ294" s="113"/>
      <c r="UYA294" s="103"/>
      <c r="UYB294" s="113"/>
      <c r="UYC294" s="103"/>
      <c r="UYD294" s="113"/>
      <c r="UYE294" s="103"/>
      <c r="UYF294" s="113"/>
      <c r="UYG294" s="103"/>
      <c r="UYH294" s="113"/>
      <c r="UYI294" s="103"/>
      <c r="UYJ294" s="113"/>
      <c r="UYK294" s="103"/>
      <c r="UYL294" s="113"/>
      <c r="UYM294" s="103"/>
      <c r="UYN294" s="113"/>
      <c r="UYO294" s="103"/>
      <c r="UYP294" s="113"/>
      <c r="UYQ294" s="103"/>
      <c r="UYR294" s="113"/>
      <c r="UYS294" s="103"/>
      <c r="UYT294" s="113"/>
      <c r="UYU294" s="103"/>
      <c r="UYV294" s="113"/>
      <c r="UYW294" s="103"/>
      <c r="UYX294" s="113"/>
      <c r="UYY294" s="103"/>
      <c r="UYZ294" s="113"/>
      <c r="UZA294" s="103"/>
      <c r="UZB294" s="113"/>
      <c r="UZC294" s="103"/>
      <c r="UZD294" s="113"/>
      <c r="UZE294" s="103"/>
      <c r="UZF294" s="113"/>
      <c r="UZG294" s="103"/>
      <c r="UZH294" s="113"/>
      <c r="UZI294" s="103"/>
      <c r="UZJ294" s="113"/>
      <c r="UZK294" s="103"/>
      <c r="UZL294" s="113"/>
      <c r="UZM294" s="103"/>
      <c r="UZN294" s="113"/>
      <c r="UZO294" s="103"/>
      <c r="UZP294" s="113"/>
      <c r="UZQ294" s="103"/>
      <c r="UZR294" s="113"/>
      <c r="UZS294" s="103"/>
      <c r="UZT294" s="113"/>
      <c r="UZU294" s="103"/>
      <c r="UZV294" s="113"/>
      <c r="UZW294" s="103"/>
      <c r="UZX294" s="113"/>
      <c r="UZY294" s="103"/>
      <c r="UZZ294" s="113"/>
      <c r="VAA294" s="103"/>
      <c r="VAB294" s="113"/>
      <c r="VAC294" s="103"/>
      <c r="VAD294" s="113"/>
      <c r="VAE294" s="103"/>
      <c r="VAF294" s="113"/>
      <c r="VAG294" s="103"/>
      <c r="VAH294" s="113"/>
      <c r="VAI294" s="103"/>
      <c r="VAJ294" s="113"/>
      <c r="VAK294" s="103"/>
      <c r="VAL294" s="113"/>
      <c r="VAM294" s="103"/>
      <c r="VAN294" s="113"/>
      <c r="VAO294" s="103"/>
      <c r="VAP294" s="113"/>
      <c r="VAQ294" s="103"/>
      <c r="VAR294" s="113"/>
      <c r="VAS294" s="103"/>
      <c r="VAT294" s="113"/>
      <c r="VAU294" s="103"/>
      <c r="VAV294" s="113"/>
      <c r="VAW294" s="103"/>
      <c r="VAX294" s="113"/>
      <c r="VAY294" s="103"/>
      <c r="VAZ294" s="113"/>
      <c r="VBA294" s="103"/>
      <c r="VBB294" s="113"/>
      <c r="VBC294" s="103"/>
      <c r="VBD294" s="113"/>
      <c r="VBE294" s="103"/>
      <c r="VBF294" s="113"/>
      <c r="VBG294" s="103"/>
      <c r="VBH294" s="113"/>
      <c r="VBI294" s="103"/>
      <c r="VBJ294" s="113"/>
      <c r="VBK294" s="103"/>
      <c r="VBL294" s="113"/>
      <c r="VBM294" s="103"/>
      <c r="VBN294" s="113"/>
      <c r="VBO294" s="103"/>
      <c r="VBP294" s="113"/>
      <c r="VBQ294" s="103"/>
      <c r="VBR294" s="113"/>
      <c r="VBS294" s="103"/>
      <c r="VBT294" s="113"/>
      <c r="VBU294" s="103"/>
      <c r="VBV294" s="113"/>
      <c r="VBW294" s="103"/>
      <c r="VBX294" s="113"/>
      <c r="VBY294" s="103"/>
      <c r="VBZ294" s="113"/>
      <c r="VCA294" s="103"/>
      <c r="VCB294" s="113"/>
      <c r="VCC294" s="103"/>
      <c r="VCD294" s="113"/>
      <c r="VCE294" s="103"/>
      <c r="VCF294" s="113"/>
      <c r="VCG294" s="103"/>
      <c r="VCH294" s="113"/>
      <c r="VCI294" s="103"/>
      <c r="VCJ294" s="113"/>
      <c r="VCK294" s="103"/>
      <c r="VCL294" s="113"/>
      <c r="VCM294" s="103"/>
      <c r="VCN294" s="113"/>
      <c r="VCO294" s="103"/>
      <c r="VCP294" s="113"/>
      <c r="VCQ294" s="103"/>
      <c r="VCR294" s="113"/>
      <c r="VCS294" s="103"/>
      <c r="VCT294" s="113"/>
      <c r="VCU294" s="103"/>
      <c r="VCV294" s="113"/>
      <c r="VCW294" s="103"/>
      <c r="VCX294" s="113"/>
      <c r="VCY294" s="103"/>
      <c r="VCZ294" s="113"/>
      <c r="VDA294" s="103"/>
      <c r="VDB294" s="113"/>
      <c r="VDC294" s="103"/>
      <c r="VDD294" s="113"/>
      <c r="VDE294" s="103"/>
      <c r="VDF294" s="113"/>
      <c r="VDG294" s="103"/>
      <c r="VDH294" s="113"/>
      <c r="VDI294" s="103"/>
      <c r="VDJ294" s="113"/>
      <c r="VDK294" s="103"/>
      <c r="VDL294" s="113"/>
      <c r="VDM294" s="103"/>
      <c r="VDN294" s="113"/>
      <c r="VDO294" s="103"/>
      <c r="VDP294" s="113"/>
      <c r="VDQ294" s="103"/>
      <c r="VDR294" s="113"/>
      <c r="VDS294" s="103"/>
      <c r="VDT294" s="113"/>
      <c r="VDU294" s="103"/>
      <c r="VDV294" s="113"/>
      <c r="VDW294" s="103"/>
      <c r="VDX294" s="113"/>
      <c r="VDY294" s="103"/>
      <c r="VDZ294" s="113"/>
      <c r="VEA294" s="103"/>
      <c r="VEB294" s="113"/>
      <c r="VEC294" s="103"/>
      <c r="VED294" s="113"/>
      <c r="VEE294" s="103"/>
      <c r="VEF294" s="113"/>
      <c r="VEG294" s="103"/>
      <c r="VEH294" s="113"/>
      <c r="VEI294" s="103"/>
      <c r="VEJ294" s="113"/>
      <c r="VEK294" s="103"/>
      <c r="VEL294" s="113"/>
      <c r="VEM294" s="103"/>
      <c r="VEN294" s="113"/>
      <c r="VEO294" s="103"/>
      <c r="VEP294" s="113"/>
      <c r="VEQ294" s="103"/>
      <c r="VER294" s="113"/>
      <c r="VES294" s="103"/>
      <c r="VET294" s="113"/>
      <c r="VEU294" s="103"/>
      <c r="VEV294" s="113"/>
      <c r="VEW294" s="103"/>
      <c r="VEX294" s="113"/>
      <c r="VEY294" s="103"/>
      <c r="VEZ294" s="113"/>
      <c r="VFA294" s="103"/>
      <c r="VFB294" s="113"/>
      <c r="VFC294" s="103"/>
      <c r="VFD294" s="113"/>
      <c r="VFE294" s="103"/>
      <c r="VFF294" s="113"/>
      <c r="VFG294" s="103"/>
      <c r="VFH294" s="113"/>
      <c r="VFI294" s="103"/>
      <c r="VFJ294" s="113"/>
      <c r="VFK294" s="103"/>
      <c r="VFL294" s="113"/>
      <c r="VFM294" s="103"/>
      <c r="VFN294" s="113"/>
      <c r="VFO294" s="103"/>
      <c r="VFP294" s="113"/>
      <c r="VFQ294" s="103"/>
      <c r="VFR294" s="113"/>
      <c r="VFS294" s="103"/>
      <c r="VFT294" s="113"/>
      <c r="VFU294" s="103"/>
      <c r="VFV294" s="113"/>
      <c r="VFW294" s="103"/>
      <c r="VFX294" s="113"/>
      <c r="VFY294" s="103"/>
      <c r="VFZ294" s="113"/>
      <c r="VGA294" s="103"/>
      <c r="VGB294" s="113"/>
      <c r="VGC294" s="103"/>
      <c r="VGD294" s="113"/>
      <c r="VGE294" s="103"/>
      <c r="VGF294" s="113"/>
      <c r="VGG294" s="103"/>
      <c r="VGH294" s="113"/>
      <c r="VGI294" s="103"/>
      <c r="VGJ294" s="113"/>
      <c r="VGK294" s="103"/>
      <c r="VGL294" s="113"/>
      <c r="VGM294" s="103"/>
      <c r="VGN294" s="113"/>
      <c r="VGO294" s="103"/>
      <c r="VGP294" s="113"/>
      <c r="VGQ294" s="103"/>
      <c r="VGR294" s="113"/>
      <c r="VGS294" s="103"/>
      <c r="VGT294" s="113"/>
      <c r="VGU294" s="103"/>
      <c r="VGV294" s="113"/>
      <c r="VGW294" s="103"/>
      <c r="VGX294" s="113"/>
      <c r="VGY294" s="103"/>
      <c r="VGZ294" s="113"/>
      <c r="VHA294" s="103"/>
      <c r="VHB294" s="113"/>
      <c r="VHC294" s="103"/>
      <c r="VHD294" s="113"/>
      <c r="VHE294" s="103"/>
      <c r="VHF294" s="113"/>
      <c r="VHG294" s="103"/>
      <c r="VHH294" s="113"/>
      <c r="VHI294" s="103"/>
      <c r="VHJ294" s="113"/>
      <c r="VHK294" s="103"/>
      <c r="VHL294" s="113"/>
      <c r="VHM294" s="103"/>
      <c r="VHN294" s="113"/>
      <c r="VHO294" s="103"/>
      <c r="VHP294" s="113"/>
      <c r="VHQ294" s="103"/>
      <c r="VHR294" s="113"/>
      <c r="VHS294" s="103"/>
      <c r="VHT294" s="113"/>
      <c r="VHU294" s="103"/>
      <c r="VHV294" s="113"/>
      <c r="VHW294" s="103"/>
      <c r="VHX294" s="113"/>
      <c r="VHY294" s="103"/>
      <c r="VHZ294" s="113"/>
      <c r="VIA294" s="103"/>
      <c r="VIB294" s="113"/>
      <c r="VIC294" s="103"/>
      <c r="VID294" s="113"/>
      <c r="VIE294" s="103"/>
      <c r="VIF294" s="113"/>
      <c r="VIG294" s="103"/>
      <c r="VIH294" s="113"/>
      <c r="VII294" s="103"/>
      <c r="VIJ294" s="113"/>
      <c r="VIK294" s="103"/>
      <c r="VIL294" s="113"/>
      <c r="VIM294" s="103"/>
      <c r="VIN294" s="113"/>
      <c r="VIO294" s="103"/>
      <c r="VIP294" s="113"/>
      <c r="VIQ294" s="103"/>
      <c r="VIR294" s="113"/>
      <c r="VIS294" s="103"/>
      <c r="VIT294" s="113"/>
      <c r="VIU294" s="103"/>
      <c r="VIV294" s="113"/>
      <c r="VIW294" s="103"/>
      <c r="VIX294" s="113"/>
      <c r="VIY294" s="103"/>
      <c r="VIZ294" s="113"/>
      <c r="VJA294" s="103"/>
      <c r="VJB294" s="113"/>
      <c r="VJC294" s="103"/>
      <c r="VJD294" s="113"/>
      <c r="VJE294" s="103"/>
      <c r="VJF294" s="113"/>
      <c r="VJG294" s="103"/>
      <c r="VJH294" s="113"/>
      <c r="VJI294" s="103"/>
      <c r="VJJ294" s="113"/>
      <c r="VJK294" s="103"/>
      <c r="VJL294" s="113"/>
      <c r="VJM294" s="103"/>
      <c r="VJN294" s="113"/>
      <c r="VJO294" s="103"/>
      <c r="VJP294" s="113"/>
      <c r="VJQ294" s="103"/>
      <c r="VJR294" s="113"/>
      <c r="VJS294" s="103"/>
      <c r="VJT294" s="113"/>
      <c r="VJU294" s="103"/>
      <c r="VJV294" s="113"/>
      <c r="VJW294" s="103"/>
      <c r="VJX294" s="113"/>
      <c r="VJY294" s="103"/>
      <c r="VJZ294" s="113"/>
      <c r="VKA294" s="103"/>
      <c r="VKB294" s="113"/>
      <c r="VKC294" s="103"/>
      <c r="VKD294" s="113"/>
      <c r="VKE294" s="103"/>
      <c r="VKF294" s="113"/>
      <c r="VKG294" s="103"/>
      <c r="VKH294" s="113"/>
      <c r="VKI294" s="103"/>
      <c r="VKJ294" s="113"/>
      <c r="VKK294" s="103"/>
      <c r="VKL294" s="113"/>
      <c r="VKM294" s="103"/>
      <c r="VKN294" s="113"/>
      <c r="VKO294" s="103"/>
      <c r="VKP294" s="113"/>
      <c r="VKQ294" s="103"/>
      <c r="VKR294" s="113"/>
      <c r="VKS294" s="103"/>
      <c r="VKT294" s="113"/>
      <c r="VKU294" s="103"/>
      <c r="VKV294" s="113"/>
      <c r="VKW294" s="103"/>
      <c r="VKX294" s="113"/>
      <c r="VKY294" s="103"/>
      <c r="VKZ294" s="113"/>
      <c r="VLA294" s="103"/>
      <c r="VLB294" s="113"/>
      <c r="VLC294" s="103"/>
      <c r="VLD294" s="113"/>
      <c r="VLE294" s="103"/>
      <c r="VLF294" s="113"/>
      <c r="VLG294" s="103"/>
      <c r="VLH294" s="113"/>
      <c r="VLI294" s="103"/>
      <c r="VLJ294" s="113"/>
      <c r="VLK294" s="103"/>
      <c r="VLL294" s="113"/>
      <c r="VLM294" s="103"/>
      <c r="VLN294" s="113"/>
      <c r="VLO294" s="103"/>
      <c r="VLP294" s="113"/>
      <c r="VLQ294" s="103"/>
      <c r="VLR294" s="113"/>
      <c r="VLS294" s="103"/>
      <c r="VLT294" s="113"/>
      <c r="VLU294" s="103"/>
      <c r="VLV294" s="113"/>
      <c r="VLW294" s="103"/>
      <c r="VLX294" s="113"/>
      <c r="VLY294" s="103"/>
      <c r="VLZ294" s="113"/>
      <c r="VMA294" s="103"/>
      <c r="VMB294" s="113"/>
      <c r="VMC294" s="103"/>
      <c r="VMD294" s="113"/>
      <c r="VME294" s="103"/>
      <c r="VMF294" s="113"/>
      <c r="VMG294" s="103"/>
      <c r="VMH294" s="113"/>
      <c r="VMI294" s="103"/>
      <c r="VMJ294" s="113"/>
      <c r="VMK294" s="103"/>
      <c r="VML294" s="113"/>
      <c r="VMM294" s="103"/>
      <c r="VMN294" s="113"/>
      <c r="VMO294" s="103"/>
      <c r="VMP294" s="113"/>
      <c r="VMQ294" s="103"/>
      <c r="VMR294" s="113"/>
      <c r="VMS294" s="103"/>
      <c r="VMT294" s="113"/>
      <c r="VMU294" s="103"/>
      <c r="VMV294" s="113"/>
      <c r="VMW294" s="103"/>
      <c r="VMX294" s="113"/>
      <c r="VMY294" s="103"/>
      <c r="VMZ294" s="113"/>
      <c r="VNA294" s="103"/>
      <c r="VNB294" s="113"/>
      <c r="VNC294" s="103"/>
      <c r="VND294" s="113"/>
      <c r="VNE294" s="103"/>
      <c r="VNF294" s="113"/>
      <c r="VNG294" s="103"/>
      <c r="VNH294" s="113"/>
      <c r="VNI294" s="103"/>
      <c r="VNJ294" s="113"/>
      <c r="VNK294" s="103"/>
      <c r="VNL294" s="113"/>
      <c r="VNM294" s="103"/>
      <c r="VNN294" s="113"/>
      <c r="VNO294" s="103"/>
      <c r="VNP294" s="113"/>
      <c r="VNQ294" s="103"/>
      <c r="VNR294" s="113"/>
      <c r="VNS294" s="103"/>
      <c r="VNT294" s="113"/>
      <c r="VNU294" s="103"/>
      <c r="VNV294" s="113"/>
      <c r="VNW294" s="103"/>
      <c r="VNX294" s="113"/>
      <c r="VNY294" s="103"/>
      <c r="VNZ294" s="113"/>
      <c r="VOA294" s="103"/>
      <c r="VOB294" s="113"/>
      <c r="VOC294" s="103"/>
      <c r="VOD294" s="113"/>
      <c r="VOE294" s="103"/>
      <c r="VOF294" s="113"/>
      <c r="VOG294" s="103"/>
      <c r="VOH294" s="113"/>
      <c r="VOI294" s="103"/>
      <c r="VOJ294" s="113"/>
      <c r="VOK294" s="103"/>
      <c r="VOL294" s="113"/>
      <c r="VOM294" s="103"/>
      <c r="VON294" s="113"/>
      <c r="VOO294" s="103"/>
      <c r="VOP294" s="113"/>
      <c r="VOQ294" s="103"/>
      <c r="VOR294" s="113"/>
      <c r="VOS294" s="103"/>
      <c r="VOT294" s="113"/>
      <c r="VOU294" s="103"/>
      <c r="VOV294" s="113"/>
      <c r="VOW294" s="103"/>
      <c r="VOX294" s="113"/>
      <c r="VOY294" s="103"/>
      <c r="VOZ294" s="113"/>
      <c r="VPA294" s="103"/>
      <c r="VPB294" s="113"/>
      <c r="VPC294" s="103"/>
      <c r="VPD294" s="113"/>
      <c r="VPE294" s="103"/>
      <c r="VPF294" s="113"/>
      <c r="VPG294" s="103"/>
      <c r="VPH294" s="113"/>
      <c r="VPI294" s="103"/>
      <c r="VPJ294" s="113"/>
      <c r="VPK294" s="103"/>
      <c r="VPL294" s="113"/>
      <c r="VPM294" s="103"/>
      <c r="VPN294" s="113"/>
      <c r="VPO294" s="103"/>
      <c r="VPP294" s="113"/>
      <c r="VPQ294" s="103"/>
      <c r="VPR294" s="113"/>
      <c r="VPS294" s="103"/>
      <c r="VPT294" s="113"/>
      <c r="VPU294" s="103"/>
      <c r="VPV294" s="113"/>
      <c r="VPW294" s="103"/>
      <c r="VPX294" s="113"/>
      <c r="VPY294" s="103"/>
      <c r="VPZ294" s="113"/>
      <c r="VQA294" s="103"/>
      <c r="VQB294" s="113"/>
      <c r="VQC294" s="103"/>
      <c r="VQD294" s="113"/>
      <c r="VQE294" s="103"/>
      <c r="VQF294" s="113"/>
      <c r="VQG294" s="103"/>
      <c r="VQH294" s="113"/>
      <c r="VQI294" s="103"/>
      <c r="VQJ294" s="113"/>
      <c r="VQK294" s="103"/>
      <c r="VQL294" s="113"/>
      <c r="VQM294" s="103"/>
      <c r="VQN294" s="113"/>
      <c r="VQO294" s="103"/>
      <c r="VQP294" s="113"/>
      <c r="VQQ294" s="103"/>
      <c r="VQR294" s="113"/>
      <c r="VQS294" s="103"/>
      <c r="VQT294" s="113"/>
      <c r="VQU294" s="103"/>
      <c r="VQV294" s="113"/>
      <c r="VQW294" s="103"/>
      <c r="VQX294" s="113"/>
      <c r="VQY294" s="103"/>
      <c r="VQZ294" s="113"/>
      <c r="VRA294" s="103"/>
      <c r="VRB294" s="113"/>
      <c r="VRC294" s="103"/>
      <c r="VRD294" s="113"/>
      <c r="VRE294" s="103"/>
      <c r="VRF294" s="113"/>
      <c r="VRG294" s="103"/>
      <c r="VRH294" s="113"/>
      <c r="VRI294" s="103"/>
      <c r="VRJ294" s="113"/>
      <c r="VRK294" s="103"/>
      <c r="VRL294" s="113"/>
      <c r="VRM294" s="103"/>
      <c r="VRN294" s="113"/>
      <c r="VRO294" s="103"/>
      <c r="VRP294" s="113"/>
      <c r="VRQ294" s="103"/>
      <c r="VRR294" s="113"/>
      <c r="VRS294" s="103"/>
      <c r="VRT294" s="113"/>
      <c r="VRU294" s="103"/>
      <c r="VRV294" s="113"/>
      <c r="VRW294" s="103"/>
      <c r="VRX294" s="113"/>
      <c r="VRY294" s="103"/>
      <c r="VRZ294" s="113"/>
      <c r="VSA294" s="103"/>
      <c r="VSB294" s="113"/>
      <c r="VSC294" s="103"/>
      <c r="VSD294" s="113"/>
      <c r="VSE294" s="103"/>
      <c r="VSF294" s="113"/>
      <c r="VSG294" s="103"/>
      <c r="VSH294" s="113"/>
      <c r="VSI294" s="103"/>
      <c r="VSJ294" s="113"/>
      <c r="VSK294" s="103"/>
      <c r="VSL294" s="113"/>
      <c r="VSM294" s="103"/>
      <c r="VSN294" s="113"/>
      <c r="VSO294" s="103"/>
      <c r="VSP294" s="113"/>
      <c r="VSQ294" s="103"/>
      <c r="VSR294" s="113"/>
      <c r="VSS294" s="103"/>
      <c r="VST294" s="113"/>
      <c r="VSU294" s="103"/>
      <c r="VSV294" s="113"/>
      <c r="VSW294" s="103"/>
      <c r="VSX294" s="113"/>
      <c r="VSY294" s="103"/>
      <c r="VSZ294" s="113"/>
      <c r="VTA294" s="103"/>
      <c r="VTB294" s="113"/>
      <c r="VTC294" s="103"/>
      <c r="VTD294" s="113"/>
      <c r="VTE294" s="103"/>
      <c r="VTF294" s="113"/>
      <c r="VTG294" s="103"/>
      <c r="VTH294" s="113"/>
      <c r="VTI294" s="103"/>
      <c r="VTJ294" s="113"/>
      <c r="VTK294" s="103"/>
      <c r="VTL294" s="113"/>
      <c r="VTM294" s="103"/>
      <c r="VTN294" s="113"/>
      <c r="VTO294" s="103"/>
      <c r="VTP294" s="113"/>
      <c r="VTQ294" s="103"/>
      <c r="VTR294" s="113"/>
      <c r="VTS294" s="103"/>
      <c r="VTT294" s="113"/>
      <c r="VTU294" s="103"/>
      <c r="VTV294" s="113"/>
      <c r="VTW294" s="103"/>
      <c r="VTX294" s="113"/>
      <c r="VTY294" s="103"/>
      <c r="VTZ294" s="113"/>
      <c r="VUA294" s="103"/>
      <c r="VUB294" s="113"/>
      <c r="VUC294" s="103"/>
      <c r="VUD294" s="113"/>
      <c r="VUE294" s="103"/>
      <c r="VUF294" s="113"/>
      <c r="VUG294" s="103"/>
      <c r="VUH294" s="113"/>
      <c r="VUI294" s="103"/>
      <c r="VUJ294" s="113"/>
      <c r="VUK294" s="103"/>
      <c r="VUL294" s="113"/>
      <c r="VUM294" s="103"/>
      <c r="VUN294" s="113"/>
      <c r="VUO294" s="103"/>
      <c r="VUP294" s="113"/>
      <c r="VUQ294" s="103"/>
      <c r="VUR294" s="113"/>
      <c r="VUS294" s="103"/>
      <c r="VUT294" s="113"/>
      <c r="VUU294" s="103"/>
      <c r="VUV294" s="113"/>
      <c r="VUW294" s="103"/>
      <c r="VUX294" s="113"/>
      <c r="VUY294" s="103"/>
      <c r="VUZ294" s="113"/>
      <c r="VVA294" s="103"/>
      <c r="VVB294" s="113"/>
      <c r="VVC294" s="103"/>
      <c r="VVD294" s="113"/>
      <c r="VVE294" s="103"/>
      <c r="VVF294" s="113"/>
      <c r="VVG294" s="103"/>
      <c r="VVH294" s="113"/>
      <c r="VVI294" s="103"/>
      <c r="VVJ294" s="113"/>
      <c r="VVK294" s="103"/>
      <c r="VVL294" s="113"/>
      <c r="VVM294" s="103"/>
      <c r="VVN294" s="113"/>
      <c r="VVO294" s="103"/>
      <c r="VVP294" s="113"/>
      <c r="VVQ294" s="103"/>
      <c r="VVR294" s="113"/>
      <c r="VVS294" s="103"/>
      <c r="VVT294" s="113"/>
      <c r="VVU294" s="103"/>
      <c r="VVV294" s="113"/>
      <c r="VVW294" s="103"/>
      <c r="VVX294" s="113"/>
      <c r="VVY294" s="103"/>
      <c r="VVZ294" s="113"/>
      <c r="VWA294" s="103"/>
      <c r="VWB294" s="113"/>
      <c r="VWC294" s="103"/>
      <c r="VWD294" s="113"/>
      <c r="VWE294" s="103"/>
      <c r="VWF294" s="113"/>
      <c r="VWG294" s="103"/>
      <c r="VWH294" s="113"/>
      <c r="VWI294" s="103"/>
      <c r="VWJ294" s="113"/>
      <c r="VWK294" s="103"/>
      <c r="VWL294" s="113"/>
      <c r="VWM294" s="103"/>
      <c r="VWN294" s="113"/>
      <c r="VWO294" s="103"/>
      <c r="VWP294" s="113"/>
      <c r="VWQ294" s="103"/>
      <c r="VWR294" s="113"/>
      <c r="VWS294" s="103"/>
      <c r="VWT294" s="113"/>
      <c r="VWU294" s="103"/>
      <c r="VWV294" s="113"/>
      <c r="VWW294" s="103"/>
      <c r="VWX294" s="113"/>
      <c r="VWY294" s="103"/>
      <c r="VWZ294" s="113"/>
      <c r="VXA294" s="103"/>
      <c r="VXB294" s="113"/>
      <c r="VXC294" s="103"/>
      <c r="VXD294" s="113"/>
      <c r="VXE294" s="103"/>
      <c r="VXF294" s="113"/>
      <c r="VXG294" s="103"/>
      <c r="VXH294" s="113"/>
      <c r="VXI294" s="103"/>
      <c r="VXJ294" s="113"/>
      <c r="VXK294" s="103"/>
      <c r="VXL294" s="113"/>
      <c r="VXM294" s="103"/>
      <c r="VXN294" s="113"/>
      <c r="VXO294" s="103"/>
      <c r="VXP294" s="113"/>
      <c r="VXQ294" s="103"/>
      <c r="VXR294" s="113"/>
      <c r="VXS294" s="103"/>
      <c r="VXT294" s="113"/>
      <c r="VXU294" s="103"/>
      <c r="VXV294" s="113"/>
      <c r="VXW294" s="103"/>
      <c r="VXX294" s="113"/>
      <c r="VXY294" s="103"/>
      <c r="VXZ294" s="113"/>
      <c r="VYA294" s="103"/>
      <c r="VYB294" s="113"/>
      <c r="VYC294" s="103"/>
      <c r="VYD294" s="113"/>
      <c r="VYE294" s="103"/>
      <c r="VYF294" s="113"/>
      <c r="VYG294" s="103"/>
      <c r="VYH294" s="113"/>
      <c r="VYI294" s="103"/>
      <c r="VYJ294" s="113"/>
      <c r="VYK294" s="103"/>
      <c r="VYL294" s="113"/>
      <c r="VYM294" s="103"/>
      <c r="VYN294" s="113"/>
      <c r="VYO294" s="103"/>
      <c r="VYP294" s="113"/>
      <c r="VYQ294" s="103"/>
      <c r="VYR294" s="113"/>
      <c r="VYS294" s="103"/>
      <c r="VYT294" s="113"/>
      <c r="VYU294" s="103"/>
      <c r="VYV294" s="113"/>
      <c r="VYW294" s="103"/>
      <c r="VYX294" s="113"/>
      <c r="VYY294" s="103"/>
      <c r="VYZ294" s="113"/>
      <c r="VZA294" s="103"/>
      <c r="VZB294" s="113"/>
      <c r="VZC294" s="103"/>
      <c r="VZD294" s="113"/>
      <c r="VZE294" s="103"/>
      <c r="VZF294" s="113"/>
      <c r="VZG294" s="103"/>
      <c r="VZH294" s="113"/>
      <c r="VZI294" s="103"/>
      <c r="VZJ294" s="113"/>
      <c r="VZK294" s="103"/>
      <c r="VZL294" s="113"/>
      <c r="VZM294" s="103"/>
      <c r="VZN294" s="113"/>
      <c r="VZO294" s="103"/>
      <c r="VZP294" s="113"/>
      <c r="VZQ294" s="103"/>
      <c r="VZR294" s="113"/>
      <c r="VZS294" s="103"/>
      <c r="VZT294" s="113"/>
      <c r="VZU294" s="103"/>
      <c r="VZV294" s="113"/>
      <c r="VZW294" s="103"/>
      <c r="VZX294" s="113"/>
      <c r="VZY294" s="103"/>
      <c r="VZZ294" s="113"/>
      <c r="WAA294" s="103"/>
      <c r="WAB294" s="113"/>
      <c r="WAC294" s="103"/>
      <c r="WAD294" s="113"/>
      <c r="WAE294" s="103"/>
      <c r="WAF294" s="113"/>
      <c r="WAG294" s="103"/>
      <c r="WAH294" s="113"/>
      <c r="WAI294" s="103"/>
      <c r="WAJ294" s="113"/>
      <c r="WAK294" s="103"/>
      <c r="WAL294" s="113"/>
      <c r="WAM294" s="103"/>
      <c r="WAN294" s="113"/>
      <c r="WAO294" s="103"/>
      <c r="WAP294" s="113"/>
      <c r="WAQ294" s="103"/>
      <c r="WAR294" s="113"/>
      <c r="WAS294" s="103"/>
      <c r="WAT294" s="113"/>
      <c r="WAU294" s="103"/>
      <c r="WAV294" s="113"/>
      <c r="WAW294" s="103"/>
      <c r="WAX294" s="113"/>
      <c r="WAY294" s="103"/>
      <c r="WAZ294" s="113"/>
      <c r="WBA294" s="103"/>
      <c r="WBB294" s="113"/>
      <c r="WBC294" s="103"/>
      <c r="WBD294" s="113"/>
      <c r="WBE294" s="103"/>
      <c r="WBF294" s="113"/>
      <c r="WBG294" s="103"/>
      <c r="WBH294" s="113"/>
      <c r="WBI294" s="103"/>
      <c r="WBJ294" s="113"/>
      <c r="WBK294" s="103"/>
      <c r="WBL294" s="113"/>
      <c r="WBM294" s="103"/>
      <c r="WBN294" s="113"/>
      <c r="WBO294" s="103"/>
      <c r="WBP294" s="113"/>
      <c r="WBQ294" s="103"/>
      <c r="WBR294" s="113"/>
      <c r="WBS294" s="103"/>
      <c r="WBT294" s="113"/>
      <c r="WBU294" s="103"/>
      <c r="WBV294" s="113"/>
      <c r="WBW294" s="103"/>
      <c r="WBX294" s="113"/>
      <c r="WBY294" s="103"/>
      <c r="WBZ294" s="113"/>
      <c r="WCA294" s="103"/>
      <c r="WCB294" s="113"/>
      <c r="WCC294" s="103"/>
      <c r="WCD294" s="113"/>
      <c r="WCE294" s="103"/>
      <c r="WCF294" s="113"/>
      <c r="WCG294" s="103"/>
      <c r="WCH294" s="113"/>
      <c r="WCI294" s="103"/>
      <c r="WCJ294" s="113"/>
      <c r="WCK294" s="103"/>
      <c r="WCL294" s="113"/>
      <c r="WCM294" s="103"/>
      <c r="WCN294" s="113"/>
      <c r="WCO294" s="103"/>
      <c r="WCP294" s="113"/>
      <c r="WCQ294" s="103"/>
      <c r="WCR294" s="113"/>
      <c r="WCS294" s="103"/>
      <c r="WCT294" s="113"/>
      <c r="WCU294" s="103"/>
      <c r="WCV294" s="113"/>
      <c r="WCW294" s="103"/>
      <c r="WCX294" s="113"/>
      <c r="WCY294" s="103"/>
      <c r="WCZ294" s="113"/>
      <c r="WDA294" s="103"/>
      <c r="WDB294" s="113"/>
      <c r="WDC294" s="103"/>
      <c r="WDD294" s="113"/>
      <c r="WDE294" s="103"/>
      <c r="WDF294" s="113"/>
      <c r="WDG294" s="103"/>
      <c r="WDH294" s="113"/>
      <c r="WDI294" s="103"/>
      <c r="WDJ294" s="113"/>
      <c r="WDK294" s="103"/>
      <c r="WDL294" s="113"/>
      <c r="WDM294" s="103"/>
      <c r="WDN294" s="113"/>
      <c r="WDO294" s="103"/>
      <c r="WDP294" s="113"/>
      <c r="WDQ294" s="103"/>
      <c r="WDR294" s="113"/>
      <c r="WDS294" s="103"/>
      <c r="WDT294" s="113"/>
      <c r="WDU294" s="103"/>
      <c r="WDV294" s="113"/>
      <c r="WDW294" s="103"/>
      <c r="WDX294" s="113"/>
      <c r="WDY294" s="103"/>
      <c r="WDZ294" s="113"/>
      <c r="WEA294" s="103"/>
      <c r="WEB294" s="113"/>
      <c r="WEC294" s="103"/>
      <c r="WED294" s="113"/>
      <c r="WEE294" s="103"/>
      <c r="WEF294" s="113"/>
      <c r="WEG294" s="103"/>
      <c r="WEH294" s="113"/>
      <c r="WEI294" s="103"/>
      <c r="WEJ294" s="113"/>
      <c r="WEK294" s="103"/>
      <c r="WEL294" s="113"/>
      <c r="WEM294" s="103"/>
      <c r="WEN294" s="113"/>
      <c r="WEO294" s="103"/>
      <c r="WEP294" s="113"/>
      <c r="WEQ294" s="103"/>
      <c r="WER294" s="113"/>
      <c r="WES294" s="103"/>
      <c r="WET294" s="113"/>
      <c r="WEU294" s="103"/>
      <c r="WEV294" s="113"/>
      <c r="WEW294" s="103"/>
      <c r="WEX294" s="113"/>
      <c r="WEY294" s="103"/>
      <c r="WEZ294" s="113"/>
      <c r="WFA294" s="103"/>
      <c r="WFB294" s="113"/>
      <c r="WFC294" s="103"/>
      <c r="WFD294" s="113"/>
      <c r="WFE294" s="103"/>
      <c r="WFF294" s="113"/>
      <c r="WFG294" s="103"/>
      <c r="WFH294" s="113"/>
      <c r="WFI294" s="103"/>
      <c r="WFJ294" s="113"/>
      <c r="WFK294" s="103"/>
      <c r="WFL294" s="113"/>
      <c r="WFM294" s="103"/>
      <c r="WFN294" s="113"/>
      <c r="WFO294" s="103"/>
      <c r="WFP294" s="113"/>
      <c r="WFQ294" s="103"/>
      <c r="WFR294" s="113"/>
      <c r="WFS294" s="103"/>
      <c r="WFT294" s="113"/>
      <c r="WFU294" s="103"/>
      <c r="WFV294" s="113"/>
      <c r="WFW294" s="103"/>
      <c r="WFX294" s="113"/>
      <c r="WFY294" s="103"/>
      <c r="WFZ294" s="113"/>
      <c r="WGA294" s="103"/>
      <c r="WGB294" s="113"/>
      <c r="WGC294" s="103"/>
      <c r="WGD294" s="113"/>
      <c r="WGE294" s="103"/>
      <c r="WGF294" s="113"/>
      <c r="WGG294" s="103"/>
      <c r="WGH294" s="113"/>
      <c r="WGI294" s="103"/>
      <c r="WGJ294" s="113"/>
      <c r="WGK294" s="103"/>
      <c r="WGL294" s="113"/>
      <c r="WGM294" s="103"/>
      <c r="WGN294" s="113"/>
      <c r="WGO294" s="103"/>
      <c r="WGP294" s="113"/>
      <c r="WGQ294" s="103"/>
      <c r="WGR294" s="113"/>
      <c r="WGS294" s="103"/>
      <c r="WGT294" s="113"/>
      <c r="WGU294" s="103"/>
      <c r="WGV294" s="113"/>
      <c r="WGW294" s="103"/>
      <c r="WGX294" s="113"/>
      <c r="WGY294" s="103"/>
      <c r="WGZ294" s="113"/>
      <c r="WHA294" s="103"/>
      <c r="WHB294" s="113"/>
      <c r="WHC294" s="103"/>
      <c r="WHD294" s="113"/>
      <c r="WHE294" s="103"/>
      <c r="WHF294" s="113"/>
      <c r="WHG294" s="103"/>
      <c r="WHH294" s="113"/>
      <c r="WHI294" s="103"/>
      <c r="WHJ294" s="113"/>
      <c r="WHK294" s="103"/>
      <c r="WHL294" s="113"/>
      <c r="WHM294" s="103"/>
      <c r="WHN294" s="113"/>
      <c r="WHO294" s="103"/>
      <c r="WHP294" s="113"/>
      <c r="WHQ294" s="103"/>
      <c r="WHR294" s="113"/>
      <c r="WHS294" s="103"/>
      <c r="WHT294" s="113"/>
      <c r="WHU294" s="103"/>
      <c r="WHV294" s="113"/>
      <c r="WHW294" s="103"/>
      <c r="WHX294" s="113"/>
      <c r="WHY294" s="103"/>
      <c r="WHZ294" s="113"/>
      <c r="WIA294" s="103"/>
      <c r="WIB294" s="113"/>
      <c r="WIC294" s="103"/>
      <c r="WID294" s="113"/>
      <c r="WIE294" s="103"/>
      <c r="WIF294" s="113"/>
      <c r="WIG294" s="103"/>
      <c r="WIH294" s="113"/>
      <c r="WII294" s="103"/>
      <c r="WIJ294" s="113"/>
      <c r="WIK294" s="103"/>
      <c r="WIL294" s="113"/>
      <c r="WIM294" s="103"/>
      <c r="WIN294" s="113"/>
      <c r="WIO294" s="103"/>
      <c r="WIP294" s="113"/>
      <c r="WIQ294" s="103"/>
      <c r="WIR294" s="113"/>
      <c r="WIS294" s="103"/>
      <c r="WIT294" s="113"/>
      <c r="WIU294" s="103"/>
      <c r="WIV294" s="113"/>
      <c r="WIW294" s="103"/>
      <c r="WIX294" s="113"/>
      <c r="WIY294" s="103"/>
      <c r="WIZ294" s="113"/>
      <c r="WJA294" s="103"/>
      <c r="WJB294" s="113"/>
      <c r="WJC294" s="103"/>
      <c r="WJD294" s="113"/>
      <c r="WJE294" s="103"/>
      <c r="WJF294" s="113"/>
      <c r="WJG294" s="103"/>
      <c r="WJH294" s="113"/>
      <c r="WJI294" s="103"/>
      <c r="WJJ294" s="113"/>
      <c r="WJK294" s="103"/>
      <c r="WJL294" s="113"/>
      <c r="WJM294" s="103"/>
      <c r="WJN294" s="113"/>
      <c r="WJO294" s="103"/>
      <c r="WJP294" s="113"/>
      <c r="WJQ294" s="103"/>
      <c r="WJR294" s="113"/>
      <c r="WJS294" s="103"/>
      <c r="WJT294" s="113"/>
      <c r="WJU294" s="103"/>
      <c r="WJV294" s="113"/>
      <c r="WJW294" s="103"/>
      <c r="WJX294" s="113"/>
      <c r="WJY294" s="103"/>
      <c r="WJZ294" s="113"/>
      <c r="WKA294" s="103"/>
      <c r="WKB294" s="113"/>
      <c r="WKC294" s="103"/>
      <c r="WKD294" s="113"/>
      <c r="WKE294" s="103"/>
      <c r="WKF294" s="113"/>
      <c r="WKG294" s="103"/>
      <c r="WKH294" s="113"/>
      <c r="WKI294" s="103"/>
      <c r="WKJ294" s="113"/>
      <c r="WKK294" s="103"/>
      <c r="WKL294" s="113"/>
      <c r="WKM294" s="103"/>
      <c r="WKN294" s="113"/>
      <c r="WKO294" s="103"/>
      <c r="WKP294" s="113"/>
      <c r="WKQ294" s="103"/>
      <c r="WKR294" s="113"/>
      <c r="WKS294" s="103"/>
      <c r="WKT294" s="113"/>
      <c r="WKU294" s="103"/>
      <c r="WKV294" s="113"/>
      <c r="WKW294" s="103"/>
      <c r="WKX294" s="113"/>
      <c r="WKY294" s="103"/>
      <c r="WKZ294" s="113"/>
      <c r="WLA294" s="103"/>
      <c r="WLB294" s="113"/>
      <c r="WLC294" s="103"/>
      <c r="WLD294" s="113"/>
      <c r="WLE294" s="103"/>
      <c r="WLF294" s="113"/>
      <c r="WLG294" s="103"/>
      <c r="WLH294" s="113"/>
      <c r="WLI294" s="103"/>
      <c r="WLJ294" s="113"/>
      <c r="WLK294" s="103"/>
      <c r="WLL294" s="113"/>
      <c r="WLM294" s="103"/>
      <c r="WLN294" s="113"/>
      <c r="WLO294" s="103"/>
      <c r="WLP294" s="113"/>
      <c r="WLQ294" s="103"/>
      <c r="WLR294" s="113"/>
      <c r="WLS294" s="103"/>
      <c r="WLT294" s="113"/>
      <c r="WLU294" s="103"/>
      <c r="WLV294" s="113"/>
      <c r="WLW294" s="103"/>
      <c r="WLX294" s="113"/>
      <c r="WLY294" s="103"/>
      <c r="WLZ294" s="113"/>
      <c r="WMA294" s="103"/>
      <c r="WMB294" s="113"/>
      <c r="WMC294" s="103"/>
      <c r="WMD294" s="113"/>
      <c r="WME294" s="103"/>
      <c r="WMF294" s="113"/>
      <c r="WMG294" s="103"/>
      <c r="WMH294" s="113"/>
      <c r="WMI294" s="103"/>
      <c r="WMJ294" s="113"/>
      <c r="WMK294" s="103"/>
      <c r="WML294" s="113"/>
      <c r="WMM294" s="103"/>
      <c r="WMN294" s="113"/>
      <c r="WMO294" s="103"/>
      <c r="WMP294" s="113"/>
      <c r="WMQ294" s="103"/>
      <c r="WMR294" s="113"/>
      <c r="WMS294" s="103"/>
      <c r="WMT294" s="113"/>
      <c r="WMU294" s="103"/>
      <c r="WMV294" s="113"/>
      <c r="WMW294" s="103"/>
      <c r="WMX294" s="113"/>
      <c r="WMY294" s="103"/>
      <c r="WMZ294" s="113"/>
      <c r="WNA294" s="103"/>
      <c r="WNB294" s="113"/>
      <c r="WNC294" s="103"/>
      <c r="WND294" s="113"/>
      <c r="WNE294" s="103"/>
      <c r="WNF294" s="113"/>
      <c r="WNG294" s="103"/>
      <c r="WNH294" s="113"/>
      <c r="WNI294" s="103"/>
      <c r="WNJ294" s="113"/>
      <c r="WNK294" s="103"/>
      <c r="WNL294" s="113"/>
      <c r="WNM294" s="103"/>
      <c r="WNN294" s="113"/>
      <c r="WNO294" s="103"/>
      <c r="WNP294" s="113"/>
      <c r="WNQ294" s="103"/>
      <c r="WNR294" s="113"/>
      <c r="WNS294" s="103"/>
      <c r="WNT294" s="113"/>
      <c r="WNU294" s="103"/>
      <c r="WNV294" s="113"/>
      <c r="WNW294" s="103"/>
      <c r="WNX294" s="113"/>
      <c r="WNY294" s="103"/>
      <c r="WNZ294" s="113"/>
      <c r="WOA294" s="103"/>
      <c r="WOB294" s="113"/>
      <c r="WOC294" s="103"/>
      <c r="WOD294" s="113"/>
      <c r="WOE294" s="103"/>
      <c r="WOF294" s="113"/>
      <c r="WOG294" s="103"/>
      <c r="WOH294" s="113"/>
      <c r="WOI294" s="103"/>
      <c r="WOJ294" s="113"/>
      <c r="WOK294" s="103"/>
      <c r="WOL294" s="113"/>
      <c r="WOM294" s="103"/>
      <c r="WON294" s="113"/>
      <c r="WOO294" s="103"/>
      <c r="WOP294" s="113"/>
      <c r="WOQ294" s="103"/>
      <c r="WOR294" s="113"/>
      <c r="WOS294" s="103"/>
      <c r="WOT294" s="113"/>
      <c r="WOU294" s="103"/>
      <c r="WOV294" s="113"/>
      <c r="WOW294" s="103"/>
      <c r="WOX294" s="113"/>
      <c r="WOY294" s="103"/>
      <c r="WOZ294" s="113"/>
      <c r="WPA294" s="103"/>
      <c r="WPB294" s="113"/>
      <c r="WPC294" s="103"/>
      <c r="WPD294" s="113"/>
      <c r="WPE294" s="103"/>
      <c r="WPF294" s="113"/>
      <c r="WPG294" s="103"/>
      <c r="WPH294" s="113"/>
      <c r="WPI294" s="103"/>
      <c r="WPJ294" s="113"/>
      <c r="WPK294" s="103"/>
      <c r="WPL294" s="113"/>
      <c r="WPM294" s="103"/>
      <c r="WPN294" s="113"/>
      <c r="WPO294" s="103"/>
      <c r="WPP294" s="113"/>
      <c r="WPQ294" s="103"/>
      <c r="WPR294" s="113"/>
      <c r="WPS294" s="103"/>
      <c r="WPT294" s="113"/>
      <c r="WPU294" s="103"/>
      <c r="WPV294" s="113"/>
      <c r="WPW294" s="103"/>
      <c r="WPX294" s="113"/>
      <c r="WPY294" s="103"/>
      <c r="WPZ294" s="113"/>
      <c r="WQA294" s="103"/>
      <c r="WQB294" s="113"/>
      <c r="WQC294" s="103"/>
      <c r="WQD294" s="113"/>
      <c r="WQE294" s="103"/>
      <c r="WQF294" s="113"/>
      <c r="WQG294" s="103"/>
      <c r="WQH294" s="113"/>
      <c r="WQI294" s="103"/>
      <c r="WQJ294" s="113"/>
      <c r="WQK294" s="103"/>
      <c r="WQL294" s="113"/>
      <c r="WQM294" s="103"/>
      <c r="WQN294" s="113"/>
      <c r="WQO294" s="103"/>
      <c r="WQP294" s="113"/>
      <c r="WQQ294" s="103"/>
      <c r="WQR294" s="113"/>
      <c r="WQS294" s="103"/>
      <c r="WQT294" s="113"/>
      <c r="WQU294" s="103"/>
      <c r="WQV294" s="113"/>
      <c r="WQW294" s="103"/>
      <c r="WQX294" s="113"/>
      <c r="WQY294" s="103"/>
      <c r="WQZ294" s="113"/>
      <c r="WRA294" s="103"/>
      <c r="WRB294" s="113"/>
      <c r="WRC294" s="103"/>
      <c r="WRD294" s="113"/>
      <c r="WRE294" s="103"/>
      <c r="WRF294" s="113"/>
      <c r="WRG294" s="103"/>
      <c r="WRH294" s="113"/>
      <c r="WRI294" s="103"/>
      <c r="WRJ294" s="113"/>
      <c r="WRK294" s="103"/>
      <c r="WRL294" s="113"/>
      <c r="WRM294" s="103"/>
      <c r="WRN294" s="113"/>
      <c r="WRO294" s="103"/>
      <c r="WRP294" s="113"/>
      <c r="WRQ294" s="103"/>
      <c r="WRR294" s="113"/>
      <c r="WRS294" s="103"/>
      <c r="WRT294" s="113"/>
      <c r="WRU294" s="103"/>
      <c r="WRV294" s="113"/>
      <c r="WRW294" s="103"/>
      <c r="WRX294" s="113"/>
      <c r="WRY294" s="103"/>
      <c r="WRZ294" s="113"/>
      <c r="WSA294" s="103"/>
      <c r="WSB294" s="113"/>
      <c r="WSC294" s="103"/>
      <c r="WSD294" s="113"/>
      <c r="WSE294" s="103"/>
      <c r="WSF294" s="113"/>
      <c r="WSG294" s="103"/>
      <c r="WSH294" s="113"/>
      <c r="WSI294" s="103"/>
      <c r="WSJ294" s="113"/>
      <c r="WSK294" s="103"/>
      <c r="WSL294" s="113"/>
      <c r="WSM294" s="103"/>
      <c r="WSN294" s="113"/>
      <c r="WSO294" s="103"/>
      <c r="WSP294" s="113"/>
      <c r="WSQ294" s="103"/>
      <c r="WSR294" s="113"/>
      <c r="WSS294" s="103"/>
      <c r="WST294" s="113"/>
      <c r="WSU294" s="103"/>
      <c r="WSV294" s="113"/>
      <c r="WSW294" s="103"/>
      <c r="WSX294" s="113"/>
      <c r="WSY294" s="103"/>
      <c r="WSZ294" s="113"/>
      <c r="WTA294" s="103"/>
      <c r="WTB294" s="113"/>
      <c r="WTC294" s="103"/>
      <c r="WTD294" s="113"/>
      <c r="WTE294" s="103"/>
      <c r="WTF294" s="113"/>
      <c r="WTG294" s="103"/>
      <c r="WTH294" s="113"/>
      <c r="WTI294" s="103"/>
      <c r="WTJ294" s="113"/>
      <c r="WTK294" s="103"/>
      <c r="WTL294" s="113"/>
      <c r="WTM294" s="103"/>
      <c r="WTN294" s="113"/>
      <c r="WTO294" s="103"/>
      <c r="WTP294" s="113"/>
      <c r="WTQ294" s="103"/>
      <c r="WTR294" s="113"/>
      <c r="WTS294" s="103"/>
      <c r="WTT294" s="113"/>
      <c r="WTU294" s="103"/>
      <c r="WTV294" s="113"/>
      <c r="WTW294" s="103"/>
      <c r="WTX294" s="113"/>
      <c r="WTY294" s="103"/>
      <c r="WTZ294" s="113"/>
      <c r="WUA294" s="103"/>
      <c r="WUB294" s="113"/>
      <c r="WUC294" s="103"/>
      <c r="WUD294" s="113"/>
      <c r="WUE294" s="103"/>
      <c r="WUF294" s="113"/>
      <c r="WUG294" s="103"/>
      <c r="WUH294" s="113"/>
      <c r="WUI294" s="103"/>
      <c r="WUJ294" s="113"/>
      <c r="WUK294" s="103"/>
      <c r="WUL294" s="113"/>
      <c r="WUM294" s="103"/>
      <c r="WUN294" s="113"/>
      <c r="WUO294" s="103"/>
      <c r="WUP294" s="113"/>
      <c r="WUQ294" s="103"/>
      <c r="WUR294" s="113"/>
      <c r="WUS294" s="103"/>
      <c r="WUT294" s="113"/>
      <c r="WUU294" s="103"/>
      <c r="WUV294" s="113"/>
      <c r="WUW294" s="103"/>
      <c r="WUX294" s="113"/>
      <c r="WUY294" s="103"/>
      <c r="WUZ294" s="113"/>
      <c r="WVA294" s="103"/>
      <c r="WVB294" s="113"/>
      <c r="WVC294" s="103"/>
      <c r="WVD294" s="113"/>
      <c r="WVE294" s="103"/>
      <c r="WVF294" s="113"/>
      <c r="WVG294" s="103"/>
      <c r="WVH294" s="113"/>
      <c r="WVI294" s="103"/>
      <c r="WVJ294" s="113"/>
      <c r="WVK294" s="103"/>
      <c r="WVL294" s="113"/>
      <c r="WVM294" s="103"/>
      <c r="WVN294" s="113"/>
      <c r="WVO294" s="103"/>
      <c r="WVP294" s="113"/>
      <c r="WVQ294" s="103"/>
      <c r="WVR294" s="113"/>
      <c r="WVS294" s="103"/>
      <c r="WVT294" s="113"/>
      <c r="WVU294" s="103"/>
      <c r="WVV294" s="113"/>
      <c r="WVW294" s="103"/>
      <c r="WVX294" s="113"/>
      <c r="WVY294" s="103"/>
      <c r="WVZ294" s="113"/>
      <c r="WWA294" s="103"/>
      <c r="WWB294" s="113"/>
      <c r="WWC294" s="103"/>
      <c r="WWD294" s="113"/>
      <c r="WWE294" s="103"/>
      <c r="WWF294" s="113"/>
      <c r="WWG294" s="103"/>
      <c r="WWH294" s="113"/>
      <c r="WWI294" s="103"/>
      <c r="WWJ294" s="113"/>
      <c r="WWK294" s="103"/>
      <c r="WWL294" s="113"/>
      <c r="WWM294" s="103"/>
      <c r="WWN294" s="113"/>
      <c r="WWO294" s="103"/>
      <c r="WWP294" s="113"/>
      <c r="WWQ294" s="103"/>
      <c r="WWR294" s="113"/>
      <c r="WWS294" s="103"/>
      <c r="WWT294" s="113"/>
      <c r="WWU294" s="103"/>
      <c r="WWV294" s="113"/>
      <c r="WWW294" s="103"/>
      <c r="WWX294" s="113"/>
      <c r="WWY294" s="103"/>
      <c r="WWZ294" s="113"/>
      <c r="WXA294" s="103"/>
      <c r="WXB294" s="113"/>
      <c r="WXC294" s="103"/>
      <c r="WXD294" s="113"/>
      <c r="WXE294" s="103"/>
      <c r="WXF294" s="113"/>
      <c r="WXG294" s="103"/>
      <c r="WXH294" s="113"/>
      <c r="WXI294" s="103"/>
      <c r="WXJ294" s="113"/>
      <c r="WXK294" s="103"/>
      <c r="WXL294" s="113"/>
      <c r="WXM294" s="103"/>
      <c r="WXN294" s="113"/>
      <c r="WXO294" s="103"/>
      <c r="WXP294" s="113"/>
      <c r="WXQ294" s="103"/>
      <c r="WXR294" s="113"/>
      <c r="WXS294" s="103"/>
      <c r="WXT294" s="113"/>
      <c r="WXU294" s="103"/>
      <c r="WXV294" s="113"/>
      <c r="WXW294" s="103"/>
      <c r="WXX294" s="113"/>
      <c r="WXY294" s="103"/>
      <c r="WXZ294" s="113"/>
      <c r="WYA294" s="103"/>
      <c r="WYB294" s="113"/>
      <c r="WYC294" s="103"/>
      <c r="WYD294" s="113"/>
      <c r="WYE294" s="103"/>
      <c r="WYF294" s="113"/>
      <c r="WYG294" s="103"/>
      <c r="WYH294" s="113"/>
      <c r="WYI294" s="103"/>
      <c r="WYJ294" s="113"/>
      <c r="WYK294" s="103"/>
      <c r="WYL294" s="113"/>
      <c r="WYM294" s="103"/>
      <c r="WYN294" s="113"/>
      <c r="WYO294" s="103"/>
      <c r="WYP294" s="113"/>
      <c r="WYQ294" s="103"/>
      <c r="WYR294" s="113"/>
      <c r="WYS294" s="103"/>
      <c r="WYT294" s="113"/>
      <c r="WYU294" s="103"/>
      <c r="WYV294" s="113"/>
      <c r="WYW294" s="103"/>
      <c r="WYX294" s="113"/>
      <c r="WYY294" s="103"/>
      <c r="WYZ294" s="113"/>
      <c r="WZA294" s="103"/>
      <c r="WZB294" s="113"/>
      <c r="WZC294" s="103"/>
      <c r="WZD294" s="113"/>
      <c r="WZE294" s="103"/>
      <c r="WZF294" s="113"/>
      <c r="WZG294" s="103"/>
      <c r="WZH294" s="113"/>
      <c r="WZI294" s="103"/>
      <c r="WZJ294" s="113"/>
      <c r="WZK294" s="103"/>
      <c r="WZL294" s="113"/>
      <c r="WZM294" s="103"/>
      <c r="WZN294" s="113"/>
      <c r="WZO294" s="103"/>
      <c r="WZP294" s="113"/>
      <c r="WZQ294" s="103"/>
      <c r="WZR294" s="113"/>
      <c r="WZS294" s="103"/>
      <c r="WZT294" s="113"/>
      <c r="WZU294" s="103"/>
      <c r="WZV294" s="113"/>
      <c r="WZW294" s="103"/>
      <c r="WZX294" s="113"/>
      <c r="WZY294" s="103"/>
      <c r="WZZ294" s="113"/>
      <c r="XAA294" s="103"/>
      <c r="XAB294" s="113"/>
      <c r="XAC294" s="103"/>
      <c r="XAD294" s="113"/>
      <c r="XAE294" s="103"/>
      <c r="XAF294" s="113"/>
      <c r="XAG294" s="103"/>
      <c r="XAH294" s="113"/>
      <c r="XAI294" s="103"/>
      <c r="XAJ294" s="113"/>
      <c r="XAK294" s="103"/>
      <c r="XAL294" s="113"/>
      <c r="XAM294" s="103"/>
      <c r="XAN294" s="113"/>
      <c r="XAO294" s="103"/>
      <c r="XAP294" s="113"/>
      <c r="XAQ294" s="103"/>
      <c r="XAR294" s="113"/>
      <c r="XAS294" s="103"/>
      <c r="XAT294" s="113"/>
      <c r="XAU294" s="103"/>
      <c r="XAV294" s="113"/>
      <c r="XAW294" s="103"/>
      <c r="XAX294" s="113"/>
      <c r="XAY294" s="103"/>
      <c r="XAZ294" s="113"/>
      <c r="XBA294" s="103"/>
      <c r="XBB294" s="113"/>
      <c r="XBC294" s="103"/>
      <c r="XBD294" s="113"/>
      <c r="XBE294" s="103"/>
      <c r="XBF294" s="113"/>
      <c r="XBG294" s="103"/>
      <c r="XBH294" s="113"/>
      <c r="XBI294" s="103"/>
      <c r="XBJ294" s="113"/>
      <c r="XBK294" s="103"/>
      <c r="XBL294" s="113"/>
      <c r="XBM294" s="103"/>
      <c r="XBN294" s="113"/>
      <c r="XBO294" s="103"/>
      <c r="XBP294" s="113"/>
      <c r="XBQ294" s="103"/>
      <c r="XBR294" s="113"/>
      <c r="XBS294" s="103"/>
      <c r="XBT294" s="113"/>
      <c r="XBU294" s="103"/>
      <c r="XBV294" s="113"/>
      <c r="XBW294" s="103"/>
      <c r="XBX294" s="113"/>
      <c r="XBY294" s="103"/>
      <c r="XBZ294" s="113"/>
      <c r="XCA294" s="103"/>
      <c r="XCB294" s="113"/>
      <c r="XCC294" s="103"/>
      <c r="XCD294" s="113"/>
      <c r="XCE294" s="103"/>
      <c r="XCF294" s="113"/>
      <c r="XCG294" s="103"/>
      <c r="XCH294" s="113"/>
      <c r="XCI294" s="103"/>
      <c r="XCJ294" s="113"/>
      <c r="XCK294" s="103"/>
      <c r="XCL294" s="113"/>
      <c r="XCM294" s="103"/>
      <c r="XCN294" s="113"/>
      <c r="XCO294" s="103"/>
      <c r="XCP294" s="113"/>
      <c r="XCQ294" s="103"/>
      <c r="XCR294" s="113"/>
      <c r="XCS294" s="103"/>
      <c r="XCT294" s="113"/>
      <c r="XCU294" s="103"/>
      <c r="XCV294" s="113"/>
      <c r="XCW294" s="103"/>
      <c r="XCX294" s="113"/>
      <c r="XCY294" s="103"/>
      <c r="XCZ294" s="113"/>
      <c r="XDA294" s="103"/>
      <c r="XDB294" s="113"/>
      <c r="XDC294" s="103"/>
      <c r="XDD294" s="113"/>
      <c r="XDE294" s="103"/>
      <c r="XDF294" s="113"/>
      <c r="XDG294" s="103"/>
      <c r="XDH294" s="113"/>
      <c r="XDI294" s="103"/>
      <c r="XDJ294" s="113"/>
      <c r="XDK294" s="103"/>
      <c r="XDL294" s="113"/>
      <c r="XDM294" s="103"/>
      <c r="XDN294" s="113"/>
      <c r="XDO294" s="103"/>
      <c r="XDP294" s="113"/>
      <c r="XDQ294" s="103"/>
      <c r="XDR294" s="113"/>
      <c r="XDS294" s="103"/>
      <c r="XDT294" s="113"/>
      <c r="XDU294" s="103"/>
      <c r="XDV294" s="113"/>
      <c r="XDW294" s="103"/>
      <c r="XDX294" s="113"/>
      <c r="XDY294" s="103"/>
      <c r="XDZ294" s="113"/>
      <c r="XEA294" s="103"/>
      <c r="XEB294" s="113"/>
      <c r="XEC294" s="103"/>
      <c r="XED294" s="113"/>
      <c r="XEE294" s="103"/>
      <c r="XEF294" s="113"/>
      <c r="XEG294" s="103"/>
      <c r="XEH294" s="113"/>
      <c r="XEI294" s="103"/>
      <c r="XEJ294" s="113"/>
      <c r="XEK294" s="103"/>
      <c r="XEL294" s="113"/>
      <c r="XEM294" s="103"/>
      <c r="XEN294" s="113"/>
      <c r="XEO294" s="103"/>
      <c r="XEP294" s="113"/>
      <c r="XEQ294" s="103"/>
      <c r="XER294" s="113"/>
      <c r="XES294" s="103"/>
      <c r="XET294" s="113"/>
      <c r="XEU294" s="103"/>
      <c r="XEV294" s="113"/>
      <c r="XEW294" s="103"/>
      <c r="XEX294" s="113"/>
      <c r="XEY294" s="103"/>
      <c r="XEZ294" s="113"/>
      <c r="XFA294" s="103"/>
      <c r="XFB294" s="113"/>
      <c r="XFC294" s="103"/>
      <c r="XFD294" s="113"/>
    </row>
    <row r="295" spans="1:16384" ht="13" x14ac:dyDescent="0.15">
      <c r="A295" s="156" t="s">
        <v>44</v>
      </c>
      <c r="B295" s="172">
        <f>SUM(Tabla9361730552357[[#This Row],[Vida]],Tabla9361730552357[[#This Row],[Gmm]])</f>
        <v>0</v>
      </c>
      <c r="C295" s="173">
        <v>0</v>
      </c>
      <c r="D295" s="174">
        <v>0</v>
      </c>
      <c r="E295" s="176"/>
      <c r="F295" s="177"/>
      <c r="G295" s="175">
        <f>SUM(Tabla9361730552357[[#This Row],[Prima Recibo vida]],Tabla9361730552357[[#This Row],[Prima Recibo gmm]])</f>
        <v>0</v>
      </c>
    </row>
    <row r="296" spans="1:16384" ht="13" x14ac:dyDescent="0.15">
      <c r="A296" s="43" t="s">
        <v>50</v>
      </c>
      <c r="B296" s="152">
        <f>SUM(Tabla9361730552357[[Pólizas ]])</f>
        <v>47</v>
      </c>
      <c r="C296" s="153">
        <f>SUM(Tabla9361730552357[Vida])</f>
        <v>39</v>
      </c>
      <c r="D296" s="154">
        <f>SUM(Tabla9361730552357[Prima Recibo vida])</f>
        <v>1167003.26</v>
      </c>
      <c r="E296" s="155">
        <f>SUM(Tabla9361730552357[Gmm])</f>
        <v>8</v>
      </c>
      <c r="F296" s="154">
        <f>SUM(Tabla9361730552357[Prima Recibo gmm])</f>
        <v>340911.72999999992</v>
      </c>
      <c r="G296" s="154">
        <f>SUM(Tabla9361730552357[Prima total])</f>
        <v>1507914.99</v>
      </c>
    </row>
    <row r="297" spans="1:16384" ht="13" x14ac:dyDescent="0.15">
      <c r="D297" s="1"/>
      <c r="E297" s="1"/>
      <c r="G297" s="1"/>
    </row>
    <row r="298" spans="1:16384" ht="13" x14ac:dyDescent="0.15">
      <c r="D298" s="1"/>
      <c r="E298" s="1"/>
      <c r="G298" s="1"/>
    </row>
    <row r="299" spans="1:16384" ht="13" x14ac:dyDescent="0.15">
      <c r="D299" s="1"/>
      <c r="E299" s="1"/>
      <c r="G299" s="1"/>
    </row>
    <row r="300" spans="1:16384" ht="13" x14ac:dyDescent="0.15">
      <c r="D300" s="1"/>
      <c r="E300" s="1"/>
      <c r="G300" s="1"/>
    </row>
    <row r="301" spans="1:16384" ht="13" x14ac:dyDescent="0.15">
      <c r="D301" s="1"/>
      <c r="E301" s="1"/>
      <c r="G301" s="1"/>
    </row>
    <row r="302" spans="1:16384" x14ac:dyDescent="0.15">
      <c r="A302" s="320" t="s">
        <v>106</v>
      </c>
      <c r="B302" s="320"/>
      <c r="C302" s="320"/>
      <c r="D302" s="320"/>
      <c r="E302" s="320"/>
      <c r="F302" s="320"/>
      <c r="G302" s="320"/>
      <c r="H302" s="320"/>
    </row>
    <row r="303" spans="1:16384" ht="28" x14ac:dyDescent="0.15">
      <c r="A303" s="2" t="s">
        <v>1</v>
      </c>
      <c r="B303" s="3" t="s">
        <v>2</v>
      </c>
      <c r="C303" s="3" t="s">
        <v>3</v>
      </c>
      <c r="D303" s="4" t="s">
        <v>88</v>
      </c>
      <c r="E303" s="5" t="s">
        <v>5</v>
      </c>
      <c r="F303" s="3" t="s">
        <v>89</v>
      </c>
      <c r="G303" s="6" t="s">
        <v>7</v>
      </c>
    </row>
    <row r="304" spans="1:16384" ht="13" x14ac:dyDescent="0.15">
      <c r="A304" s="99" t="s">
        <v>31</v>
      </c>
      <c r="B304" s="100">
        <f>SUM(Tabla936173055235763[[#This Row],[Vida]],Tabla936173055235763[[#This Row],[Gmm]])</f>
        <v>1</v>
      </c>
      <c r="C304" s="61">
        <v>1</v>
      </c>
      <c r="D304" s="144">
        <v>176335.9</v>
      </c>
      <c r="E304" s="61"/>
      <c r="F304" s="144"/>
      <c r="G304" s="145">
        <f>SUM(Tabla936173055235763[[#This Row],[Prima Recibo vida]],Tabla936173055235763[[#This Row],[Prima Recibo gmm]])</f>
        <v>176335.9</v>
      </c>
      <c r="I304" s="1" t="s">
        <v>56</v>
      </c>
    </row>
    <row r="305" spans="1:11" ht="13" x14ac:dyDescent="0.15">
      <c r="A305" s="99" t="s">
        <v>52</v>
      </c>
      <c r="B305" s="146">
        <f>SUM(Tabla936173055235763[[#This Row],[Vida]],Tabla936173055235763[[#This Row],[Gmm]])</f>
        <v>5.5</v>
      </c>
      <c r="C305" s="147">
        <v>3</v>
      </c>
      <c r="D305" s="144">
        <v>8194.67</v>
      </c>
      <c r="E305" s="147">
        <v>2.5</v>
      </c>
      <c r="F305" s="144">
        <v>128487.56</v>
      </c>
      <c r="G305" s="145">
        <f>SUM(Tabla936173055235763[[#This Row],[Prima Recibo vida]],Tabla936173055235763[[#This Row],[Prima Recibo gmm]])</f>
        <v>136682.23000000001</v>
      </c>
      <c r="I305" s="106" t="s">
        <v>74</v>
      </c>
      <c r="J305" s="106"/>
      <c r="K305" s="106" t="s">
        <v>100</v>
      </c>
    </row>
    <row r="306" spans="1:11" ht="13" x14ac:dyDescent="0.15">
      <c r="A306" s="99" t="s">
        <v>11</v>
      </c>
      <c r="B306" s="146">
        <f>SUM(Tabla936173055235763[[#This Row],[Vida]],Tabla936173055235763[[#This Row],[Gmm]])</f>
        <v>4</v>
      </c>
      <c r="C306" s="147">
        <v>4</v>
      </c>
      <c r="D306" s="144">
        <v>129982.73</v>
      </c>
      <c r="E306" s="147"/>
      <c r="F306" s="144"/>
      <c r="G306" s="145">
        <f>SUM(Tabla936173055235763[[#This Row],[Prima Recibo vida]],Tabla936173055235763[[#This Row],[Prima Recibo gmm]])</f>
        <v>129982.73</v>
      </c>
      <c r="I306" s="106" t="s">
        <v>59</v>
      </c>
      <c r="J306" s="106"/>
      <c r="K306" s="106" t="s">
        <v>107</v>
      </c>
    </row>
    <row r="307" spans="1:11" ht="13" x14ac:dyDescent="0.15">
      <c r="A307" s="99" t="s">
        <v>10</v>
      </c>
      <c r="B307" s="100">
        <f>SUM(Tabla936173055235763[[#This Row],[Vida]],Tabla936173055235763[[#This Row],[Gmm]])</f>
        <v>2</v>
      </c>
      <c r="C307" s="61">
        <v>1</v>
      </c>
      <c r="D307" s="144">
        <v>24281.47</v>
      </c>
      <c r="E307" s="61">
        <v>1</v>
      </c>
      <c r="F307" s="144">
        <v>35269.29</v>
      </c>
      <c r="G307" s="145">
        <f>SUM(Tabla936173055235763[[#This Row],[Prima Recibo vida]],Tabla936173055235763[[#This Row],[Prima Recibo gmm]])</f>
        <v>59550.76</v>
      </c>
      <c r="I307" s="106" t="s">
        <v>61</v>
      </c>
      <c r="J307" s="106"/>
      <c r="K307" s="106" t="s">
        <v>108</v>
      </c>
    </row>
    <row r="308" spans="1:11" ht="13" x14ac:dyDescent="0.15">
      <c r="A308" s="99" t="s">
        <v>37</v>
      </c>
      <c r="B308" s="100">
        <f>SUM(Tabla936173055235763[[#This Row],[Vida]],Tabla936173055235763[[#This Row],[Gmm]])</f>
        <v>1</v>
      </c>
      <c r="C308" s="61">
        <v>1</v>
      </c>
      <c r="D308" s="144">
        <v>56403.44</v>
      </c>
      <c r="E308" s="69"/>
      <c r="F308" s="144"/>
      <c r="G308" s="145">
        <f>SUM(Tabla936173055235763[[#This Row],[Prima Recibo vida]],Tabla936173055235763[[#This Row],[Prima Recibo gmm]])</f>
        <v>56403.44</v>
      </c>
      <c r="I308" s="106" t="s">
        <v>63</v>
      </c>
      <c r="J308" s="106"/>
      <c r="K308" s="106" t="s">
        <v>102</v>
      </c>
    </row>
    <row r="309" spans="1:11" ht="13" x14ac:dyDescent="0.15">
      <c r="A309" s="99" t="s">
        <v>39</v>
      </c>
      <c r="B309" s="100">
        <f>SUM(Tabla936173055235763[[#This Row],[Vida]],Tabla936173055235763[[#This Row],[Gmm]])</f>
        <v>2</v>
      </c>
      <c r="C309" s="61">
        <v>2</v>
      </c>
      <c r="D309" s="64">
        <v>45080.62</v>
      </c>
      <c r="E309" s="61"/>
      <c r="F309" s="64"/>
      <c r="G309" s="66">
        <f>SUM(Tabla936173055235763[[#This Row],[Prima Recibo vida]],Tabla936173055235763[[#This Row],[Prima Recibo gmm]])</f>
        <v>45080.62</v>
      </c>
      <c r="I309" s="106" t="s">
        <v>65</v>
      </c>
      <c r="J309" s="106"/>
      <c r="K309" s="106" t="s">
        <v>52</v>
      </c>
    </row>
    <row r="310" spans="1:11" ht="13" x14ac:dyDescent="0.15">
      <c r="A310" s="99" t="s">
        <v>60</v>
      </c>
      <c r="B310" s="100">
        <f>SUM(Tabla936173055235763[[#This Row],[Vida]],Tabla936173055235763[[#This Row],[Gmm]])</f>
        <v>1</v>
      </c>
      <c r="C310" s="61">
        <v>1</v>
      </c>
      <c r="D310" s="64">
        <v>42392.09</v>
      </c>
      <c r="E310" s="61"/>
      <c r="F310" s="64"/>
      <c r="G310" s="66">
        <f>SUM(Tabla936173055235763[[#This Row],[Prima Recibo vida]],Tabla936173055235763[[#This Row],[Prima Recibo gmm]])</f>
        <v>42392.09</v>
      </c>
      <c r="I310" s="106" t="s">
        <v>67</v>
      </c>
      <c r="J310" s="106"/>
      <c r="K310" s="106" t="s">
        <v>52</v>
      </c>
    </row>
    <row r="311" spans="1:11" ht="13" x14ac:dyDescent="0.15">
      <c r="A311" s="99" t="s">
        <v>13</v>
      </c>
      <c r="B311" s="100">
        <f>SUM(Tabla936173055235763[[#This Row],[Vida]],Tabla936173055235763[[#This Row],[Gmm]])</f>
        <v>2</v>
      </c>
      <c r="C311" s="61">
        <v>1</v>
      </c>
      <c r="D311" s="64">
        <v>2437.37</v>
      </c>
      <c r="E311" s="61">
        <v>1</v>
      </c>
      <c r="F311" s="64">
        <v>23909.1</v>
      </c>
      <c r="G311" s="118">
        <f>SUM(Tabla936173055235763[[#This Row],[Prima Recibo vida]],Tabla936173055235763[[#This Row],[Prima Recibo gmm]])</f>
        <v>26346.469999999998</v>
      </c>
      <c r="I311" s="106" t="s">
        <v>68</v>
      </c>
      <c r="J311" s="106"/>
      <c r="K311" s="106" t="s">
        <v>52</v>
      </c>
    </row>
    <row r="312" spans="1:11" ht="13" x14ac:dyDescent="0.15">
      <c r="A312" s="99" t="s">
        <v>98</v>
      </c>
      <c r="B312" s="100">
        <f>SUM(Tabla936173055235763[[#This Row],[Vida]],Tabla936173055235763[[#This Row],[Gmm]])</f>
        <v>0.5</v>
      </c>
      <c r="C312" s="61">
        <v>0</v>
      </c>
      <c r="D312" s="64">
        <v>0</v>
      </c>
      <c r="E312" s="61">
        <v>0.5</v>
      </c>
      <c r="F312" s="64">
        <v>23975.52</v>
      </c>
      <c r="G312" s="66">
        <f>SUM(Tabla936173055235763[[#This Row],[Prima Recibo vida]],Tabla936173055235763[[#This Row],[Prima Recibo gmm]])</f>
        <v>23975.52</v>
      </c>
      <c r="I312" s="133" t="s">
        <v>69</v>
      </c>
      <c r="J312" s="133"/>
      <c r="K312" s="106" t="s">
        <v>52</v>
      </c>
    </row>
    <row r="313" spans="1:11" ht="13" x14ac:dyDescent="0.15">
      <c r="A313" s="99" t="s">
        <v>19</v>
      </c>
      <c r="B313" s="100">
        <f>SUM(Tabla936173055235763[[#This Row],[Vida]],Tabla936173055235763[[#This Row],[Gmm]])</f>
        <v>0.5</v>
      </c>
      <c r="C313" s="61"/>
      <c r="D313" s="64"/>
      <c r="E313" s="61">
        <v>0.5</v>
      </c>
      <c r="F313" s="64">
        <v>23815.74</v>
      </c>
      <c r="G313" s="118">
        <f>SUM(Tabla936173055235763[[#This Row],[Prima Recibo vida]],Tabla936173055235763[[#This Row],[Prima Recibo gmm]])</f>
        <v>23815.74</v>
      </c>
    </row>
    <row r="314" spans="1:11" ht="13" x14ac:dyDescent="0.15">
      <c r="A314" s="99" t="s">
        <v>21</v>
      </c>
      <c r="B314" s="100">
        <f>SUM(Tabla936173055235763[[#This Row],[Vida]],Tabla936173055235763[[#This Row],[Gmm]])</f>
        <v>0.5</v>
      </c>
      <c r="C314" s="61"/>
      <c r="D314" s="64"/>
      <c r="E314" s="61">
        <v>0.5</v>
      </c>
      <c r="F314" s="64">
        <v>21775.64</v>
      </c>
      <c r="G314" s="118">
        <f>SUM(Tabla936173055235763[[#This Row],[Prima Recibo vida]],Tabla936173055235763[[#This Row],[Prima Recibo gmm]])</f>
        <v>21775.64</v>
      </c>
    </row>
    <row r="315" spans="1:11" ht="13" x14ac:dyDescent="0.15">
      <c r="A315" s="99" t="s">
        <v>85</v>
      </c>
      <c r="B315" s="100">
        <f>SUM(Tabla936173055235763[[#This Row],[Vida]],Tabla936173055235763[[#This Row],[Gmm]])</f>
        <v>1</v>
      </c>
      <c r="C315" s="61">
        <v>1</v>
      </c>
      <c r="D315" s="64">
        <v>19468.21</v>
      </c>
      <c r="E315" s="61"/>
      <c r="F315" s="64"/>
      <c r="G315" s="66">
        <f>SUM(Tabla936173055235763[[#This Row],[Prima Recibo vida]],Tabla936173055235763[[#This Row],[Prima Recibo gmm]])</f>
        <v>19468.21</v>
      </c>
    </row>
    <row r="316" spans="1:11" ht="13" x14ac:dyDescent="0.15">
      <c r="A316" s="99" t="s">
        <v>71</v>
      </c>
      <c r="B316" s="100">
        <f>SUM(Tabla936173055235763[[#This Row],[Vida]],Tabla936173055235763[[#This Row],[Gmm]])</f>
        <v>1</v>
      </c>
      <c r="C316" s="61">
        <v>0</v>
      </c>
      <c r="D316" s="64">
        <v>0</v>
      </c>
      <c r="E316" s="61">
        <v>1</v>
      </c>
      <c r="F316" s="64">
        <v>17786.009999999998</v>
      </c>
      <c r="G316" s="118">
        <f>SUM(Tabla936173055235763[[#This Row],[Prima Recibo vida]],Tabla936173055235763[[#This Row],[Prima Recibo gmm]])</f>
        <v>17786.009999999998</v>
      </c>
    </row>
    <row r="317" spans="1:11" ht="13" x14ac:dyDescent="0.15">
      <c r="A317" s="99" t="s">
        <v>27</v>
      </c>
      <c r="B317" s="146">
        <f>SUM(Tabla936173055235763[[#This Row],[Vida]],Tabla936173055235763[[#This Row],[Gmm]])</f>
        <v>3</v>
      </c>
      <c r="C317" s="147">
        <v>3</v>
      </c>
      <c r="D317" s="64">
        <v>16032.5</v>
      </c>
      <c r="E317" s="147"/>
      <c r="F317" s="64"/>
      <c r="G317" s="66">
        <f>SUM(Tabla936173055235763[[#This Row],[Prima Recibo vida]],Tabla936173055235763[[#This Row],[Prima Recibo gmm]])</f>
        <v>16032.5</v>
      </c>
    </row>
    <row r="318" spans="1:11" ht="13" x14ac:dyDescent="0.15">
      <c r="A318" s="99" t="s">
        <v>35</v>
      </c>
      <c r="B318" s="100">
        <f>SUM(Tabla936173055235763[[#This Row],[Vida]],Tabla936173055235763[[#This Row],[Gmm]])</f>
        <v>0.5</v>
      </c>
      <c r="C318" s="61">
        <v>0</v>
      </c>
      <c r="D318" s="64">
        <v>0</v>
      </c>
      <c r="E318" s="61">
        <v>0.5</v>
      </c>
      <c r="F318" s="64">
        <v>15180.1</v>
      </c>
      <c r="G318" s="66">
        <f>SUM(Tabla936173055235763[[#This Row],[Prima Recibo vida]],Tabla936173055235763[[#This Row],[Prima Recibo gmm]])</f>
        <v>15180.1</v>
      </c>
    </row>
    <row r="319" spans="1:11" x14ac:dyDescent="0.15">
      <c r="A319" s="99" t="s">
        <v>109</v>
      </c>
      <c r="B319" s="100">
        <f>SUM(Tabla936173055235763[[#This Row],[Vida]],Tabla936173055235763[[#This Row],[Gmm]])</f>
        <v>0.5</v>
      </c>
      <c r="C319" s="61"/>
      <c r="D319" s="64"/>
      <c r="E319" s="61">
        <v>0.5</v>
      </c>
      <c r="F319" s="64">
        <v>14297.8</v>
      </c>
      <c r="G319" s="70">
        <f>SUM(Tabla936173055235763[[#This Row],[Prima Recibo vida]],Tabla936173055235763[[#This Row],[Prima Recibo gmm]])</f>
        <v>14297.8</v>
      </c>
    </row>
    <row r="320" spans="1:11" ht="13" x14ac:dyDescent="0.15">
      <c r="A320" s="99" t="s">
        <v>105</v>
      </c>
      <c r="B320" s="100">
        <f>SUM(Tabla936173055235763[[#This Row],[Vida]],Tabla936173055235763[[#This Row],[Gmm]])</f>
        <v>0.5</v>
      </c>
      <c r="C320" s="61">
        <v>0</v>
      </c>
      <c r="D320" s="64">
        <v>0</v>
      </c>
      <c r="E320" s="61">
        <v>0.5</v>
      </c>
      <c r="F320" s="64">
        <v>14039.92</v>
      </c>
      <c r="G320" s="118">
        <f>SUM(Tabla936173055235763[[#This Row],[Prima Recibo vida]],Tabla936173055235763[[#This Row],[Prima Recibo gmm]])</f>
        <v>14039.92</v>
      </c>
    </row>
    <row r="321" spans="1:7" ht="13" x14ac:dyDescent="0.15">
      <c r="A321" s="99" t="s">
        <v>25</v>
      </c>
      <c r="B321" s="100">
        <f>SUM(Tabla936173055235763[[#This Row],[Vida]],Tabla936173055235763[[#This Row],[Gmm]])</f>
        <v>1</v>
      </c>
      <c r="C321" s="61">
        <v>1</v>
      </c>
      <c r="D321" s="64">
        <v>10598.48</v>
      </c>
      <c r="E321" s="61"/>
      <c r="F321" s="64"/>
      <c r="G321" s="66">
        <f>SUM(Tabla936173055235763[[#This Row],[Prima Recibo vida]],Tabla936173055235763[[#This Row],[Prima Recibo gmm]])</f>
        <v>10598.48</v>
      </c>
    </row>
    <row r="322" spans="1:7" ht="13" x14ac:dyDescent="0.15">
      <c r="A322" s="99" t="s">
        <v>110</v>
      </c>
      <c r="B322" s="100">
        <f>SUM(Tabla936173055235763[[#This Row],[Vida]],Tabla936173055235763[[#This Row],[Gmm]])</f>
        <v>2</v>
      </c>
      <c r="C322" s="61">
        <v>2</v>
      </c>
      <c r="D322" s="64">
        <v>9496.73</v>
      </c>
      <c r="E322" s="69"/>
      <c r="F322" s="150"/>
      <c r="G322" s="118">
        <f>SUM(Tabla936173055235763[[#This Row],[Prima Recibo vida]],Tabla936173055235763[[#This Row],[Prima Recibo gmm]])</f>
        <v>9496.73</v>
      </c>
    </row>
    <row r="323" spans="1:7" ht="13" x14ac:dyDescent="0.15">
      <c r="A323" s="99" t="s">
        <v>15</v>
      </c>
      <c r="B323" s="100">
        <f>SUM(Tabla936173055235763[[#This Row],[Vida]],Tabla936173055235763[[#This Row],[Gmm]])</f>
        <v>1.5</v>
      </c>
      <c r="C323" s="61">
        <v>1</v>
      </c>
      <c r="D323" s="64">
        <v>1606.73</v>
      </c>
      <c r="E323" s="61">
        <v>0.5</v>
      </c>
      <c r="F323" s="64">
        <v>4200.3100000000004</v>
      </c>
      <c r="G323" s="66">
        <f>SUM(Tabla936173055235763[[#This Row],[Prima Recibo vida]],Tabla936173055235763[[#This Row],[Prima Recibo gmm]])</f>
        <v>5807.0400000000009</v>
      </c>
    </row>
    <row r="324" spans="1:7" ht="13" x14ac:dyDescent="0.15">
      <c r="A324" s="99" t="s">
        <v>30</v>
      </c>
      <c r="B324" s="100">
        <f>SUM(Tabla936173055235763[[#This Row],[Vida]],Tabla936173055235763[[#This Row],[Gmm]])</f>
        <v>1</v>
      </c>
      <c r="C324" s="61">
        <v>1</v>
      </c>
      <c r="D324" s="64">
        <v>5485</v>
      </c>
      <c r="E324" s="61"/>
      <c r="F324" s="64"/>
      <c r="G324" s="118">
        <f>SUM(Tabla936173055235763[[#This Row],[Prima Recibo vida]],Tabla936173055235763[[#This Row],[Prima Recibo gmm]])</f>
        <v>5485</v>
      </c>
    </row>
    <row r="325" spans="1:7" ht="13" x14ac:dyDescent="0.15">
      <c r="A325" s="99" t="s">
        <v>111</v>
      </c>
      <c r="B325" s="100">
        <f>SUM(Tabla936173055235763[[#This Row],[Vida]],Tabla936173055235763[[#This Row],[Gmm]])</f>
        <v>1</v>
      </c>
      <c r="C325" s="61">
        <v>1</v>
      </c>
      <c r="D325" s="64">
        <v>4935.1899999999996</v>
      </c>
      <c r="E325" s="69"/>
      <c r="F325" s="150"/>
      <c r="G325" s="118">
        <f>SUM(Tabla936173055235763[[#This Row],[Prima Recibo vida]],Tabla936173055235763[[#This Row],[Prima Recibo gmm]])</f>
        <v>4935.1899999999996</v>
      </c>
    </row>
    <row r="326" spans="1:7" ht="13" x14ac:dyDescent="0.15">
      <c r="A326" s="99" t="s">
        <v>41</v>
      </c>
      <c r="B326" s="100">
        <f>SUM(Tabla936173055235763[[#This Row],[Vida]],Tabla936173055235763[[#This Row],[Gmm]])</f>
        <v>1</v>
      </c>
      <c r="C326" s="61">
        <v>1</v>
      </c>
      <c r="D326" s="64">
        <v>2324.7399999999998</v>
      </c>
      <c r="E326" s="61"/>
      <c r="F326" s="64"/>
      <c r="G326" s="118">
        <f>SUM(Tabla936173055235763[[#This Row],[Prima Recibo vida]],Tabla936173055235763[[#This Row],[Prima Recibo gmm]])</f>
        <v>2324.7399999999998</v>
      </c>
    </row>
    <row r="327" spans="1:7" ht="13" x14ac:dyDescent="0.15">
      <c r="A327" s="99" t="s">
        <v>38</v>
      </c>
      <c r="B327" s="100">
        <f>SUM(Tabla936173055235763[[#This Row],[Vida]],Tabla936173055235763[[#This Row],[Gmm]])</f>
        <v>1</v>
      </c>
      <c r="C327" s="61">
        <v>1</v>
      </c>
      <c r="D327" s="64">
        <v>1775.96</v>
      </c>
      <c r="E327" s="69"/>
      <c r="F327" s="150"/>
      <c r="G327" s="118">
        <f>SUM(Tabla936173055235763[[#This Row],[Prima Recibo vida]],Tabla936173055235763[[#This Row],[Prima Recibo gmm]])</f>
        <v>1775.96</v>
      </c>
    </row>
    <row r="328" spans="1:7" ht="13" x14ac:dyDescent="0.15">
      <c r="A328" s="99" t="s">
        <v>32</v>
      </c>
      <c r="B328" s="100">
        <f>SUM(Tabla936173055235763[[#This Row],[Vida]],Tabla936173055235763[[#This Row],[Gmm]])</f>
        <v>1</v>
      </c>
      <c r="C328" s="61">
        <v>1</v>
      </c>
      <c r="D328" s="64">
        <v>1686.99</v>
      </c>
      <c r="E328" s="151"/>
      <c r="F328" s="150"/>
      <c r="G328" s="118">
        <f>SUM(Tabla936173055235763[[#This Row],[Prima Recibo vida]],Tabla936173055235763[[#This Row],[Prima Recibo gmm]])</f>
        <v>1686.99</v>
      </c>
    </row>
    <row r="329" spans="1:7" ht="13" x14ac:dyDescent="0.15">
      <c r="A329" s="99" t="s">
        <v>29</v>
      </c>
      <c r="B329" s="100">
        <f>SUM(Tabla936173055235763[[#This Row],[Vida]],Tabla936173055235763[[#This Row],[Gmm]])</f>
        <v>0.5</v>
      </c>
      <c r="C329" s="61">
        <v>0</v>
      </c>
      <c r="D329" s="64">
        <v>0</v>
      </c>
      <c r="E329" s="61">
        <v>0.5</v>
      </c>
      <c r="F329" s="64">
        <v>1626.61</v>
      </c>
      <c r="G329" s="118">
        <f>SUM(Tabla936173055235763[[#This Row],[Prima Recibo vida]],Tabla936173055235763[[#This Row],[Prima Recibo gmm]])</f>
        <v>1626.61</v>
      </c>
    </row>
    <row r="330" spans="1:7" ht="13" x14ac:dyDescent="0.15">
      <c r="A330" s="99" t="s">
        <v>97</v>
      </c>
      <c r="B330" s="100">
        <f>SUM(Tabla936173055235763[[#This Row],[Vida]],Tabla936173055235763[[#This Row],[Gmm]])</f>
        <v>1</v>
      </c>
      <c r="C330" s="61">
        <v>1</v>
      </c>
      <c r="D330" s="64">
        <v>1471.81</v>
      </c>
      <c r="E330" s="61"/>
      <c r="F330" s="64"/>
      <c r="G330" s="118">
        <f>SUM(Tabla936173055235763[[#This Row],[Prima Recibo vida]],Tabla936173055235763[[#This Row],[Prima Recibo gmm]])</f>
        <v>1471.81</v>
      </c>
    </row>
    <row r="331" spans="1:7" ht="13" x14ac:dyDescent="0.15">
      <c r="A331" s="99" t="s">
        <v>70</v>
      </c>
      <c r="B331" s="100">
        <f>SUM(Tabla936173055235763[[#This Row],[Vida]],Tabla936173055235763[[#This Row],[Gmm]])</f>
        <v>1</v>
      </c>
      <c r="C331" s="61">
        <v>1</v>
      </c>
      <c r="D331" s="64">
        <v>1462.59</v>
      </c>
      <c r="E331" s="61"/>
      <c r="F331" s="64"/>
      <c r="G331" s="66">
        <f>SUM(Tabla936173055235763[[#This Row],[Prima Recibo vida]],Tabla936173055235763[[#This Row],[Prima Recibo gmm]])</f>
        <v>1462.59</v>
      </c>
    </row>
    <row r="332" spans="1:7" ht="13" x14ac:dyDescent="0.15">
      <c r="A332" s="99" t="s">
        <v>28</v>
      </c>
      <c r="B332" s="124">
        <f>SUM(Tabla936173055235763[[#This Row],[Vida]],Tabla936173055235763[[#This Row],[Gmm]])</f>
        <v>0</v>
      </c>
      <c r="C332" s="72">
        <v>0</v>
      </c>
      <c r="D332" s="73">
        <v>0</v>
      </c>
      <c r="E332" s="72"/>
      <c r="F332" s="73"/>
      <c r="G332" s="76">
        <f>SUM(Tabla936173055235763[[#This Row],[Prima Recibo vida]],Tabla936173055235763[[#This Row],[Prima Recibo gmm]])</f>
        <v>0</v>
      </c>
    </row>
    <row r="333" spans="1:7" ht="13" x14ac:dyDescent="0.15">
      <c r="A333" s="99" t="s">
        <v>12</v>
      </c>
      <c r="B333" s="124">
        <f>SUM(Tabla936173055235763[[#This Row],[Vida]],Tabla936173055235763[[#This Row],[Gmm]])</f>
        <v>0</v>
      </c>
      <c r="C333" s="72">
        <v>0</v>
      </c>
      <c r="D333" s="73">
        <v>0</v>
      </c>
      <c r="E333" s="72"/>
      <c r="F333" s="73"/>
      <c r="G333" s="76">
        <f>SUM(Tabla936173055235763[[#This Row],[Prima Recibo vida]],Tabla936173055235763[[#This Row],[Prima Recibo gmm]])</f>
        <v>0</v>
      </c>
    </row>
    <row r="334" spans="1:7" ht="13" x14ac:dyDescent="0.15">
      <c r="A334" s="99" t="s">
        <v>36</v>
      </c>
      <c r="B334" s="124">
        <f>SUM(Tabla936173055235763[[#This Row],[Vida]],Tabla936173055235763[[#This Row],[Gmm]])</f>
        <v>0</v>
      </c>
      <c r="C334" s="72">
        <v>0</v>
      </c>
      <c r="D334" s="73">
        <v>0</v>
      </c>
      <c r="E334" s="72"/>
      <c r="F334" s="73"/>
      <c r="G334" s="76">
        <f>SUM(Tabla936173055235763[[#This Row],[Prima Recibo vida]],Tabla936173055235763[[#This Row],[Prima Recibo gmm]])</f>
        <v>0</v>
      </c>
    </row>
    <row r="335" spans="1:7" ht="13" x14ac:dyDescent="0.15">
      <c r="A335" s="99" t="s">
        <v>26</v>
      </c>
      <c r="B335" s="124">
        <f>SUM(Tabla936173055235763[[#This Row],[Vida]],Tabla936173055235763[[#This Row],[Gmm]])</f>
        <v>0</v>
      </c>
      <c r="C335" s="72">
        <v>0</v>
      </c>
      <c r="D335" s="73">
        <v>0</v>
      </c>
      <c r="E335" s="72"/>
      <c r="F335" s="73"/>
      <c r="G335" s="77">
        <f>SUM(Tabla936173055235763[[#This Row],[Prima Recibo vida]],Tabla936173055235763[[#This Row],[Prima Recibo gmm]])</f>
        <v>0</v>
      </c>
    </row>
    <row r="336" spans="1:7" ht="13" x14ac:dyDescent="0.15">
      <c r="A336" s="99" t="s">
        <v>16</v>
      </c>
      <c r="B336" s="124">
        <f>SUM(Tabla936173055235763[[#This Row],[Vida]],Tabla936173055235763[[#This Row],[Gmm]])</f>
        <v>0</v>
      </c>
      <c r="C336" s="72">
        <v>0</v>
      </c>
      <c r="D336" s="73">
        <v>0</v>
      </c>
      <c r="E336" s="74"/>
      <c r="F336" s="125"/>
      <c r="G336" s="77">
        <f>SUM(Tabla936173055235763[[#This Row],[Prima Recibo vida]],Tabla936173055235763[[#This Row],[Prima Recibo gmm]])</f>
        <v>0</v>
      </c>
    </row>
    <row r="337" spans="1:16" ht="13" x14ac:dyDescent="0.15">
      <c r="A337" s="99" t="s">
        <v>14</v>
      </c>
      <c r="B337" s="124">
        <f>SUM(Tabla936173055235763[[#This Row],[Vida]],Tabla936173055235763[[#This Row],[Gmm]])</f>
        <v>0</v>
      </c>
      <c r="C337" s="72">
        <v>0</v>
      </c>
      <c r="D337" s="73">
        <v>0</v>
      </c>
      <c r="E337" s="72"/>
      <c r="F337" s="73"/>
      <c r="G337" s="77">
        <f>SUM(Tabla936173055235763[[#This Row],[Prima Recibo vida]],Tabla936173055235763[[#This Row],[Prima Recibo gmm]])</f>
        <v>0</v>
      </c>
    </row>
    <row r="338" spans="1:16" ht="13" x14ac:dyDescent="0.15">
      <c r="A338" s="99" t="s">
        <v>72</v>
      </c>
      <c r="B338" s="124">
        <f>SUM(Tabla936173055235763[[#This Row],[Vida]],Tabla936173055235763[[#This Row],[Gmm]])</f>
        <v>0</v>
      </c>
      <c r="C338" s="72">
        <v>0</v>
      </c>
      <c r="D338" s="73">
        <v>0</v>
      </c>
      <c r="E338" s="72"/>
      <c r="F338" s="73"/>
      <c r="G338" s="76">
        <f>SUM(Tabla936173055235763[[#This Row],[Prima Recibo vida]],Tabla936173055235763[[#This Row],[Prima Recibo gmm]])</f>
        <v>0</v>
      </c>
    </row>
    <row r="339" spans="1:16" ht="13" x14ac:dyDescent="0.15">
      <c r="A339" s="99" t="s">
        <v>34</v>
      </c>
      <c r="B339" s="124">
        <f>SUM(Tabla936173055235763[[#This Row],[Vida]],Tabla936173055235763[[#This Row],[Gmm]])</f>
        <v>0</v>
      </c>
      <c r="C339" s="72">
        <v>0</v>
      </c>
      <c r="D339" s="73">
        <v>0</v>
      </c>
      <c r="E339" s="72"/>
      <c r="F339" s="73"/>
      <c r="G339" s="77">
        <f>SUM(Tabla936173055235763[[#This Row],[Prima Recibo vida]],Tabla936173055235763[[#This Row],[Prima Recibo gmm]])</f>
        <v>0</v>
      </c>
    </row>
    <row r="340" spans="1:16" x14ac:dyDescent="0.15">
      <c r="A340" s="99" t="s">
        <v>33</v>
      </c>
      <c r="B340" s="124">
        <f>SUM(Tabla936173055235763[[#This Row],[Vida]],Tabla936173055235763[[#This Row],[Gmm]])</f>
        <v>0</v>
      </c>
      <c r="C340" s="72">
        <v>0</v>
      </c>
      <c r="D340" s="73">
        <v>0</v>
      </c>
      <c r="E340" s="72"/>
      <c r="F340" s="73"/>
      <c r="G340" s="79">
        <f>SUM(Tabla936173055235763[[#This Row],[Prima Recibo vida]],Tabla936173055235763[[#This Row],[Prima Recibo gmm]])</f>
        <v>0</v>
      </c>
    </row>
    <row r="341" spans="1:16" ht="13" x14ac:dyDescent="0.15">
      <c r="A341" s="99" t="s">
        <v>43</v>
      </c>
      <c r="B341" s="124">
        <f>SUM(Tabla936173055235763[[#This Row],[Vida]],Tabla936173055235763[[#This Row],[Gmm]])</f>
        <v>0</v>
      </c>
      <c r="C341" s="72">
        <v>0</v>
      </c>
      <c r="D341" s="73">
        <v>0</v>
      </c>
      <c r="E341" s="74"/>
      <c r="F341" s="125"/>
      <c r="G341" s="77">
        <f>SUM(Tabla936173055235763[[#This Row],[Prima Recibo vida]],Tabla936173055235763[[#This Row],[Prima Recibo gmm]])</f>
        <v>0</v>
      </c>
    </row>
    <row r="342" spans="1:16" ht="13" x14ac:dyDescent="0.15">
      <c r="A342" s="99" t="s">
        <v>49</v>
      </c>
      <c r="B342" s="124">
        <f>SUM(Tabla936173055235763[[#This Row],[Vida]],Tabla936173055235763[[#This Row],[Gmm]])</f>
        <v>0</v>
      </c>
      <c r="C342" s="72">
        <v>0</v>
      </c>
      <c r="D342" s="73">
        <v>0</v>
      </c>
      <c r="E342" s="72"/>
      <c r="F342" s="73"/>
      <c r="G342" s="77">
        <f>SUM(Tabla936173055235763[[#This Row],[Prima Recibo vida]],Tabla936173055235763[[#This Row],[Prima Recibo gmm]])</f>
        <v>0</v>
      </c>
    </row>
    <row r="343" spans="1:16" ht="13" x14ac:dyDescent="0.15">
      <c r="A343" s="99" t="s">
        <v>24</v>
      </c>
      <c r="B343" s="124">
        <f>SUM(Tabla936173055235763[[#This Row],[Vida]],Tabla936173055235763[[#This Row],[Gmm]])</f>
        <v>0</v>
      </c>
      <c r="C343" s="72">
        <v>0</v>
      </c>
      <c r="D343" s="73">
        <v>0</v>
      </c>
      <c r="E343" s="72"/>
      <c r="F343" s="73"/>
      <c r="G343" s="76">
        <f>SUM(Tabla936173055235763[[#This Row],[Prima Recibo vida]],Tabla936173055235763[[#This Row],[Prima Recibo gmm]])</f>
        <v>0</v>
      </c>
      <c r="H343" s="103"/>
      <c r="I343" s="113"/>
      <c r="J343" s="113"/>
      <c r="K343" s="103"/>
    </row>
    <row r="344" spans="1:16" x14ac:dyDescent="0.15">
      <c r="A344" s="99" t="s">
        <v>17</v>
      </c>
      <c r="B344" s="124">
        <f>SUM(Tabla936173055235763[[#This Row],[Vida]],Tabla936173055235763[[#This Row],[Gmm]])</f>
        <v>0</v>
      </c>
      <c r="C344" s="72">
        <v>0</v>
      </c>
      <c r="D344" s="73">
        <v>0</v>
      </c>
      <c r="E344" s="72"/>
      <c r="F344" s="73"/>
      <c r="G344" s="79">
        <f>SUM(Tabla936173055235763[[#This Row],[Prima Recibo vida]],Tabla936173055235763[[#This Row],[Prima Recibo gmm]])</f>
        <v>0</v>
      </c>
    </row>
    <row r="345" spans="1:16" x14ac:dyDescent="0.15">
      <c r="A345" s="99" t="s">
        <v>22</v>
      </c>
      <c r="B345" s="124">
        <f>SUM(Tabla936173055235763[[#This Row],[Vida]],Tabla936173055235763[[#This Row],[Gmm]])</f>
        <v>0</v>
      </c>
      <c r="C345" s="72">
        <v>0</v>
      </c>
      <c r="D345" s="73">
        <v>0</v>
      </c>
      <c r="E345" s="72"/>
      <c r="F345" s="73"/>
      <c r="G345" s="79">
        <f>SUM(Tabla936173055235763[[#This Row],[Prima Recibo vida]],Tabla936173055235763[[#This Row],[Prima Recibo gmm]])</f>
        <v>0</v>
      </c>
    </row>
    <row r="346" spans="1:16" ht="13" x14ac:dyDescent="0.15">
      <c r="A346" s="99" t="s">
        <v>44</v>
      </c>
      <c r="B346" s="124">
        <f>SUM(Tabla936173055235763[[#This Row],[Vida]],Tabla936173055235763[[#This Row],[Gmm]])</f>
        <v>0</v>
      </c>
      <c r="C346" s="72">
        <v>0</v>
      </c>
      <c r="D346" s="73">
        <v>0</v>
      </c>
      <c r="E346" s="74"/>
      <c r="F346" s="73"/>
      <c r="G346" s="76">
        <f>SUM(Tabla936173055235763[[#This Row],[Prima Recibo vida]],Tabla936173055235763[[#This Row],[Prima Recibo gmm]])</f>
        <v>0</v>
      </c>
    </row>
    <row r="347" spans="1:16" ht="13" x14ac:dyDescent="0.15">
      <c r="A347" s="99" t="s">
        <v>112</v>
      </c>
      <c r="B347" s="124">
        <f>SUM(Tabla936173055235763[[#This Row],[Vida]],Tabla936173055235763[[#This Row],[Gmm]])</f>
        <v>0</v>
      </c>
      <c r="C347" s="72">
        <v>0</v>
      </c>
      <c r="D347" s="73">
        <v>0</v>
      </c>
      <c r="E347" s="74"/>
      <c r="F347" s="125"/>
      <c r="G347" s="77">
        <f>SUM(Tabla936173055235763[[#This Row],[Prima Recibo vida]],Tabla936173055235763[[#This Row],[Prima Recibo gmm]])</f>
        <v>0</v>
      </c>
    </row>
    <row r="348" spans="1:16" ht="13" x14ac:dyDescent="0.15">
      <c r="A348" s="43" t="s">
        <v>50</v>
      </c>
      <c r="B348" s="152">
        <f>SUM(Tabla936173055235763[[Pólizas ]])</f>
        <v>38.5</v>
      </c>
      <c r="C348" s="153">
        <f>SUM(Tabla936173055235763[Vida])</f>
        <v>29</v>
      </c>
      <c r="D348" s="154">
        <f>SUM(Tabla936173055235763[Prima Recibo vida])</f>
        <v>561453.22</v>
      </c>
      <c r="E348" s="155">
        <f>SUM(Tabla936173055235763[Gmm])</f>
        <v>9.5</v>
      </c>
      <c r="F348" s="154">
        <f>SUM(Tabla936173055235763[Prima Recibo gmm])</f>
        <v>324363.59999999992</v>
      </c>
      <c r="G348" s="154">
        <f>SUM(Tabla936173055235763[Prima total])</f>
        <v>885816.82</v>
      </c>
    </row>
    <row r="349" spans="1:16" ht="13" x14ac:dyDescent="0.15">
      <c r="D349" s="1"/>
      <c r="E349" s="1"/>
      <c r="G349" s="1"/>
    </row>
    <row r="350" spans="1:16" ht="13" x14ac:dyDescent="0.15">
      <c r="D350" s="1"/>
      <c r="E350" s="1"/>
      <c r="G350" s="1"/>
      <c r="I350" s="112"/>
      <c r="J350" s="112"/>
    </row>
    <row r="351" spans="1:16" ht="13" x14ac:dyDescent="0.15">
      <c r="D351" s="1"/>
      <c r="E351" s="1"/>
      <c r="G351" s="1"/>
    </row>
    <row r="352" spans="1:16" ht="13" x14ac:dyDescent="0.15">
      <c r="D352" s="1"/>
      <c r="E352" s="1"/>
      <c r="G352" s="1"/>
      <c r="K352" s="112"/>
      <c r="L352" s="112"/>
      <c r="M352" s="112"/>
      <c r="N352" s="112"/>
      <c r="O352" s="112"/>
      <c r="P352" s="112"/>
    </row>
    <row r="353" spans="1:16" x14ac:dyDescent="0.15">
      <c r="A353" s="320" t="s">
        <v>113</v>
      </c>
      <c r="B353" s="320"/>
      <c r="C353" s="320"/>
      <c r="D353" s="320"/>
      <c r="E353" s="320"/>
      <c r="F353" s="320"/>
      <c r="G353" s="320"/>
      <c r="H353" s="320"/>
    </row>
    <row r="354" spans="1:16" ht="28" x14ac:dyDescent="0.15">
      <c r="A354" s="2" t="s">
        <v>1</v>
      </c>
      <c r="B354" s="3" t="s">
        <v>2</v>
      </c>
      <c r="C354" s="3" t="s">
        <v>3</v>
      </c>
      <c r="D354" s="4" t="s">
        <v>88</v>
      </c>
      <c r="E354" s="5" t="s">
        <v>5</v>
      </c>
      <c r="F354" s="3" t="s">
        <v>89</v>
      </c>
      <c r="G354" s="6" t="s">
        <v>7</v>
      </c>
    </row>
    <row r="355" spans="1:16" s="112" customFormat="1" ht="13" x14ac:dyDescent="0.15">
      <c r="A355" s="99" t="s">
        <v>52</v>
      </c>
      <c r="B355" s="146">
        <f>SUM(Tabla93617305523576390[[#This Row],[Vida]],Tabla93617305523576390[[#This Row],[Gmm]])</f>
        <v>5</v>
      </c>
      <c r="C355" s="147">
        <v>4</v>
      </c>
      <c r="D355" s="144">
        <v>410410.29</v>
      </c>
      <c r="E355" s="147">
        <v>1</v>
      </c>
      <c r="F355" s="144">
        <v>69329.61</v>
      </c>
      <c r="G355" s="145">
        <f>SUM(Tabla93617305523576390[[#This Row],[Prima Recibo vida]],Tabla93617305523576390[[#This Row],[Prima Recibo gmm]])</f>
        <v>479739.89999999997</v>
      </c>
      <c r="H355" s="1"/>
      <c r="I355" s="1" t="s">
        <v>56</v>
      </c>
      <c r="J355" s="1"/>
      <c r="K355" s="1"/>
      <c r="L355" s="103"/>
      <c r="M355" s="1"/>
      <c r="N355" s="1"/>
      <c r="O355" s="1"/>
      <c r="P355" s="1"/>
    </row>
    <row r="356" spans="1:16" ht="13" x14ac:dyDescent="0.15">
      <c r="A356" s="99" t="s">
        <v>60</v>
      </c>
      <c r="B356" s="146">
        <f>SUM(Tabla93617305523576390[[#This Row],[Vida]],Tabla93617305523576390[[#This Row],[Gmm]])</f>
        <v>6.5</v>
      </c>
      <c r="C356" s="147">
        <v>6</v>
      </c>
      <c r="D356" s="144">
        <v>94162.54</v>
      </c>
      <c r="E356" s="147">
        <v>0.5</v>
      </c>
      <c r="F356" s="144">
        <v>30870.21</v>
      </c>
      <c r="G356" s="145">
        <f>SUM(Tabla93617305523576390[[#This Row],[Prima Recibo vida]],Tabla93617305523576390[[#This Row],[Prima Recibo gmm]])</f>
        <v>125032.75</v>
      </c>
      <c r="I356" s="106" t="s">
        <v>74</v>
      </c>
      <c r="J356" s="106"/>
      <c r="K356" s="106" t="s">
        <v>114</v>
      </c>
      <c r="L356" s="103"/>
    </row>
    <row r="357" spans="1:16" ht="13" x14ac:dyDescent="0.15">
      <c r="A357" s="99" t="s">
        <v>71</v>
      </c>
      <c r="B357" s="100">
        <f>SUM(Tabla93617305523576390[[#This Row],[Vida]],Tabla93617305523576390[[#This Row],[Gmm]])</f>
        <v>1</v>
      </c>
      <c r="C357" s="61">
        <v>0</v>
      </c>
      <c r="D357" s="144">
        <v>0</v>
      </c>
      <c r="E357" s="61">
        <v>1</v>
      </c>
      <c r="F357" s="144">
        <v>113285.14</v>
      </c>
      <c r="G357" s="145">
        <f>SUM(Tabla93617305523576390[[#This Row],[Prima Recibo vida]],Tabla93617305523576390[[#This Row],[Prima Recibo gmm]])</f>
        <v>113285.14</v>
      </c>
      <c r="I357" s="106" t="s">
        <v>59</v>
      </c>
      <c r="J357" s="106"/>
      <c r="K357" s="106" t="s">
        <v>115</v>
      </c>
      <c r="L357" s="103"/>
    </row>
    <row r="358" spans="1:16" ht="13" x14ac:dyDescent="0.15">
      <c r="A358" s="99" t="s">
        <v>116</v>
      </c>
      <c r="B358" s="100">
        <f>SUM(Tabla93617305523576390[[#This Row],[Vida]],Tabla93617305523576390[[#This Row],[Gmm]])</f>
        <v>2</v>
      </c>
      <c r="C358" s="61">
        <v>2</v>
      </c>
      <c r="D358" s="144">
        <v>90671.22</v>
      </c>
      <c r="E358" s="61"/>
      <c r="F358" s="144"/>
      <c r="G358" s="145">
        <f>SUM(Tabla93617305523576390[[#This Row],[Prima Recibo vida]],Tabla93617305523576390[[#This Row],[Prima Recibo gmm]])</f>
        <v>90671.22</v>
      </c>
      <c r="I358" s="106" t="s">
        <v>61</v>
      </c>
      <c r="J358" s="106"/>
      <c r="K358" s="106" t="s">
        <v>117</v>
      </c>
      <c r="L358" s="103"/>
    </row>
    <row r="359" spans="1:16" ht="13" x14ac:dyDescent="0.15">
      <c r="A359" s="99" t="s">
        <v>32</v>
      </c>
      <c r="B359" s="146">
        <f>SUM(Tabla93617305523576390[[#This Row],[Vida]],Tabla93617305523576390[[#This Row],[Gmm]])</f>
        <v>3.5</v>
      </c>
      <c r="C359" s="147">
        <v>3</v>
      </c>
      <c r="D359" s="144">
        <v>52926.19</v>
      </c>
      <c r="E359" s="147">
        <v>0.5</v>
      </c>
      <c r="F359" s="144">
        <v>19962.11</v>
      </c>
      <c r="G359" s="145">
        <f>SUM(Tabla93617305523576390[[#This Row],[Prima Recibo vida]],Tabla93617305523576390[[#This Row],[Prima Recibo gmm]])</f>
        <v>72888.3</v>
      </c>
      <c r="I359" s="106" t="s">
        <v>63</v>
      </c>
      <c r="J359" s="106"/>
      <c r="K359" s="106" t="s">
        <v>118</v>
      </c>
      <c r="L359" s="103"/>
    </row>
    <row r="360" spans="1:16" ht="13" x14ac:dyDescent="0.15">
      <c r="A360" s="99" t="s">
        <v>11</v>
      </c>
      <c r="B360" s="100">
        <f>SUM(Tabla93617305523576390[[#This Row],[Vida]],Tabla93617305523576390[[#This Row],[Gmm]])</f>
        <v>2</v>
      </c>
      <c r="C360" s="61">
        <v>2</v>
      </c>
      <c r="D360" s="144">
        <v>72834.490000000005</v>
      </c>
      <c r="E360" s="61"/>
      <c r="F360" s="144"/>
      <c r="G360" s="145">
        <f>SUM(Tabla93617305523576390[[#This Row],[Prima Recibo vida]],Tabla93617305523576390[[#This Row],[Prima Recibo gmm]])</f>
        <v>72834.490000000005</v>
      </c>
      <c r="I360" s="106" t="s">
        <v>65</v>
      </c>
      <c r="J360" s="106"/>
      <c r="K360" s="106" t="s">
        <v>52</v>
      </c>
      <c r="L360" s="103"/>
    </row>
    <row r="361" spans="1:16" ht="13" x14ac:dyDescent="0.15">
      <c r="A361" s="99" t="s">
        <v>35</v>
      </c>
      <c r="B361" s="100">
        <f>SUM(Tabla93617305523576390[[#This Row],[Vida]],Tabla93617305523576390[[#This Row],[Gmm]])</f>
        <v>1</v>
      </c>
      <c r="C361" s="61">
        <v>1</v>
      </c>
      <c r="D361" s="144">
        <v>66861.740000000005</v>
      </c>
      <c r="E361" s="61"/>
      <c r="F361" s="144"/>
      <c r="G361" s="145">
        <f>SUM(Tabla93617305523576390[[#This Row],[Prima Recibo vida]],Tabla93617305523576390[[#This Row],[Prima Recibo gmm]])</f>
        <v>66861.740000000005</v>
      </c>
      <c r="I361" s="106" t="s">
        <v>67</v>
      </c>
      <c r="J361" s="106"/>
      <c r="K361" s="106" t="s">
        <v>52</v>
      </c>
      <c r="L361" s="103"/>
    </row>
    <row r="362" spans="1:16" ht="13" x14ac:dyDescent="0.15">
      <c r="A362" s="99" t="s">
        <v>13</v>
      </c>
      <c r="B362" s="146">
        <f>SUM(Tabla93617305523576390[[#This Row],[Vida]],Tabla93617305523576390[[#This Row],[Gmm]])</f>
        <v>7.5</v>
      </c>
      <c r="C362" s="147">
        <v>6</v>
      </c>
      <c r="D362" s="144">
        <v>56097.26</v>
      </c>
      <c r="E362" s="147">
        <v>1.5</v>
      </c>
      <c r="F362" s="144">
        <v>5201.37</v>
      </c>
      <c r="G362" s="145">
        <f>SUM(Tabla93617305523576390[[#This Row],[Prima Recibo vida]],Tabla93617305523576390[[#This Row],[Prima Recibo gmm]])</f>
        <v>61298.630000000005</v>
      </c>
      <c r="I362" s="106" t="s">
        <v>68</v>
      </c>
      <c r="J362" s="106"/>
      <c r="K362" s="106" t="s">
        <v>114</v>
      </c>
      <c r="L362" s="103"/>
    </row>
    <row r="363" spans="1:16" ht="13" x14ac:dyDescent="0.15">
      <c r="A363" s="99" t="s">
        <v>110</v>
      </c>
      <c r="B363" s="100">
        <f>SUM(Tabla93617305523576390[[#This Row],[Vida]],Tabla93617305523576390[[#This Row],[Gmm]])</f>
        <v>2</v>
      </c>
      <c r="C363" s="61">
        <v>2</v>
      </c>
      <c r="D363" s="144">
        <v>59622.27</v>
      </c>
      <c r="E363" s="61"/>
      <c r="F363" s="144"/>
      <c r="G363" s="145">
        <f>SUM(Tabla93617305523576390[[#This Row],[Prima Recibo vida]],Tabla93617305523576390[[#This Row],[Prima Recibo gmm]])</f>
        <v>59622.27</v>
      </c>
      <c r="I363" s="133" t="s">
        <v>69</v>
      </c>
      <c r="J363" s="133"/>
      <c r="K363" s="106" t="s">
        <v>118</v>
      </c>
      <c r="L363" s="103"/>
    </row>
    <row r="364" spans="1:16" ht="13" x14ac:dyDescent="0.15">
      <c r="A364" s="99" t="s">
        <v>10</v>
      </c>
      <c r="B364" s="100">
        <f>SUM(Tabla93617305523576390[[#This Row],[Vida]],Tabla93617305523576390[[#This Row],[Gmm]])</f>
        <v>2.5</v>
      </c>
      <c r="C364" s="61">
        <v>2</v>
      </c>
      <c r="D364" s="144">
        <v>21379.82</v>
      </c>
      <c r="E364" s="61">
        <v>0.5</v>
      </c>
      <c r="F364" s="144">
        <v>30287.09</v>
      </c>
      <c r="G364" s="180">
        <f>SUM(Tabla93617305523576390[[#This Row],[Prima Recibo vida]],Tabla93617305523576390[[#This Row],[Prima Recibo gmm]])</f>
        <v>51666.91</v>
      </c>
      <c r="I364" s="112"/>
      <c r="J364" s="112"/>
      <c r="K364" s="113"/>
      <c r="L364" s="103"/>
    </row>
    <row r="365" spans="1:16" ht="13" x14ac:dyDescent="0.15">
      <c r="A365" s="99" t="s">
        <v>85</v>
      </c>
      <c r="B365" s="100">
        <f>SUM(Tabla93617305523576390[[#This Row],[Vida]],Tabla93617305523576390[[#This Row],[Gmm]])</f>
        <v>1</v>
      </c>
      <c r="C365" s="61">
        <v>1</v>
      </c>
      <c r="D365" s="64">
        <v>32457.08</v>
      </c>
      <c r="E365" s="61"/>
      <c r="F365" s="64"/>
      <c r="G365" s="118">
        <f>SUM(Tabla93617305523576390[[#This Row],[Prima Recibo vida]],Tabla93617305523576390[[#This Row],[Prima Recibo gmm]])</f>
        <v>32457.08</v>
      </c>
    </row>
    <row r="366" spans="1:16" ht="13" x14ac:dyDescent="0.15">
      <c r="A366" s="99" t="s">
        <v>98</v>
      </c>
      <c r="B366" s="146">
        <f>SUM(Tabla93617305523576390[[#This Row],[Vida]],Tabla93617305523576390[[#This Row],[Gmm]])</f>
        <v>3.5</v>
      </c>
      <c r="C366" s="147">
        <v>3</v>
      </c>
      <c r="D366" s="64">
        <v>13282.04</v>
      </c>
      <c r="E366" s="147">
        <v>0.5</v>
      </c>
      <c r="F366" s="64">
        <v>18192.490000000002</v>
      </c>
      <c r="G366" s="66">
        <f>SUM(Tabla93617305523576390[[#This Row],[Prima Recibo vida]],Tabla93617305523576390[[#This Row],[Prima Recibo gmm]])</f>
        <v>31474.530000000002</v>
      </c>
    </row>
    <row r="367" spans="1:16" ht="13" x14ac:dyDescent="0.15">
      <c r="A367" s="99" t="s">
        <v>97</v>
      </c>
      <c r="B367" s="100">
        <f>SUM(Tabla93617305523576390[[#This Row],[Vida]],Tabla93617305523576390[[#This Row],[Gmm]])</f>
        <v>2</v>
      </c>
      <c r="C367" s="61">
        <v>2</v>
      </c>
      <c r="D367" s="64">
        <v>27908.03</v>
      </c>
      <c r="E367" s="61"/>
      <c r="F367" s="64"/>
      <c r="G367" s="66">
        <f>SUM(Tabla93617305523576390[[#This Row],[Prima Recibo vida]],Tabla93617305523576390[[#This Row],[Prima Recibo gmm]])</f>
        <v>27908.03</v>
      </c>
    </row>
    <row r="368" spans="1:16" ht="13" x14ac:dyDescent="0.15">
      <c r="A368" s="99" t="s">
        <v>119</v>
      </c>
      <c r="B368" s="100">
        <f>SUM(Tabla93617305523576390[[#This Row],[Vida]],Tabla93617305523576390[[#This Row],[Gmm]])</f>
        <v>1</v>
      </c>
      <c r="C368" s="61">
        <v>1</v>
      </c>
      <c r="D368" s="64">
        <v>22013.87</v>
      </c>
      <c r="E368" s="61"/>
      <c r="F368" s="64"/>
      <c r="G368" s="66">
        <f>SUM(Tabla93617305523576390[[#This Row],[Prima Recibo vida]],Tabla93617305523576390[[#This Row],[Prima Recibo gmm]])</f>
        <v>22013.87</v>
      </c>
    </row>
    <row r="369" spans="1:11" ht="13" x14ac:dyDescent="0.15">
      <c r="A369" s="99" t="s">
        <v>28</v>
      </c>
      <c r="B369" s="100">
        <f>SUM(Tabla93617305523576390[[#This Row],[Vida]],Tabla93617305523576390[[#This Row],[Gmm]])</f>
        <v>1</v>
      </c>
      <c r="C369" s="61">
        <v>1</v>
      </c>
      <c r="D369" s="64">
        <v>21385</v>
      </c>
      <c r="E369" s="61"/>
      <c r="F369" s="64"/>
      <c r="G369" s="118">
        <f>SUM(Tabla93617305523576390[[#This Row],[Prima Recibo vida]],Tabla93617305523576390[[#This Row],[Prima Recibo gmm]])</f>
        <v>21385</v>
      </c>
    </row>
    <row r="370" spans="1:11" ht="13" x14ac:dyDescent="0.15">
      <c r="A370" s="99" t="s">
        <v>29</v>
      </c>
      <c r="B370" s="100">
        <f>SUM(Tabla93617305523576390[[#This Row],[Vida]],Tabla93617305523576390[[#This Row],[Gmm]])</f>
        <v>0.5</v>
      </c>
      <c r="C370" s="61">
        <v>0</v>
      </c>
      <c r="D370" s="64">
        <v>0</v>
      </c>
      <c r="E370" s="61">
        <v>0.5</v>
      </c>
      <c r="F370" s="64">
        <v>10138.48</v>
      </c>
      <c r="G370" s="66">
        <f>SUM(Tabla93617305523576390[[#This Row],[Prima Recibo vida]],Tabla93617305523576390[[#This Row],[Prima Recibo gmm]])</f>
        <v>10138.48</v>
      </c>
    </row>
    <row r="371" spans="1:11" ht="13" x14ac:dyDescent="0.15">
      <c r="A371" s="99" t="s">
        <v>105</v>
      </c>
      <c r="B371" s="100">
        <f>SUM(Tabla93617305523576390[[#This Row],[Vida]],Tabla93617305523576390[[#This Row],[Gmm]])</f>
        <v>2</v>
      </c>
      <c r="C371" s="61">
        <v>2</v>
      </c>
      <c r="D371" s="64">
        <v>9556.51</v>
      </c>
      <c r="E371" s="151"/>
      <c r="F371" s="150"/>
      <c r="G371" s="118">
        <f>SUM(Tabla93617305523576390[[#This Row],[Prima Recibo vida]],Tabla93617305523576390[[#This Row],[Prima Recibo gmm]])</f>
        <v>9556.51</v>
      </c>
    </row>
    <row r="372" spans="1:11" ht="13" x14ac:dyDescent="0.15">
      <c r="A372" s="99" t="s">
        <v>15</v>
      </c>
      <c r="B372" s="100">
        <f>SUM(Tabla93617305523576390[[#This Row],[Vida]],Tabla93617305523576390[[#This Row],[Gmm]])</f>
        <v>2</v>
      </c>
      <c r="C372" s="61">
        <v>1.5</v>
      </c>
      <c r="D372" s="64">
        <v>3725.13</v>
      </c>
      <c r="E372" s="61">
        <v>0.5</v>
      </c>
      <c r="F372" s="64">
        <v>2324.98</v>
      </c>
      <c r="G372" s="118">
        <f>SUM(Tabla93617305523576390[[#This Row],[Prima Recibo vida]],Tabla93617305523576390[[#This Row],[Prima Recibo gmm]])</f>
        <v>6050.1100000000006</v>
      </c>
    </row>
    <row r="373" spans="1:11" ht="13" x14ac:dyDescent="0.15">
      <c r="A373" s="99" t="s">
        <v>27</v>
      </c>
      <c r="B373" s="100">
        <f>SUM(Tabla93617305523576390[[#This Row],[Vida]],Tabla93617305523576390[[#This Row],[Gmm]])</f>
        <v>2</v>
      </c>
      <c r="C373" s="61">
        <v>2</v>
      </c>
      <c r="D373" s="64">
        <v>3572.6</v>
      </c>
      <c r="E373" s="61"/>
      <c r="F373" s="64"/>
      <c r="G373" s="118">
        <f>SUM(Tabla93617305523576390[[#This Row],[Prima Recibo vida]],Tabla93617305523576390[[#This Row],[Prima Recibo gmm]])</f>
        <v>3572.6</v>
      </c>
    </row>
    <row r="374" spans="1:11" ht="13" x14ac:dyDescent="0.15">
      <c r="A374" s="99" t="s">
        <v>12</v>
      </c>
      <c r="B374" s="100">
        <f>SUM(Tabla93617305523576390[[#This Row],[Vida]],Tabla93617305523576390[[#This Row],[Gmm]])</f>
        <v>1</v>
      </c>
      <c r="C374" s="61">
        <v>1</v>
      </c>
      <c r="D374" s="64">
        <v>1995.21</v>
      </c>
      <c r="E374" s="61"/>
      <c r="F374" s="64"/>
      <c r="G374" s="118">
        <f>SUM(Tabla93617305523576390[[#This Row],[Prima Recibo vida]],Tabla93617305523576390[[#This Row],[Prima Recibo gmm]])</f>
        <v>1995.21</v>
      </c>
      <c r="I374" s="181" t="s">
        <v>60</v>
      </c>
      <c r="J374" s="181"/>
      <c r="K374" s="182">
        <v>6</v>
      </c>
    </row>
    <row r="375" spans="1:11" ht="13" x14ac:dyDescent="0.15">
      <c r="A375" s="99" t="s">
        <v>25</v>
      </c>
      <c r="B375" s="100">
        <f>SUM(Tabla93617305523576390[[#This Row],[Vida]],Tabla93617305523576390[[#This Row],[Gmm]])</f>
        <v>1</v>
      </c>
      <c r="C375" s="61">
        <v>1</v>
      </c>
      <c r="D375" s="64">
        <v>1881.2</v>
      </c>
      <c r="E375" s="61"/>
      <c r="F375" s="64"/>
      <c r="G375" s="118">
        <f>SUM(Tabla93617305523576390[[#This Row],[Prima Recibo vida]],Tabla93617305523576390[[#This Row],[Prima Recibo gmm]])</f>
        <v>1881.2</v>
      </c>
      <c r="I375" s="181" t="s">
        <v>13</v>
      </c>
      <c r="J375" s="181"/>
      <c r="K375" s="182">
        <v>6</v>
      </c>
    </row>
    <row r="376" spans="1:11" ht="13" x14ac:dyDescent="0.15">
      <c r="A376" s="99" t="s">
        <v>22</v>
      </c>
      <c r="B376" s="100">
        <f>SUM(Tabla93617305523576390[[#This Row],[Vida]],Tabla93617305523576390[[#This Row],[Gmm]])</f>
        <v>1</v>
      </c>
      <c r="C376" s="61">
        <v>1</v>
      </c>
      <c r="D376" s="64">
        <v>1792.22</v>
      </c>
      <c r="E376" s="61"/>
      <c r="F376" s="64"/>
      <c r="G376" s="118">
        <f>SUM(Tabla93617305523576390[[#This Row],[Prima Recibo vida]],Tabla93617305523576390[[#This Row],[Prima Recibo gmm]])</f>
        <v>1792.22</v>
      </c>
      <c r="I376" s="181" t="s">
        <v>52</v>
      </c>
      <c r="J376" s="181"/>
      <c r="K376" s="182">
        <v>4</v>
      </c>
    </row>
    <row r="377" spans="1:11" ht="13" x14ac:dyDescent="0.15">
      <c r="A377" s="99" t="s">
        <v>45</v>
      </c>
      <c r="B377" s="100">
        <f>SUM(Tabla93617305523576390[[#This Row],[Vida]],Tabla93617305523576390[[#This Row],[Gmm]])</f>
        <v>0.5</v>
      </c>
      <c r="C377" s="61">
        <v>0</v>
      </c>
      <c r="D377" s="64">
        <v>0</v>
      </c>
      <c r="E377" s="61">
        <v>0.5</v>
      </c>
      <c r="F377" s="64">
        <v>1589.46</v>
      </c>
      <c r="G377" s="66">
        <f>SUM(Tabla93617305523576390[[#This Row],[Prima Recibo vida]],Tabla93617305523576390[[#This Row],[Prima Recibo gmm]])</f>
        <v>1589.46</v>
      </c>
      <c r="I377" s="181" t="s">
        <v>32</v>
      </c>
      <c r="J377" s="181"/>
      <c r="K377" s="182">
        <v>3</v>
      </c>
    </row>
    <row r="378" spans="1:11" x14ac:dyDescent="0.15">
      <c r="A378" s="99" t="s">
        <v>46</v>
      </c>
      <c r="B378" s="100">
        <f>SUM(Tabla93617305523576390[[#This Row],[Vida]],Tabla93617305523576390[[#This Row],[Gmm]])</f>
        <v>0.5</v>
      </c>
      <c r="C378" s="61">
        <v>0.5</v>
      </c>
      <c r="D378" s="64">
        <v>1010.05</v>
      </c>
      <c r="E378" s="61"/>
      <c r="F378" s="64"/>
      <c r="G378" s="70">
        <f>SUM(Tabla93617305523576390[[#This Row],[Prima Recibo vida]],Tabla93617305523576390[[#This Row],[Prima Recibo gmm]])</f>
        <v>1010.05</v>
      </c>
      <c r="I378" s="181" t="s">
        <v>98</v>
      </c>
      <c r="J378" s="181"/>
      <c r="K378" s="182">
        <v>3</v>
      </c>
    </row>
    <row r="379" spans="1:11" ht="13" x14ac:dyDescent="0.15">
      <c r="A379" s="99" t="s">
        <v>31</v>
      </c>
      <c r="B379" s="124">
        <f>SUM(Tabla93617305523576390[[#This Row],[Vida]],Tabla93617305523576390[[#This Row],[Gmm]])</f>
        <v>0</v>
      </c>
      <c r="C379" s="72">
        <v>0</v>
      </c>
      <c r="D379" s="73">
        <v>0</v>
      </c>
      <c r="E379" s="72"/>
      <c r="F379" s="73"/>
      <c r="G379" s="77">
        <f>SUM(Tabla93617305523576390[[#This Row],[Prima Recibo vida]],Tabla93617305523576390[[#This Row],[Prima Recibo gmm]])</f>
        <v>0</v>
      </c>
      <c r="I379" s="181" t="s">
        <v>116</v>
      </c>
      <c r="J379" s="181"/>
      <c r="K379" s="183">
        <v>2</v>
      </c>
    </row>
    <row r="380" spans="1:11" ht="13" x14ac:dyDescent="0.15">
      <c r="A380" s="99" t="s">
        <v>14</v>
      </c>
      <c r="B380" s="124">
        <f>SUM(Tabla93617305523576390[[#This Row],[Vida]],Tabla93617305523576390[[#This Row],[Gmm]])</f>
        <v>0</v>
      </c>
      <c r="C380" s="72">
        <v>0</v>
      </c>
      <c r="D380" s="73">
        <v>0</v>
      </c>
      <c r="E380" s="72"/>
      <c r="F380" s="73"/>
      <c r="G380" s="76">
        <f>SUM(Tabla93617305523576390[[#This Row],[Prima Recibo vida]],Tabla93617305523576390[[#This Row],[Prima Recibo gmm]])</f>
        <v>0</v>
      </c>
      <c r="I380" s="181" t="s">
        <v>11</v>
      </c>
      <c r="J380" s="181"/>
      <c r="K380" s="183">
        <v>2</v>
      </c>
    </row>
    <row r="381" spans="1:11" x14ac:dyDescent="0.15">
      <c r="A381" s="99" t="s">
        <v>30</v>
      </c>
      <c r="B381" s="124">
        <f>SUM(Tabla93617305523576390[[#This Row],[Vida]],Tabla93617305523576390[[#This Row],[Gmm]])</f>
        <v>0</v>
      </c>
      <c r="C381" s="72">
        <v>0</v>
      </c>
      <c r="D381" s="73">
        <v>0</v>
      </c>
      <c r="E381" s="72"/>
      <c r="F381" s="73"/>
      <c r="G381" s="79">
        <f>SUM(Tabla93617305523576390[[#This Row],[Prima Recibo vida]],Tabla93617305523576390[[#This Row],[Prima Recibo gmm]])</f>
        <v>0</v>
      </c>
      <c r="I381" s="181" t="s">
        <v>110</v>
      </c>
      <c r="J381" s="181"/>
      <c r="K381" s="183">
        <v>2</v>
      </c>
    </row>
    <row r="382" spans="1:11" ht="13" x14ac:dyDescent="0.15">
      <c r="A382" s="99" t="s">
        <v>26</v>
      </c>
      <c r="B382" s="124">
        <f>SUM(Tabla93617305523576390[[#This Row],[Vida]],Tabla93617305523576390[[#This Row],[Gmm]])</f>
        <v>0</v>
      </c>
      <c r="C382" s="72">
        <v>0</v>
      </c>
      <c r="D382" s="73">
        <v>0</v>
      </c>
      <c r="E382" s="74"/>
      <c r="F382" s="125"/>
      <c r="G382" s="77">
        <f>SUM(Tabla93617305523576390[[#This Row],[Prima Recibo vida]],Tabla93617305523576390[[#This Row],[Prima Recibo gmm]])</f>
        <v>0</v>
      </c>
      <c r="I382" s="181" t="s">
        <v>10</v>
      </c>
      <c r="J382" s="181"/>
      <c r="K382" s="183">
        <v>2</v>
      </c>
    </row>
    <row r="383" spans="1:11" ht="13" x14ac:dyDescent="0.15">
      <c r="A383" s="99" t="s">
        <v>37</v>
      </c>
      <c r="B383" s="124">
        <f>SUM(Tabla93617305523576390[[#This Row],[Vida]],Tabla93617305523576390[[#This Row],[Gmm]])</f>
        <v>0</v>
      </c>
      <c r="C383" s="72">
        <v>0</v>
      </c>
      <c r="D383" s="73">
        <v>0</v>
      </c>
      <c r="E383" s="72"/>
      <c r="F383" s="73"/>
      <c r="G383" s="77">
        <f>SUM(Tabla93617305523576390[[#This Row],[Prima Recibo vida]],Tabla93617305523576390[[#This Row],[Prima Recibo gmm]])</f>
        <v>0</v>
      </c>
      <c r="I383" s="181" t="s">
        <v>97</v>
      </c>
      <c r="J383" s="181"/>
      <c r="K383" s="183">
        <v>2</v>
      </c>
    </row>
    <row r="384" spans="1:11" ht="13" x14ac:dyDescent="0.15">
      <c r="A384" s="99" t="s">
        <v>72</v>
      </c>
      <c r="B384" s="124">
        <f>SUM(Tabla93617305523576390[[#This Row],[Vida]],Tabla93617305523576390[[#This Row],[Gmm]])</f>
        <v>0</v>
      </c>
      <c r="C384" s="72">
        <v>0</v>
      </c>
      <c r="D384" s="73">
        <v>0</v>
      </c>
      <c r="E384" s="72"/>
      <c r="F384" s="73"/>
      <c r="G384" s="77">
        <f>SUM(Tabla93617305523576390[[#This Row],[Prima Recibo vida]],Tabla93617305523576390[[#This Row],[Prima Recibo gmm]])</f>
        <v>0</v>
      </c>
      <c r="I384" s="181" t="s">
        <v>105</v>
      </c>
      <c r="J384" s="181"/>
      <c r="K384" s="183">
        <v>2</v>
      </c>
    </row>
    <row r="385" spans="1:11" ht="13" x14ac:dyDescent="0.15">
      <c r="A385" s="99" t="s">
        <v>70</v>
      </c>
      <c r="B385" s="124">
        <f>SUM(Tabla93617305523576390[[#This Row],[Vida]],Tabla93617305523576390[[#This Row],[Gmm]])</f>
        <v>0</v>
      </c>
      <c r="C385" s="72">
        <v>0</v>
      </c>
      <c r="D385" s="73">
        <v>0</v>
      </c>
      <c r="E385" s="72"/>
      <c r="F385" s="73"/>
      <c r="G385" s="76">
        <f>SUM(Tabla93617305523576390[[#This Row],[Prima Recibo vida]],Tabla93617305523576390[[#This Row],[Prima Recibo gmm]])</f>
        <v>0</v>
      </c>
      <c r="I385" s="181" t="s">
        <v>27</v>
      </c>
      <c r="J385" s="181"/>
      <c r="K385" s="183">
        <v>2</v>
      </c>
    </row>
    <row r="386" spans="1:11" ht="13" x14ac:dyDescent="0.15">
      <c r="A386" s="99" t="s">
        <v>41</v>
      </c>
      <c r="B386" s="124">
        <f>SUM(Tabla93617305523576390[[#This Row],[Vida]],Tabla93617305523576390[[#This Row],[Gmm]])</f>
        <v>0</v>
      </c>
      <c r="C386" s="72">
        <v>0</v>
      </c>
      <c r="D386" s="73">
        <v>0</v>
      </c>
      <c r="E386" s="72"/>
      <c r="F386" s="73"/>
      <c r="G386" s="76">
        <f>SUM(Tabla93617305523576390[[#This Row],[Prima Recibo vida]],Tabla93617305523576390[[#This Row],[Prima Recibo gmm]])</f>
        <v>0</v>
      </c>
      <c r="I386" s="181" t="s">
        <v>15</v>
      </c>
      <c r="J386" s="181"/>
      <c r="K386" s="183">
        <v>1.5</v>
      </c>
    </row>
    <row r="387" spans="1:11" ht="13" x14ac:dyDescent="0.15">
      <c r="A387" s="99" t="s">
        <v>24</v>
      </c>
      <c r="B387" s="124">
        <f>SUM(Tabla93617305523576390[[#This Row],[Vida]],Tabla93617305523576390[[#This Row],[Gmm]])</f>
        <v>0</v>
      </c>
      <c r="C387" s="72">
        <v>0</v>
      </c>
      <c r="D387" s="73">
        <v>0</v>
      </c>
      <c r="E387" s="72"/>
      <c r="F387" s="73"/>
      <c r="G387" s="76">
        <f>SUM(Tabla93617305523576390[[#This Row],[Prima Recibo vida]],Tabla93617305523576390[[#This Row],[Prima Recibo gmm]])</f>
        <v>0</v>
      </c>
      <c r="I387" s="181" t="s">
        <v>35</v>
      </c>
      <c r="J387" s="181"/>
      <c r="K387" s="183">
        <v>1</v>
      </c>
    </row>
    <row r="388" spans="1:11" ht="13" x14ac:dyDescent="0.15">
      <c r="A388" s="99" t="s">
        <v>49</v>
      </c>
      <c r="B388" s="124">
        <f>SUM(Tabla93617305523576390[[#This Row],[Vida]],Tabla93617305523576390[[#This Row],[Gmm]])</f>
        <v>0</v>
      </c>
      <c r="C388" s="72">
        <v>0</v>
      </c>
      <c r="D388" s="73">
        <v>0</v>
      </c>
      <c r="E388" s="74"/>
      <c r="F388" s="125"/>
      <c r="G388" s="77">
        <f>SUM(Tabla93617305523576390[[#This Row],[Prima Recibo vida]],Tabla93617305523576390[[#This Row],[Prima Recibo gmm]])</f>
        <v>0</v>
      </c>
      <c r="I388" s="181" t="s">
        <v>85</v>
      </c>
      <c r="J388" s="181"/>
      <c r="K388" s="183">
        <v>1</v>
      </c>
    </row>
    <row r="389" spans="1:11" ht="13" x14ac:dyDescent="0.15">
      <c r="A389" s="99" t="s">
        <v>111</v>
      </c>
      <c r="B389" s="124">
        <f>SUM(Tabla93617305523576390[[#This Row],[Vida]],Tabla93617305523576390[[#This Row],[Gmm]])</f>
        <v>0</v>
      </c>
      <c r="C389" s="72">
        <v>0</v>
      </c>
      <c r="D389" s="73">
        <v>0</v>
      </c>
      <c r="E389" s="72"/>
      <c r="F389" s="73"/>
      <c r="G389" s="77">
        <f>SUM(Tabla93617305523576390[[#This Row],[Prima Recibo vida]],Tabla93617305523576390[[#This Row],[Prima Recibo gmm]])</f>
        <v>0</v>
      </c>
      <c r="I389" s="181" t="s">
        <v>119</v>
      </c>
      <c r="J389" s="181"/>
      <c r="K389" s="183">
        <v>1</v>
      </c>
    </row>
    <row r="390" spans="1:11" ht="13" x14ac:dyDescent="0.15">
      <c r="A390" s="99" t="s">
        <v>16</v>
      </c>
      <c r="B390" s="124">
        <f>SUM(Tabla93617305523576390[[#This Row],[Vida]],Tabla93617305523576390[[#This Row],[Gmm]])</f>
        <v>0</v>
      </c>
      <c r="C390" s="72">
        <v>0</v>
      </c>
      <c r="D390" s="73">
        <v>0</v>
      </c>
      <c r="E390" s="74"/>
      <c r="F390" s="125"/>
      <c r="G390" s="77">
        <f>SUM(Tabla93617305523576390[[#This Row],[Prima Recibo vida]],Tabla93617305523576390[[#This Row],[Prima Recibo gmm]])</f>
        <v>0</v>
      </c>
      <c r="I390" s="181" t="s">
        <v>28</v>
      </c>
      <c r="J390" s="181"/>
      <c r="K390" s="183">
        <v>1</v>
      </c>
    </row>
    <row r="391" spans="1:11" ht="13" x14ac:dyDescent="0.15">
      <c r="A391" s="99" t="s">
        <v>38</v>
      </c>
      <c r="B391" s="124">
        <f>SUM(Tabla93617305523576390[[#This Row],[Vida]],Tabla93617305523576390[[#This Row],[Gmm]])</f>
        <v>0</v>
      </c>
      <c r="C391" s="72">
        <v>0</v>
      </c>
      <c r="D391" s="73">
        <v>0</v>
      </c>
      <c r="E391" s="72"/>
      <c r="F391" s="73"/>
      <c r="G391" s="77">
        <f>SUM(Tabla93617305523576390[[#This Row],[Prima Recibo vida]],Tabla93617305523576390[[#This Row],[Prima Recibo gmm]])</f>
        <v>0</v>
      </c>
      <c r="I391" s="181" t="s">
        <v>12</v>
      </c>
      <c r="J391" s="181"/>
      <c r="K391" s="183">
        <v>1</v>
      </c>
    </row>
    <row r="392" spans="1:11" ht="13" x14ac:dyDescent="0.15">
      <c r="A392" s="99" t="s">
        <v>43</v>
      </c>
      <c r="B392" s="124">
        <f>SUM(Tabla93617305523576390[[#This Row],[Vida]],Tabla93617305523576390[[#This Row],[Gmm]])</f>
        <v>0</v>
      </c>
      <c r="C392" s="72">
        <v>0</v>
      </c>
      <c r="D392" s="73">
        <v>0</v>
      </c>
      <c r="E392" s="72"/>
      <c r="F392" s="73"/>
      <c r="G392" s="76">
        <f>SUM(Tabla93617305523576390[[#This Row],[Prima Recibo vida]],Tabla93617305523576390[[#This Row],[Prima Recibo gmm]])</f>
        <v>0</v>
      </c>
      <c r="H392" s="103"/>
      <c r="I392" s="181" t="s">
        <v>25</v>
      </c>
      <c r="J392" s="181"/>
      <c r="K392" s="183">
        <v>1</v>
      </c>
    </row>
    <row r="393" spans="1:11" x14ac:dyDescent="0.15">
      <c r="A393" s="99" t="s">
        <v>44</v>
      </c>
      <c r="B393" s="124">
        <f>SUM(Tabla93617305523576390[[#This Row],[Vida]],Tabla93617305523576390[[#This Row],[Gmm]])</f>
        <v>0</v>
      </c>
      <c r="C393" s="72">
        <v>0</v>
      </c>
      <c r="D393" s="73">
        <v>0</v>
      </c>
      <c r="E393" s="72"/>
      <c r="F393" s="73"/>
      <c r="G393" s="79">
        <f>SUM(Tabla93617305523576390[[#This Row],[Prima Recibo vida]],Tabla93617305523576390[[#This Row],[Prima Recibo gmm]])</f>
        <v>0</v>
      </c>
      <c r="I393" s="181" t="s">
        <v>22</v>
      </c>
      <c r="J393" s="181"/>
      <c r="K393" s="183">
        <v>1</v>
      </c>
    </row>
    <row r="394" spans="1:11" ht="13" x14ac:dyDescent="0.15">
      <c r="A394" s="99" t="s">
        <v>39</v>
      </c>
      <c r="B394" s="124">
        <f>SUM(Tabla93617305523576390[[#This Row],[Vida]],Tabla93617305523576390[[#This Row],[Gmm]])</f>
        <v>0</v>
      </c>
      <c r="C394" s="72">
        <v>0</v>
      </c>
      <c r="D394" s="73">
        <v>0</v>
      </c>
      <c r="E394" s="74"/>
      <c r="F394" s="73"/>
      <c r="G394" s="76">
        <f>SUM(Tabla93617305523576390[[#This Row],[Prima Recibo vida]],Tabla93617305523576390[[#This Row],[Prima Recibo gmm]])</f>
        <v>0</v>
      </c>
      <c r="I394" s="181" t="s">
        <v>46</v>
      </c>
      <c r="J394" s="181"/>
      <c r="K394" s="183">
        <v>0.5</v>
      </c>
    </row>
    <row r="395" spans="1:11" ht="13" x14ac:dyDescent="0.15">
      <c r="A395" s="43" t="s">
        <v>50</v>
      </c>
      <c r="B395" s="152">
        <f>SUM(Tabla93617305523576390[[Pólizas ]])</f>
        <v>52</v>
      </c>
      <c r="C395" s="153">
        <f>SUM(Tabla93617305523576390[Vida])</f>
        <v>45</v>
      </c>
      <c r="D395" s="154">
        <f>SUM(Tabla93617305523576390[Prima Recibo vida])</f>
        <v>1065544.7599999998</v>
      </c>
      <c r="E395" s="155">
        <f>SUM(Tabla93617305523576390[Gmm])</f>
        <v>7</v>
      </c>
      <c r="F395" s="154">
        <f>SUM(Tabla93617305523576390[Prima Recibo gmm])</f>
        <v>301180.94</v>
      </c>
      <c r="G395" s="154">
        <f>SUM(Tabla93617305523576390[Prima total])</f>
        <v>1366725.7000000002</v>
      </c>
      <c r="I395" s="123" t="s">
        <v>120</v>
      </c>
      <c r="J395" s="122"/>
      <c r="K395" s="184">
        <f>MAX(0,53-SUM(K374:K394))</f>
        <v>8</v>
      </c>
    </row>
    <row r="396" spans="1:11" ht="13" x14ac:dyDescent="0.15">
      <c r="D396" s="1"/>
      <c r="E396" s="1"/>
      <c r="G396" s="1"/>
    </row>
    <row r="397" spans="1:11" ht="13" x14ac:dyDescent="0.15">
      <c r="D397" s="1"/>
      <c r="E397" s="1"/>
      <c r="G397" s="1"/>
    </row>
    <row r="398" spans="1:11" ht="13" x14ac:dyDescent="0.15">
      <c r="D398" s="1"/>
      <c r="E398" s="1"/>
      <c r="G398" s="1"/>
    </row>
    <row r="399" spans="1:11" ht="13" x14ac:dyDescent="0.15">
      <c r="D399" s="1"/>
      <c r="E399" s="1"/>
      <c r="G399" s="1"/>
    </row>
    <row r="400" spans="1:11" ht="13" x14ac:dyDescent="0.15">
      <c r="D400" s="1"/>
      <c r="E400" s="1"/>
      <c r="G400" s="1"/>
    </row>
    <row r="401" spans="1:8" ht="13" x14ac:dyDescent="0.15">
      <c r="D401" s="1"/>
      <c r="E401" s="1"/>
      <c r="G401" s="1"/>
    </row>
    <row r="402" spans="1:8" ht="13" x14ac:dyDescent="0.15">
      <c r="D402" s="1"/>
      <c r="E402" s="1"/>
      <c r="G402" s="1"/>
    </row>
    <row r="403" spans="1:8" ht="13" x14ac:dyDescent="0.15">
      <c r="D403" s="1"/>
      <c r="E403" s="1"/>
      <c r="G403" s="1"/>
    </row>
    <row r="404" spans="1:8" ht="13" x14ac:dyDescent="0.15">
      <c r="D404" s="1"/>
      <c r="E404" s="1"/>
      <c r="G404" s="1"/>
    </row>
    <row r="405" spans="1:8" ht="13" x14ac:dyDescent="0.15">
      <c r="D405" s="1"/>
      <c r="E405" s="1"/>
      <c r="G405" s="1"/>
    </row>
    <row r="406" spans="1:8" ht="13" x14ac:dyDescent="0.15">
      <c r="D406" s="1"/>
      <c r="E406" s="1"/>
      <c r="G406" s="1"/>
    </row>
    <row r="407" spans="1:8" ht="13" x14ac:dyDescent="0.15">
      <c r="D407" s="1"/>
      <c r="E407" s="1"/>
      <c r="G407" s="1"/>
    </row>
    <row r="408" spans="1:8" ht="13" x14ac:dyDescent="0.15">
      <c r="D408" s="1"/>
      <c r="E408" s="1"/>
      <c r="G408" s="1"/>
    </row>
    <row r="409" spans="1:8" ht="13" x14ac:dyDescent="0.15">
      <c r="D409" s="1"/>
      <c r="E409" s="1"/>
      <c r="G409" s="1"/>
    </row>
    <row r="410" spans="1:8" ht="13" x14ac:dyDescent="0.15">
      <c r="D410" s="1"/>
      <c r="E410" s="1"/>
      <c r="G410" s="1"/>
    </row>
    <row r="411" spans="1:8" x14ac:dyDescent="0.15">
      <c r="A411" s="320" t="s">
        <v>121</v>
      </c>
      <c r="B411" s="320"/>
      <c r="C411" s="320"/>
      <c r="D411" s="320"/>
      <c r="E411" s="320"/>
      <c r="F411" s="320"/>
      <c r="G411" s="320"/>
      <c r="H411" s="320"/>
    </row>
    <row r="412" spans="1:8" ht="28" x14ac:dyDescent="0.15">
      <c r="A412" s="2" t="s">
        <v>1</v>
      </c>
      <c r="B412" s="3" t="s">
        <v>2</v>
      </c>
      <c r="C412" s="3" t="s">
        <v>3</v>
      </c>
      <c r="D412" s="4" t="s">
        <v>122</v>
      </c>
      <c r="E412" s="5" t="s">
        <v>5</v>
      </c>
      <c r="F412" s="3" t="s">
        <v>123</v>
      </c>
      <c r="G412" s="6" t="s">
        <v>7</v>
      </c>
    </row>
    <row r="413" spans="1:8" ht="13" x14ac:dyDescent="0.15">
      <c r="A413" s="185" t="s">
        <v>11</v>
      </c>
      <c r="B413" s="186">
        <f>SUM(Tabla9361730552357639093[[#This Row],[Vida]],Tabla9361730552357639093[[#This Row],[Gmm]])</f>
        <v>2.5</v>
      </c>
      <c r="C413" s="187">
        <v>2</v>
      </c>
      <c r="D413" s="188">
        <v>282373.21999999997</v>
      </c>
      <c r="E413" s="189">
        <v>0.5</v>
      </c>
      <c r="F413" s="190">
        <v>24757.03</v>
      </c>
      <c r="G413" s="58">
        <f>SUM(Tabla9361730552357639093[[#This Row],[Prima Pagada vida]],Tabla9361730552357639093[[#This Row],[Prima Pagada gmm]])</f>
        <v>307130.25</v>
      </c>
    </row>
    <row r="414" spans="1:8" ht="13" x14ac:dyDescent="0.15">
      <c r="A414" s="185" t="s">
        <v>76</v>
      </c>
      <c r="B414" s="191">
        <f>SUM(Tabla9361730552357639093[[#This Row],[Vida]],Tabla9361730552357639093[[#This Row],[Gmm]])</f>
        <v>6</v>
      </c>
      <c r="C414" s="56">
        <v>4</v>
      </c>
      <c r="D414" s="188">
        <v>132956.01999999999</v>
      </c>
      <c r="E414" s="192">
        <v>2</v>
      </c>
      <c r="F414" s="193">
        <v>167930.79</v>
      </c>
      <c r="G414" s="58">
        <f>SUM(Tabla9361730552357639093[[#This Row],[Prima Pagada vida]],Tabla9361730552357639093[[#This Row],[Prima Pagada gmm]])</f>
        <v>300886.81</v>
      </c>
    </row>
    <row r="415" spans="1:8" ht="13" x14ac:dyDescent="0.15">
      <c r="A415" s="185" t="s">
        <v>12</v>
      </c>
      <c r="B415" s="191">
        <f>SUM(Tabla9361730552357639093[[#This Row],[Vida]],Tabla9361730552357639093[[#This Row],[Gmm]])</f>
        <v>6</v>
      </c>
      <c r="C415" s="56">
        <v>5</v>
      </c>
      <c r="D415" s="188">
        <v>75553.94</v>
      </c>
      <c r="E415" s="192">
        <v>1</v>
      </c>
      <c r="F415" s="190">
        <v>123967.74</v>
      </c>
      <c r="G415" s="58">
        <f>SUM(Tabla9361730552357639093[[#This Row],[Prima Pagada vida]],Tabla9361730552357639093[[#This Row],[Prima Pagada gmm]])</f>
        <v>199521.68</v>
      </c>
    </row>
    <row r="416" spans="1:8" ht="13" x14ac:dyDescent="0.15">
      <c r="A416" s="185" t="s">
        <v>13</v>
      </c>
      <c r="B416" s="191">
        <f>SUM(Tabla9361730552357639093[[#This Row],[Vida]],Tabla9361730552357639093[[#This Row],[Gmm]])</f>
        <v>5.5</v>
      </c>
      <c r="C416" s="56">
        <v>5</v>
      </c>
      <c r="D416" s="188">
        <v>78352.100000000006</v>
      </c>
      <c r="E416" s="192">
        <v>0.5</v>
      </c>
      <c r="F416" s="190">
        <v>1506.65</v>
      </c>
      <c r="G416" s="58">
        <f>SUM(Tabla9361730552357639093[[#This Row],[Prima Pagada vida]],Tabla9361730552357639093[[#This Row],[Prima Pagada gmm]])</f>
        <v>79858.75</v>
      </c>
    </row>
    <row r="417" spans="1:11" ht="13" x14ac:dyDescent="0.15">
      <c r="A417" s="185" t="s">
        <v>38</v>
      </c>
      <c r="B417" s="186">
        <f>SUM(Tabla9361730552357639093[[#This Row],[Vida]],Tabla9361730552357639093[[#This Row],[Gmm]])</f>
        <v>2.5</v>
      </c>
      <c r="C417" s="187">
        <v>2</v>
      </c>
      <c r="D417" s="188">
        <v>40060.42</v>
      </c>
      <c r="E417" s="187">
        <v>0.5</v>
      </c>
      <c r="F417" s="188">
        <v>21081.11</v>
      </c>
      <c r="G417" s="58">
        <f>SUM(Tabla9361730552357639093[[#This Row],[Prima Pagada vida]],Tabla9361730552357639093[[#This Row],[Prima Pagada gmm]])</f>
        <v>61141.53</v>
      </c>
    </row>
    <row r="418" spans="1:11" ht="13" x14ac:dyDescent="0.15">
      <c r="A418" s="185" t="s">
        <v>26</v>
      </c>
      <c r="B418" s="186">
        <f>SUM(Tabla9361730552357639093[[#This Row],[Vida]],Tabla9361730552357639093[[#This Row],[Gmm]])</f>
        <v>2</v>
      </c>
      <c r="C418" s="187">
        <v>1</v>
      </c>
      <c r="D418" s="188">
        <v>5557.78</v>
      </c>
      <c r="E418" s="187">
        <v>1</v>
      </c>
      <c r="F418" s="188">
        <v>53129.05</v>
      </c>
      <c r="G418" s="194">
        <f>SUM(Tabla9361730552357639093[[#This Row],[Prima Pagada vida]],Tabla9361730552357639093[[#This Row],[Prima Pagada gmm]])</f>
        <v>58686.83</v>
      </c>
    </row>
    <row r="419" spans="1:11" ht="13" x14ac:dyDescent="0.15">
      <c r="A419" s="185" t="s">
        <v>116</v>
      </c>
      <c r="B419" s="191">
        <f>SUM(Tabla9361730552357639093[[#This Row],[Vida]],Tabla9361730552357639093[[#This Row],[Gmm]])</f>
        <v>3</v>
      </c>
      <c r="C419" s="56">
        <v>2</v>
      </c>
      <c r="D419" s="188">
        <v>40596.199999999997</v>
      </c>
      <c r="E419" s="192">
        <v>1</v>
      </c>
      <c r="F419" s="193">
        <v>17555.7</v>
      </c>
      <c r="G419" s="58">
        <f>SUM(Tabla9361730552357639093[[#This Row],[Prima Pagada vida]],Tabla9361730552357639093[[#This Row],[Prima Pagada gmm]])</f>
        <v>58151.899999999994</v>
      </c>
      <c r="I419" s="195" t="s">
        <v>12</v>
      </c>
      <c r="J419" s="195"/>
      <c r="K419" s="196">
        <v>5</v>
      </c>
    </row>
    <row r="420" spans="1:11" ht="13" x14ac:dyDescent="0.15">
      <c r="A420" s="185" t="s">
        <v>78</v>
      </c>
      <c r="B420" s="186">
        <f>SUM(Tabla9361730552357639093[[#This Row],[Vida]],Tabla9361730552357639093[[#This Row],[Gmm]])</f>
        <v>2.5</v>
      </c>
      <c r="C420" s="187">
        <v>2</v>
      </c>
      <c r="D420" s="197">
        <v>28754.49</v>
      </c>
      <c r="E420" s="189">
        <v>0.5</v>
      </c>
      <c r="F420" s="198">
        <v>19593.36</v>
      </c>
      <c r="G420" s="199">
        <f>SUM(Tabla9361730552357639093[[#This Row],[Prima Pagada vida]],Tabla9361730552357639093[[#This Row],[Prima Pagada gmm]])</f>
        <v>48347.850000000006</v>
      </c>
      <c r="I420" s="195" t="s">
        <v>13</v>
      </c>
      <c r="J420" s="195"/>
      <c r="K420" s="196">
        <v>5</v>
      </c>
    </row>
    <row r="421" spans="1:11" ht="13" x14ac:dyDescent="0.15">
      <c r="A421" s="185" t="s">
        <v>10</v>
      </c>
      <c r="B421" s="186">
        <f>SUM(Tabla9361730552357639093[[#This Row],[Vida]],Tabla9361730552357639093[[#This Row],[Gmm]])</f>
        <v>0.5</v>
      </c>
      <c r="C421" s="187">
        <v>0</v>
      </c>
      <c r="D421" s="197">
        <v>0</v>
      </c>
      <c r="E421" s="187">
        <v>0.5</v>
      </c>
      <c r="F421" s="197">
        <v>40113.1</v>
      </c>
      <c r="G421" s="200">
        <f>SUM(Tabla9361730552357639093[[#This Row],[Prima Pagada vida]],Tabla9361730552357639093[[#This Row],[Prima Pagada gmm]])</f>
        <v>40113.1</v>
      </c>
      <c r="I421" s="195" t="s">
        <v>76</v>
      </c>
      <c r="J421" s="195"/>
      <c r="K421" s="196">
        <v>4</v>
      </c>
    </row>
    <row r="422" spans="1:11" ht="13" x14ac:dyDescent="0.15">
      <c r="A422" s="185" t="s">
        <v>110</v>
      </c>
      <c r="B422" s="186">
        <f>SUM(Tabla9361730552357639093[[#This Row],[Vida]],Tabla9361730552357639093[[#This Row],[Gmm]])</f>
        <v>1.5</v>
      </c>
      <c r="C422" s="187">
        <v>1</v>
      </c>
      <c r="D422" s="197">
        <v>1772.51</v>
      </c>
      <c r="E422" s="189">
        <v>0.5</v>
      </c>
      <c r="F422" s="198">
        <v>36328.79</v>
      </c>
      <c r="G422" s="200">
        <f>SUM(Tabla9361730552357639093[[#This Row],[Prima Pagada vida]],Tabla9361730552357639093[[#This Row],[Prima Pagada gmm]])</f>
        <v>38101.300000000003</v>
      </c>
      <c r="I422" s="195" t="s">
        <v>20</v>
      </c>
      <c r="J422" s="195"/>
      <c r="K422" s="196">
        <v>4</v>
      </c>
    </row>
    <row r="423" spans="1:11" ht="13" x14ac:dyDescent="0.15">
      <c r="A423" s="185" t="s">
        <v>27</v>
      </c>
      <c r="B423" s="186">
        <f>SUM(Tabla9361730552357639093[[#This Row],[Vida]],Tabla9361730552357639093[[#This Row],[Gmm]])</f>
        <v>1.5</v>
      </c>
      <c r="C423" s="187">
        <v>1</v>
      </c>
      <c r="D423" s="197">
        <v>33875.980000000003</v>
      </c>
      <c r="E423" s="189">
        <v>0.5</v>
      </c>
      <c r="F423" s="198">
        <v>3609.06</v>
      </c>
      <c r="G423" s="199">
        <f>SUM(Tabla9361730552357639093[[#This Row],[Prima Pagada vida]],Tabla9361730552357639093[[#This Row],[Prima Pagada gmm]])</f>
        <v>37485.040000000001</v>
      </c>
      <c r="I423" s="195" t="s">
        <v>14</v>
      </c>
      <c r="J423" s="195"/>
      <c r="K423" s="196">
        <v>3</v>
      </c>
    </row>
    <row r="424" spans="1:11" ht="13" x14ac:dyDescent="0.15">
      <c r="A424" s="185" t="s">
        <v>19</v>
      </c>
      <c r="B424" s="186">
        <f>SUM(Tabla9361730552357639093[[#This Row],[Vida]],Tabla9361730552357639093[[#This Row],[Gmm]])</f>
        <v>0.5</v>
      </c>
      <c r="C424" s="187"/>
      <c r="D424" s="197"/>
      <c r="E424" s="189">
        <v>0.5</v>
      </c>
      <c r="F424" s="198">
        <v>37337.56</v>
      </c>
      <c r="G424" s="199">
        <f>SUM(Tabla9361730552357639093[[#This Row],[Prima Pagada vida]],Tabla9361730552357639093[[#This Row],[Prima Pagada gmm]])</f>
        <v>37337.56</v>
      </c>
      <c r="I424" s="195" t="s">
        <v>11</v>
      </c>
      <c r="J424" s="195"/>
      <c r="K424" s="196">
        <v>2</v>
      </c>
    </row>
    <row r="425" spans="1:11" ht="13" x14ac:dyDescent="0.15">
      <c r="A425" s="185" t="s">
        <v>20</v>
      </c>
      <c r="B425" s="191">
        <f>SUM(Tabla9361730552357639093[[#This Row],[Vida]],Tabla9361730552357639093[[#This Row],[Gmm]])</f>
        <v>4.5</v>
      </c>
      <c r="C425" s="56">
        <v>4</v>
      </c>
      <c r="D425" s="197">
        <v>34192.9</v>
      </c>
      <c r="E425" s="56">
        <v>0.5</v>
      </c>
      <c r="F425" s="197">
        <v>2280.4</v>
      </c>
      <c r="G425" s="200">
        <f>SUM(Tabla9361730552357639093[[#This Row],[Prima Pagada vida]],Tabla9361730552357639093[[#This Row],[Prima Pagada gmm]])</f>
        <v>36473.300000000003</v>
      </c>
      <c r="I425" s="195" t="s">
        <v>38</v>
      </c>
      <c r="J425" s="195"/>
      <c r="K425" s="196">
        <v>2</v>
      </c>
    </row>
    <row r="426" spans="1:11" ht="13" x14ac:dyDescent="0.15">
      <c r="A426" s="185" t="s">
        <v>14</v>
      </c>
      <c r="B426" s="191">
        <f>SUM(Tabla9361730552357639093[[#This Row],[Vida]],Tabla9361730552357639093[[#This Row],[Gmm]])</f>
        <v>3</v>
      </c>
      <c r="C426" s="56">
        <v>3</v>
      </c>
      <c r="D426" s="197">
        <v>29045.07</v>
      </c>
      <c r="E426" s="192"/>
      <c r="F426" s="198"/>
      <c r="G426" s="199">
        <f>SUM(Tabla9361730552357639093[[#This Row],[Prima Pagada vida]],Tabla9361730552357639093[[#This Row],[Prima Pagada gmm]])</f>
        <v>29045.07</v>
      </c>
      <c r="I426" s="195" t="s">
        <v>116</v>
      </c>
      <c r="J426" s="195"/>
      <c r="K426" s="196">
        <v>2</v>
      </c>
    </row>
    <row r="427" spans="1:11" ht="13" x14ac:dyDescent="0.15">
      <c r="A427" s="185" t="s">
        <v>30</v>
      </c>
      <c r="B427" s="186">
        <f>SUM(Tabla9361730552357639093[[#This Row],[Vida]],Tabla9361730552357639093[[#This Row],[Gmm]])</f>
        <v>0.5</v>
      </c>
      <c r="C427" s="187">
        <v>0</v>
      </c>
      <c r="D427" s="197"/>
      <c r="E427" s="187">
        <v>0.5</v>
      </c>
      <c r="F427" s="197">
        <v>26557.93</v>
      </c>
      <c r="G427" s="200">
        <f>SUM(Tabla9361730552357639093[[#This Row],[Prima Pagada vida]],Tabla9361730552357639093[[#This Row],[Prima Pagada gmm]])</f>
        <v>26557.93</v>
      </c>
      <c r="I427" s="195" t="s">
        <v>78</v>
      </c>
      <c r="J427" s="195"/>
      <c r="K427" s="196">
        <v>2</v>
      </c>
    </row>
    <row r="428" spans="1:11" ht="13" x14ac:dyDescent="0.15">
      <c r="A428" s="185" t="s">
        <v>34</v>
      </c>
      <c r="B428" s="186">
        <f>SUM(Tabla9361730552357639093[[#This Row],[Vida]],Tabla9361730552357639093[[#This Row],[Gmm]])</f>
        <v>0.5</v>
      </c>
      <c r="C428" s="187"/>
      <c r="D428" s="197"/>
      <c r="E428" s="187">
        <v>0.5</v>
      </c>
      <c r="F428" s="197">
        <v>24773.23</v>
      </c>
      <c r="G428" s="199">
        <f>SUM(Tabla9361730552357639093[[#This Row],[Prima Pagada vida]],Tabla9361730552357639093[[#This Row],[Prima Pagada gmm]])</f>
        <v>24773.23</v>
      </c>
      <c r="I428" s="195" t="s">
        <v>119</v>
      </c>
      <c r="J428" s="195"/>
      <c r="K428" s="196">
        <v>2</v>
      </c>
    </row>
    <row r="429" spans="1:11" ht="13" x14ac:dyDescent="0.15">
      <c r="A429" s="185" t="s">
        <v>119</v>
      </c>
      <c r="B429" s="186">
        <f>SUM(Tabla9361730552357639093[[#This Row],[Vida]],Tabla9361730552357639093[[#This Row],[Gmm]])</f>
        <v>2</v>
      </c>
      <c r="C429" s="187">
        <v>2</v>
      </c>
      <c r="D429" s="197">
        <v>23288.080000000002</v>
      </c>
      <c r="E429" s="187"/>
      <c r="F429" s="197"/>
      <c r="G429" s="199">
        <f>SUM(Tabla9361730552357639093[[#This Row],[Prima Pagada vida]],Tabla9361730552357639093[[#This Row],[Prima Pagada gmm]])</f>
        <v>23288.080000000002</v>
      </c>
      <c r="I429" s="195" t="s">
        <v>31</v>
      </c>
      <c r="J429" s="195"/>
      <c r="K429" s="196">
        <v>2</v>
      </c>
    </row>
    <row r="430" spans="1:11" ht="13" x14ac:dyDescent="0.15">
      <c r="A430" s="185" t="s">
        <v>32</v>
      </c>
      <c r="B430" s="186">
        <f>SUM(Tabla9361730552357639093[[#This Row],[Vida]],Tabla9361730552357639093[[#This Row],[Gmm]])</f>
        <v>2</v>
      </c>
      <c r="C430" s="187">
        <v>2</v>
      </c>
      <c r="D430" s="197">
        <v>18414.95</v>
      </c>
      <c r="E430" s="189"/>
      <c r="F430" s="198"/>
      <c r="G430" s="200">
        <f>SUM(Tabla9361730552357639093[[#This Row],[Prima Pagada vida]],Tabla9361730552357639093[[#This Row],[Prima Pagada gmm]])</f>
        <v>18414.95</v>
      </c>
      <c r="I430" s="195" t="s">
        <v>105</v>
      </c>
      <c r="J430" s="195"/>
      <c r="K430" s="196">
        <v>2</v>
      </c>
    </row>
    <row r="431" spans="1:11" ht="13" x14ac:dyDescent="0.15">
      <c r="A431" s="185" t="s">
        <v>31</v>
      </c>
      <c r="B431" s="186">
        <f>SUM(Tabla9361730552357639093[[#This Row],[Vida]],Tabla9361730552357639093[[#This Row],[Gmm]])</f>
        <v>2</v>
      </c>
      <c r="C431" s="187">
        <v>2</v>
      </c>
      <c r="D431" s="197">
        <v>17809.59</v>
      </c>
      <c r="E431" s="187"/>
      <c r="F431" s="197"/>
      <c r="G431" s="199">
        <f>SUM(Tabla9361730552357639093[[#This Row],[Prima Pagada vida]],Tabla9361730552357639093[[#This Row],[Prima Pagada gmm]])</f>
        <v>17809.59</v>
      </c>
      <c r="I431" s="195" t="s">
        <v>26</v>
      </c>
      <c r="J431" s="195"/>
      <c r="K431" s="196">
        <v>1</v>
      </c>
    </row>
    <row r="432" spans="1:11" ht="13" x14ac:dyDescent="0.15">
      <c r="A432" s="185" t="s">
        <v>24</v>
      </c>
      <c r="B432" s="186">
        <f>SUM(Tabla9361730552357639093[[#This Row],[Vida]],Tabla9361730552357639093[[#This Row],[Gmm]])</f>
        <v>1</v>
      </c>
      <c r="C432" s="187">
        <v>1</v>
      </c>
      <c r="D432" s="197">
        <v>17276.71</v>
      </c>
      <c r="E432" s="187"/>
      <c r="F432" s="197"/>
      <c r="G432" s="200">
        <f>SUM(Tabla9361730552357639093[[#This Row],[Prima Pagada vida]],Tabla9361730552357639093[[#This Row],[Prima Pagada gmm]])</f>
        <v>17276.71</v>
      </c>
      <c r="I432" s="195" t="s">
        <v>110</v>
      </c>
      <c r="J432" s="195"/>
      <c r="K432" s="196">
        <v>1</v>
      </c>
    </row>
    <row r="433" spans="1:12" ht="13" x14ac:dyDescent="0.15">
      <c r="A433" s="185" t="s">
        <v>22</v>
      </c>
      <c r="B433" s="186">
        <f>SUM(Tabla9361730552357639093[[#This Row],[Vida]],Tabla9361730552357639093[[#This Row],[Gmm]])</f>
        <v>0.5</v>
      </c>
      <c r="C433" s="187">
        <v>0</v>
      </c>
      <c r="D433" s="197">
        <v>0</v>
      </c>
      <c r="E433" s="189">
        <v>0.5</v>
      </c>
      <c r="F433" s="198">
        <v>13439.76</v>
      </c>
      <c r="G433" s="199">
        <f>SUM(Tabla9361730552357639093[[#This Row],[Prima Pagada vida]],Tabla9361730552357639093[[#This Row],[Prima Pagada gmm]])</f>
        <v>13439.76</v>
      </c>
      <c r="I433" s="195" t="s">
        <v>27</v>
      </c>
      <c r="J433" s="195"/>
      <c r="K433" s="196">
        <v>1</v>
      </c>
    </row>
    <row r="434" spans="1:12" ht="13" x14ac:dyDescent="0.15">
      <c r="A434" s="185" t="s">
        <v>124</v>
      </c>
      <c r="B434" s="186">
        <f>SUM(Tabla9361730552357639093[[#This Row],[Vida]],Tabla9361730552357639093[[#This Row],[Gmm]])</f>
        <v>1</v>
      </c>
      <c r="C434" s="187">
        <v>1</v>
      </c>
      <c r="D434" s="197">
        <v>13184.04</v>
      </c>
      <c r="E434" s="187"/>
      <c r="F434" s="197"/>
      <c r="G434" s="199">
        <f>SUM(Tabla9361730552357639093[[#This Row],[Prima Pagada vida]],Tabla9361730552357639093[[#This Row],[Prima Pagada gmm]])</f>
        <v>13184.04</v>
      </c>
      <c r="I434" s="195" t="s">
        <v>24</v>
      </c>
      <c r="J434" s="195"/>
      <c r="K434" s="196">
        <v>1</v>
      </c>
    </row>
    <row r="435" spans="1:12" ht="13" x14ac:dyDescent="0.15">
      <c r="A435" s="185" t="s">
        <v>97</v>
      </c>
      <c r="B435" s="186">
        <f>SUM(Tabla9361730552357639093[[#This Row],[Vida]],Tabla9361730552357639093[[#This Row],[Gmm]])</f>
        <v>1</v>
      </c>
      <c r="C435" s="187">
        <v>1</v>
      </c>
      <c r="D435" s="197">
        <v>9014.51</v>
      </c>
      <c r="E435" s="201"/>
      <c r="F435" s="202"/>
      <c r="G435" s="200">
        <f>SUM(Tabla9361730552357639093[[#This Row],[Prima Pagada vida]],Tabla9361730552357639093[[#This Row],[Prima Pagada gmm]])</f>
        <v>9014.51</v>
      </c>
      <c r="I435" s="195" t="s">
        <v>32</v>
      </c>
      <c r="J435" s="195"/>
      <c r="K435" s="196">
        <v>2</v>
      </c>
    </row>
    <row r="436" spans="1:12" ht="13" x14ac:dyDescent="0.15">
      <c r="A436" s="185" t="s">
        <v>105</v>
      </c>
      <c r="B436" s="186">
        <f>SUM(Tabla9361730552357639093[[#This Row],[Vida]],Tabla9361730552357639093[[#This Row],[Gmm]])</f>
        <v>2</v>
      </c>
      <c r="C436" s="187">
        <v>2</v>
      </c>
      <c r="D436" s="197">
        <v>8295.27</v>
      </c>
      <c r="E436" s="203"/>
      <c r="F436" s="204"/>
      <c r="G436" s="200">
        <f>SUM(Tabla9361730552357639093[[#This Row],[Prima Pagada vida]],Tabla9361730552357639093[[#This Row],[Prima Pagada gmm]])</f>
        <v>8295.27</v>
      </c>
      <c r="I436" s="195" t="s">
        <v>124</v>
      </c>
      <c r="J436" s="195"/>
      <c r="K436" s="196">
        <v>1</v>
      </c>
    </row>
    <row r="437" spans="1:12" ht="13" x14ac:dyDescent="0.15">
      <c r="A437" s="185" t="s">
        <v>18</v>
      </c>
      <c r="B437" s="186">
        <f>SUM(Tabla9361730552357639093[[#This Row],[Vida]],Tabla9361730552357639093[[#This Row],[Gmm]])</f>
        <v>1</v>
      </c>
      <c r="C437" s="187">
        <v>1</v>
      </c>
      <c r="D437" s="197">
        <v>3125.3</v>
      </c>
      <c r="E437" s="187"/>
      <c r="F437" s="197"/>
      <c r="G437" s="199">
        <f>SUM(Tabla9361730552357639093[[#This Row],[Prima Pagada vida]],Tabla9361730552357639093[[#This Row],[Prima Pagada gmm]])</f>
        <v>3125.3</v>
      </c>
      <c r="I437" s="195" t="s">
        <v>97</v>
      </c>
      <c r="J437" s="195"/>
      <c r="K437" s="196">
        <v>1</v>
      </c>
    </row>
    <row r="438" spans="1:12" ht="13" x14ac:dyDescent="0.15">
      <c r="A438" s="185" t="s">
        <v>28</v>
      </c>
      <c r="B438" s="186">
        <f>SUM(Tabla9361730552357639093[[#This Row],[Vida]],Tabla9361730552357639093[[#This Row],[Gmm]])</f>
        <v>1</v>
      </c>
      <c r="C438" s="187">
        <v>1</v>
      </c>
      <c r="D438" s="197">
        <v>2764.66</v>
      </c>
      <c r="E438" s="187"/>
      <c r="F438" s="197"/>
      <c r="G438" s="199">
        <f>SUM(Tabla9361730552357639093[[#This Row],[Prima Pagada vida]],Tabla9361730552357639093[[#This Row],[Prima Pagada gmm]])</f>
        <v>2764.66</v>
      </c>
      <c r="I438" s="195" t="s">
        <v>18</v>
      </c>
      <c r="J438" s="195"/>
      <c r="K438" s="196">
        <v>1</v>
      </c>
    </row>
    <row r="439" spans="1:12" ht="13" x14ac:dyDescent="0.15">
      <c r="A439" s="185" t="s">
        <v>25</v>
      </c>
      <c r="B439" s="186">
        <f>SUM(Tabla9361730552357639093[[#This Row],[Vida]],Tabla9361730552357639093[[#This Row],[Gmm]])</f>
        <v>1</v>
      </c>
      <c r="C439" s="187">
        <v>1</v>
      </c>
      <c r="D439" s="197">
        <v>1586.08</v>
      </c>
      <c r="E439" s="187"/>
      <c r="F439" s="197"/>
      <c r="G439" s="199">
        <f>SUM(Tabla9361730552357639093[[#This Row],[Prima Pagada vida]],Tabla9361730552357639093[[#This Row],[Prima Pagada gmm]])</f>
        <v>1586.08</v>
      </c>
      <c r="I439" s="195" t="s">
        <v>28</v>
      </c>
      <c r="J439" s="195"/>
      <c r="K439" s="196">
        <v>1</v>
      </c>
    </row>
    <row r="440" spans="1:12" ht="13" x14ac:dyDescent="0.15">
      <c r="A440" s="185" t="s">
        <v>37</v>
      </c>
      <c r="B440" s="186">
        <f>SUM(Tabla9361730552357639093[[#This Row],[Vida]],Tabla9361730552357639093[[#This Row],[Gmm]])</f>
        <v>0.5</v>
      </c>
      <c r="C440" s="187">
        <v>0</v>
      </c>
      <c r="D440" s="197">
        <v>0</v>
      </c>
      <c r="E440" s="187">
        <v>0.5</v>
      </c>
      <c r="F440" s="197">
        <v>1557.85</v>
      </c>
      <c r="G440" s="200">
        <f>SUM(Tabla9361730552357639093[[#This Row],[Prima Pagada vida]],Tabla9361730552357639093[[#This Row],[Prima Pagada gmm]])</f>
        <v>1557.85</v>
      </c>
      <c r="I440" s="195" t="s">
        <v>25</v>
      </c>
      <c r="J440" s="195"/>
      <c r="K440" s="196">
        <v>1</v>
      </c>
    </row>
    <row r="441" spans="1:12" x14ac:dyDescent="0.15">
      <c r="A441" s="185" t="s">
        <v>16</v>
      </c>
      <c r="B441" s="186">
        <f>SUM(Tabla9361730552357639093[[#This Row],[Vida]],Tabla9361730552357639093[[#This Row],[Gmm]])</f>
        <v>0.5</v>
      </c>
      <c r="C441" s="187">
        <v>0</v>
      </c>
      <c r="D441" s="197">
        <v>0</v>
      </c>
      <c r="E441" s="189">
        <v>0.5</v>
      </c>
      <c r="F441" s="198">
        <v>1386.54</v>
      </c>
      <c r="G441" s="205">
        <f>SUM(Tabla9361730552357639093[[#This Row],[Prima Pagada vida]],Tabla9361730552357639093[[#This Row],[Prima Pagada gmm]])</f>
        <v>1386.54</v>
      </c>
      <c r="I441" s="123" t="s">
        <v>120</v>
      </c>
      <c r="J441" s="122"/>
      <c r="K441" s="184">
        <f>MAX(0,53-SUM(K419:K440))</f>
        <v>7</v>
      </c>
    </row>
    <row r="442" spans="1:12" x14ac:dyDescent="0.15">
      <c r="A442" s="185" t="s">
        <v>85</v>
      </c>
      <c r="B442" s="124">
        <f>SUM(Tabla9361730552357639093[[#This Row],[Vida]],Tabla9361730552357639093[[#This Row],[Gmm]])</f>
        <v>0</v>
      </c>
      <c r="C442" s="72">
        <v>0</v>
      </c>
      <c r="D442" s="206">
        <v>0</v>
      </c>
      <c r="E442" s="207"/>
      <c r="F442" s="208"/>
      <c r="G442" s="79">
        <f>SUM(Tabla9361730552357639093[[#This Row],[Prima Pagada vida]],Tabla9361730552357639093[[#This Row],[Prima Pagada gmm]])</f>
        <v>0</v>
      </c>
      <c r="I442" s="1" t="s">
        <v>125</v>
      </c>
      <c r="K442" s="184">
        <f>SUM(K419:K440)</f>
        <v>46</v>
      </c>
    </row>
    <row r="443" spans="1:12" x14ac:dyDescent="0.15">
      <c r="A443" s="185" t="s">
        <v>41</v>
      </c>
      <c r="B443" s="124">
        <f>SUM(Tabla9361730552357639093[[#This Row],[Vida]],Tabla9361730552357639093[[#This Row],[Gmm]])</f>
        <v>0</v>
      </c>
      <c r="C443" s="72">
        <v>0</v>
      </c>
      <c r="D443" s="206">
        <v>0</v>
      </c>
      <c r="E443" s="72"/>
      <c r="F443" s="206"/>
      <c r="G443" s="79">
        <f>SUM(Tabla9361730552357639093[[#This Row],[Prima Pagada vida]],Tabla9361730552357639093[[#This Row],[Prima Pagada gmm]])</f>
        <v>0</v>
      </c>
      <c r="I443" s="112"/>
      <c r="J443" s="112"/>
      <c r="K443" s="113"/>
    </row>
    <row r="444" spans="1:12" ht="13" x14ac:dyDescent="0.15">
      <c r="A444" s="185" t="s">
        <v>35</v>
      </c>
      <c r="B444" s="124">
        <f>SUM(Tabla9361730552357639093[[#This Row],[Vida]],Tabla9361730552357639093[[#This Row],[Gmm]])</f>
        <v>0</v>
      </c>
      <c r="C444" s="72">
        <v>0</v>
      </c>
      <c r="D444" s="206">
        <v>0</v>
      </c>
      <c r="E444" s="72"/>
      <c r="F444" s="206"/>
      <c r="G444" s="77">
        <f>SUM(Tabla9361730552357639093[[#This Row],[Prima Pagada vida]],Tabla9361730552357639093[[#This Row],[Prima Pagada gmm]])</f>
        <v>0</v>
      </c>
      <c r="I444" s="112"/>
      <c r="J444" s="112"/>
      <c r="K444" s="113"/>
    </row>
    <row r="445" spans="1:12" ht="13" x14ac:dyDescent="0.15">
      <c r="A445" s="185" t="s">
        <v>29</v>
      </c>
      <c r="B445" s="124">
        <f>SUM(Tabla9361730552357639093[[#This Row],[Vida]],Tabla9361730552357639093[[#This Row],[Gmm]])</f>
        <v>0</v>
      </c>
      <c r="C445" s="72">
        <v>0</v>
      </c>
      <c r="D445" s="206">
        <v>0</v>
      </c>
      <c r="E445" s="72"/>
      <c r="F445" s="206"/>
      <c r="G445" s="76">
        <f>SUM(Tabla9361730552357639093[[#This Row],[Prima Pagada vida]],Tabla9361730552357639093[[#This Row],[Prima Pagada gmm]])</f>
        <v>0</v>
      </c>
      <c r="I445" s="112"/>
      <c r="J445" s="112"/>
      <c r="K445" s="113"/>
    </row>
    <row r="446" spans="1:12" ht="13" x14ac:dyDescent="0.15">
      <c r="A446" s="185" t="s">
        <v>49</v>
      </c>
      <c r="B446" s="124">
        <f>SUM(Tabla9361730552357639093[[#This Row],[Vida]],Tabla9361730552357639093[[#This Row],[Gmm]])</f>
        <v>0</v>
      </c>
      <c r="C446" s="72">
        <v>0</v>
      </c>
      <c r="D446" s="206">
        <v>0</v>
      </c>
      <c r="E446" s="74"/>
      <c r="F446" s="209"/>
      <c r="G446" s="77">
        <f>SUM(Tabla9361730552357639093[[#This Row],[Prima Pagada vida]],Tabla9361730552357639093[[#This Row],[Prima Pagada gmm]])</f>
        <v>0</v>
      </c>
      <c r="I446" s="112"/>
      <c r="J446" s="112"/>
      <c r="K446" s="113"/>
      <c r="L446" s="103"/>
    </row>
    <row r="447" spans="1:12" ht="13" x14ac:dyDescent="0.15">
      <c r="A447" s="185" t="s">
        <v>98</v>
      </c>
      <c r="B447" s="124">
        <f>SUM(Tabla9361730552357639093[[#This Row],[Vida]],Tabla9361730552357639093[[#This Row],[Gmm]])</f>
        <v>0</v>
      </c>
      <c r="C447" s="72">
        <v>0</v>
      </c>
      <c r="D447" s="206">
        <v>0</v>
      </c>
      <c r="E447" s="72"/>
      <c r="F447" s="206"/>
      <c r="G447" s="77">
        <f>SUM(Tabla9361730552357639093[[#This Row],[Prima Pagada vida]],Tabla9361730552357639093[[#This Row],[Prima Pagada gmm]])</f>
        <v>0</v>
      </c>
      <c r="I447" s="112"/>
      <c r="J447" s="112"/>
      <c r="K447" s="113"/>
      <c r="L447" s="103"/>
    </row>
    <row r="448" spans="1:12" ht="13" x14ac:dyDescent="0.15">
      <c r="A448" s="210" t="s">
        <v>17</v>
      </c>
      <c r="B448" s="124">
        <f>SUM(Tabla9361730552357639093[[#This Row],[Vida]],Tabla9361730552357639093[[#This Row],[Gmm]])</f>
        <v>0</v>
      </c>
      <c r="C448" s="72">
        <v>0</v>
      </c>
      <c r="D448" s="206">
        <v>0</v>
      </c>
      <c r="E448" s="207"/>
      <c r="F448" s="208"/>
      <c r="G448" s="76">
        <f>SUM(Tabla9361730552357639093[[#This Row],[Prima Pagada vida]],Tabla9361730552357639093[[#This Row],[Prima Pagada gmm]])</f>
        <v>0</v>
      </c>
      <c r="I448" s="1" t="s">
        <v>56</v>
      </c>
      <c r="L448" s="103"/>
    </row>
    <row r="449" spans="1:12" ht="13" x14ac:dyDescent="0.15">
      <c r="A449" s="210" t="s">
        <v>43</v>
      </c>
      <c r="B449" s="124">
        <f>SUM(Tabla9361730552357639093[[#This Row],[Vida]],Tabla9361730552357639093[[#This Row],[Gmm]])</f>
        <v>0</v>
      </c>
      <c r="C449" s="72">
        <v>0</v>
      </c>
      <c r="D449" s="206">
        <v>0</v>
      </c>
      <c r="E449" s="211"/>
      <c r="F449" s="208"/>
      <c r="G449" s="76">
        <f>SUM(Tabla9361730552357639093[[#This Row],[Prima Pagada vida]],Tabla9361730552357639093[[#This Row],[Prima Pagada gmm]])</f>
        <v>0</v>
      </c>
      <c r="I449" s="106" t="s">
        <v>74</v>
      </c>
      <c r="J449" s="106"/>
      <c r="K449" s="106" t="s">
        <v>126</v>
      </c>
      <c r="L449" s="103"/>
    </row>
    <row r="450" spans="1:12" ht="13" x14ac:dyDescent="0.15">
      <c r="A450" s="212" t="s">
        <v>46</v>
      </c>
      <c r="B450" s="124">
        <f>SUM(Tabla9361730552357639093[[#This Row],[Vida]],Tabla9361730552357639093[[#This Row],[Gmm]])</f>
        <v>0</v>
      </c>
      <c r="C450" s="124">
        <v>0</v>
      </c>
      <c r="D450" s="213">
        <v>0</v>
      </c>
      <c r="E450" s="74"/>
      <c r="F450" s="209"/>
      <c r="G450" s="77">
        <f>SUM(Tabla9361730552357639093[[#This Row],[Prima Pagada vida]],Tabla9361730552357639093[[#This Row],[Prima Pagada gmm]])</f>
        <v>0</v>
      </c>
      <c r="H450" s="103"/>
      <c r="I450" s="106" t="s">
        <v>59</v>
      </c>
      <c r="J450" s="106"/>
      <c r="K450" s="106" t="s">
        <v>79</v>
      </c>
      <c r="L450" s="103"/>
    </row>
    <row r="451" spans="1:12" ht="13" x14ac:dyDescent="0.15">
      <c r="A451" s="212" t="s">
        <v>39</v>
      </c>
      <c r="B451" s="124">
        <f>SUM(Tabla9361730552357639093[[#This Row],[Vida]],Tabla9361730552357639093[[#This Row],[Gmm]])</f>
        <v>0</v>
      </c>
      <c r="C451" s="124">
        <v>0</v>
      </c>
      <c r="D451" s="213">
        <v>0</v>
      </c>
      <c r="E451" s="74"/>
      <c r="F451" s="209"/>
      <c r="G451" s="77">
        <f>SUM(Tabla9361730552357639093[[#This Row],[Prima Pagada vida]],Tabla9361730552357639093[[#This Row],[Prima Pagada gmm]])</f>
        <v>0</v>
      </c>
      <c r="I451" s="106" t="s">
        <v>61</v>
      </c>
      <c r="J451" s="106"/>
      <c r="K451" s="106" t="s">
        <v>118</v>
      </c>
      <c r="L451" s="103"/>
    </row>
    <row r="452" spans="1:12" ht="13" x14ac:dyDescent="0.15">
      <c r="A452" s="43" t="s">
        <v>50</v>
      </c>
      <c r="B452" s="214">
        <f>SUM(Tabla9361730552357639093[[Pólizas ]])</f>
        <v>58</v>
      </c>
      <c r="C452" s="215">
        <f>SUM(Tabla9361730552357639093[Vida])</f>
        <v>46</v>
      </c>
      <c r="D452" s="216">
        <f>SUM(Tabla9361730552357639093[Prima Pagada vida])</f>
        <v>897849.82</v>
      </c>
      <c r="E452" s="217">
        <f>SUM(Tabla9361730552357639093[Gmm])</f>
        <v>12</v>
      </c>
      <c r="F452" s="216">
        <f>SUM(Tabla9361730552357639093[Prima Pagada gmm])</f>
        <v>616905.65</v>
      </c>
      <c r="G452" s="216">
        <f>SUM(Tabla9361730552357639093[Prima total])</f>
        <v>1514755.4700000007</v>
      </c>
      <c r="I452" s="106" t="s">
        <v>63</v>
      </c>
      <c r="J452" s="106"/>
      <c r="K452" s="106" t="s">
        <v>118</v>
      </c>
      <c r="L452" s="103"/>
    </row>
    <row r="453" spans="1:12" ht="13" x14ac:dyDescent="0.15">
      <c r="D453" s="1"/>
      <c r="E453" s="1"/>
      <c r="G453" s="1"/>
      <c r="I453" s="106" t="s">
        <v>65</v>
      </c>
      <c r="J453" s="106"/>
      <c r="K453" s="106" t="s">
        <v>127</v>
      </c>
      <c r="L453" s="103"/>
    </row>
    <row r="454" spans="1:12" ht="13" x14ac:dyDescent="0.15">
      <c r="D454" s="1"/>
      <c r="E454" s="1"/>
      <c r="G454" s="1"/>
      <c r="I454" s="106" t="s">
        <v>67</v>
      </c>
      <c r="J454" s="106"/>
      <c r="K454" s="106" t="s">
        <v>128</v>
      </c>
      <c r="L454" s="103"/>
    </row>
    <row r="455" spans="1:12" ht="13" x14ac:dyDescent="0.15">
      <c r="D455" s="1"/>
      <c r="E455" s="1"/>
      <c r="G455" s="1"/>
      <c r="I455" s="106" t="s">
        <v>68</v>
      </c>
      <c r="J455" s="106"/>
      <c r="K455" s="106" t="s">
        <v>128</v>
      </c>
      <c r="L455" s="103"/>
    </row>
    <row r="456" spans="1:12" ht="13" x14ac:dyDescent="0.15">
      <c r="D456" s="1"/>
      <c r="E456" s="1"/>
      <c r="G456" s="1"/>
      <c r="I456" s="133" t="s">
        <v>69</v>
      </c>
      <c r="J456" s="133"/>
      <c r="K456" s="106" t="s">
        <v>128</v>
      </c>
      <c r="L456" s="103"/>
    </row>
    <row r="457" spans="1:12" ht="13" x14ac:dyDescent="0.15">
      <c r="D457" s="1"/>
      <c r="E457" s="1"/>
      <c r="G457" s="1"/>
      <c r="L457" s="103"/>
    </row>
    <row r="458" spans="1:12" ht="13" x14ac:dyDescent="0.15">
      <c r="D458" s="1"/>
      <c r="E458" s="1"/>
      <c r="G458" s="1"/>
      <c r="L458" s="103"/>
    </row>
    <row r="459" spans="1:12" ht="13" x14ac:dyDescent="0.15">
      <c r="D459" s="1"/>
      <c r="E459" s="1"/>
      <c r="G459" s="1"/>
      <c r="I459" s="112"/>
      <c r="J459" s="112"/>
      <c r="K459" s="113"/>
      <c r="L459" s="103"/>
    </row>
    <row r="460" spans="1:12" ht="13" x14ac:dyDescent="0.15">
      <c r="D460" s="1"/>
      <c r="E460" s="1"/>
      <c r="G460" s="1"/>
      <c r="I460" s="112"/>
      <c r="J460" s="112"/>
      <c r="K460" s="113"/>
      <c r="L460" s="103"/>
    </row>
    <row r="461" spans="1:12" ht="13" x14ac:dyDescent="0.15">
      <c r="D461" s="1"/>
      <c r="E461" s="1"/>
      <c r="G461" s="1"/>
      <c r="I461" s="112"/>
      <c r="J461" s="112"/>
      <c r="K461" s="113"/>
      <c r="L461" s="103"/>
    </row>
    <row r="462" spans="1:12" ht="13" x14ac:dyDescent="0.15">
      <c r="D462" s="1"/>
      <c r="E462" s="1"/>
      <c r="G462" s="1"/>
      <c r="I462" s="112"/>
      <c r="J462" s="112"/>
      <c r="K462" s="113"/>
      <c r="L462" s="103"/>
    </row>
    <row r="463" spans="1:12" x14ac:dyDescent="0.15">
      <c r="A463" s="320" t="s">
        <v>129</v>
      </c>
      <c r="B463" s="320"/>
      <c r="C463" s="320"/>
      <c r="D463" s="320"/>
      <c r="E463" s="320"/>
      <c r="F463" s="320"/>
      <c r="G463" s="320"/>
      <c r="H463" s="320"/>
    </row>
    <row r="464" spans="1:12" ht="28" x14ac:dyDescent="0.15">
      <c r="A464" s="2" t="s">
        <v>1</v>
      </c>
      <c r="B464" s="3" t="s">
        <v>2</v>
      </c>
      <c r="C464" s="3" t="s">
        <v>3</v>
      </c>
      <c r="D464" s="4" t="s">
        <v>122</v>
      </c>
      <c r="E464" s="5" t="s">
        <v>5</v>
      </c>
      <c r="F464" s="3" t="s">
        <v>123</v>
      </c>
      <c r="G464" s="6" t="s">
        <v>7</v>
      </c>
    </row>
    <row r="465" spans="1:11" ht="13" x14ac:dyDescent="0.15">
      <c r="A465" s="185" t="s">
        <v>13</v>
      </c>
      <c r="B465" s="191">
        <f>SUM(Tabla936173055235763909354[[#This Row],[Vida]],Tabla936173055235763909354[[#This Row],[Gmm]])</f>
        <v>6.5</v>
      </c>
      <c r="C465" s="56">
        <v>4</v>
      </c>
      <c r="D465" s="188">
        <v>67280.53</v>
      </c>
      <c r="E465" s="56">
        <v>2.5</v>
      </c>
      <c r="F465" s="188">
        <v>147503.60999999999</v>
      </c>
      <c r="G465" s="58">
        <f>SUM(Tabla936173055235763909354[[#This Row],[Prima Pagada vida]],Tabla936173055235763909354[[#This Row],[Prima Pagada gmm]])</f>
        <v>214784.13999999998</v>
      </c>
    </row>
    <row r="466" spans="1:11" ht="13" x14ac:dyDescent="0.15">
      <c r="A466" s="185" t="s">
        <v>11</v>
      </c>
      <c r="B466" s="191">
        <f>SUM(Tabla936173055235763909354[[#This Row],[Vida]],Tabla936173055235763909354[[#This Row],[Gmm]])</f>
        <v>3.5</v>
      </c>
      <c r="C466" s="56">
        <v>3</v>
      </c>
      <c r="D466" s="188">
        <v>77462.789999999994</v>
      </c>
      <c r="E466" s="56">
        <v>0.5</v>
      </c>
      <c r="F466" s="57">
        <v>41945.99</v>
      </c>
      <c r="G466" s="58">
        <f>SUM(Tabla936173055235763909354[[#This Row],[Prima Pagada vida]],Tabla936173055235763909354[[#This Row],[Prima Pagada gmm]])</f>
        <v>119408.78</v>
      </c>
    </row>
    <row r="467" spans="1:11" ht="13" x14ac:dyDescent="0.15">
      <c r="A467" s="185" t="s">
        <v>76</v>
      </c>
      <c r="B467" s="191">
        <f>SUM(Tabla936173055235763909354[[#This Row],[Vida]],Tabla936173055235763909354[[#This Row],[Gmm]])</f>
        <v>5</v>
      </c>
      <c r="C467" s="56">
        <v>4</v>
      </c>
      <c r="D467" s="188">
        <v>98813.08</v>
      </c>
      <c r="E467" s="56">
        <v>1</v>
      </c>
      <c r="F467" s="57">
        <v>4880.42</v>
      </c>
      <c r="G467" s="58">
        <f>SUM(Tabla936173055235763909354[[#This Row],[Prima Pagada vida]],Tabla936173055235763909354[[#This Row],[Prima Pagada gmm]])</f>
        <v>103693.5</v>
      </c>
    </row>
    <row r="468" spans="1:11" ht="13" x14ac:dyDescent="0.15">
      <c r="A468" s="185" t="s">
        <v>32</v>
      </c>
      <c r="B468" s="100">
        <f>SUM(Tabla936173055235763909354[[#This Row],[Vida]],Tabla936173055235763909354[[#This Row],[Gmm]])</f>
        <v>2</v>
      </c>
      <c r="C468" s="61">
        <v>2</v>
      </c>
      <c r="D468" s="188">
        <v>73926.47</v>
      </c>
      <c r="E468" s="61"/>
      <c r="F468" s="188"/>
      <c r="G468" s="58">
        <f>SUM(Tabla936173055235763909354[[#This Row],[Prima Pagada vida]],Tabla936173055235763909354[[#This Row],[Prima Pagada gmm]])</f>
        <v>73926.47</v>
      </c>
    </row>
    <row r="469" spans="1:11" ht="13" x14ac:dyDescent="0.15">
      <c r="A469" s="185" t="s">
        <v>24</v>
      </c>
      <c r="B469" s="100">
        <f>SUM(Tabla936173055235763909354[[#This Row],[Vida]],Tabla936173055235763909354[[#This Row],[Gmm]])</f>
        <v>1</v>
      </c>
      <c r="C469" s="61">
        <v>1</v>
      </c>
      <c r="D469" s="188">
        <v>70100.37</v>
      </c>
      <c r="E469" s="61"/>
      <c r="F469" s="188"/>
      <c r="G469" s="194">
        <f>SUM(Tabla936173055235763909354[[#This Row],[Prima Pagada vida]],Tabla936173055235763909354[[#This Row],[Prima Pagada gmm]])</f>
        <v>70100.37</v>
      </c>
    </row>
    <row r="470" spans="1:11" ht="13" x14ac:dyDescent="0.15">
      <c r="A470" s="185" t="s">
        <v>31</v>
      </c>
      <c r="B470" s="100">
        <f>SUM(Tabla936173055235763909354[[#This Row],[Vida]],Tabla936173055235763909354[[#This Row],[Gmm]])</f>
        <v>0.5</v>
      </c>
      <c r="C470" s="61">
        <v>0</v>
      </c>
      <c r="D470" s="188">
        <v>0</v>
      </c>
      <c r="E470" s="61">
        <v>0.5</v>
      </c>
      <c r="F470" s="57">
        <v>55645.54</v>
      </c>
      <c r="G470" s="58">
        <f>SUM(Tabla936173055235763909354[[#This Row],[Prima Pagada vida]],Tabla936173055235763909354[[#This Row],[Prima Pagada gmm]])</f>
        <v>55645.54</v>
      </c>
    </row>
    <row r="471" spans="1:11" ht="13" x14ac:dyDescent="0.15">
      <c r="A471" s="185" t="s">
        <v>20</v>
      </c>
      <c r="B471" s="100">
        <f>SUM(Tabla936173055235763909354[[#This Row],[Vida]],Tabla936173055235763909354[[#This Row],[Gmm]])</f>
        <v>2</v>
      </c>
      <c r="C471" s="61">
        <v>2</v>
      </c>
      <c r="D471" s="188">
        <v>51993.919999999998</v>
      </c>
      <c r="E471" s="61"/>
      <c r="F471" s="218"/>
      <c r="G471" s="58">
        <f>SUM(Tabla936173055235763909354[[#This Row],[Prima Pagada vida]],Tabla936173055235763909354[[#This Row],[Prima Pagada gmm]])</f>
        <v>51993.919999999998</v>
      </c>
      <c r="I471" s="195" t="s">
        <v>13</v>
      </c>
      <c r="J471" s="195"/>
      <c r="K471" s="196">
        <v>4</v>
      </c>
    </row>
    <row r="472" spans="1:11" ht="13" x14ac:dyDescent="0.15">
      <c r="A472" s="185" t="s">
        <v>27</v>
      </c>
      <c r="B472" s="191">
        <f>SUM(Tabla936173055235763909354[[#This Row],[Vida]],Tabla936173055235763909354[[#This Row],[Gmm]])</f>
        <v>3</v>
      </c>
      <c r="C472" s="56">
        <v>3</v>
      </c>
      <c r="D472" s="188">
        <v>50558.58</v>
      </c>
      <c r="E472" s="56"/>
      <c r="F472" s="188"/>
      <c r="G472" s="58">
        <f>SUM(Tabla936173055235763909354[[#This Row],[Prima Pagada vida]],Tabla936173055235763909354[[#This Row],[Prima Pagada gmm]])</f>
        <v>50558.58</v>
      </c>
      <c r="I472" s="195" t="s">
        <v>11</v>
      </c>
      <c r="J472" s="195"/>
      <c r="K472" s="196">
        <v>3</v>
      </c>
    </row>
    <row r="473" spans="1:11" ht="13" x14ac:dyDescent="0.15">
      <c r="A473" s="185" t="s">
        <v>97</v>
      </c>
      <c r="B473" s="191">
        <f>SUM(Tabla936173055235763909354[[#This Row],[Vida]],Tabla936173055235763909354[[#This Row],[Gmm]])</f>
        <v>4</v>
      </c>
      <c r="C473" s="56">
        <v>4</v>
      </c>
      <c r="D473" s="218">
        <v>34439.629999999997</v>
      </c>
      <c r="E473" s="56"/>
      <c r="F473" s="218"/>
      <c r="G473" s="118">
        <f>SUM(Tabla936173055235763909354[[#This Row],[Prima Pagada vida]],Tabla936173055235763909354[[#This Row],[Prima Pagada gmm]])</f>
        <v>34439.629999999997</v>
      </c>
      <c r="I473" s="195" t="s">
        <v>76</v>
      </c>
      <c r="J473" s="195"/>
      <c r="K473" s="196">
        <v>4</v>
      </c>
    </row>
    <row r="474" spans="1:11" ht="13" x14ac:dyDescent="0.15">
      <c r="A474" s="185" t="s">
        <v>39</v>
      </c>
      <c r="B474" s="100">
        <f>SUM(Tabla936173055235763909354[[#This Row],[Vida]],Tabla936173055235763909354[[#This Row],[Gmm]])</f>
        <v>1</v>
      </c>
      <c r="C474" s="61">
        <v>1</v>
      </c>
      <c r="D474" s="218">
        <v>26882.79</v>
      </c>
      <c r="E474" s="61"/>
      <c r="F474" s="218"/>
      <c r="G474" s="66">
        <f>SUM(Tabla936173055235763909354[[#This Row],[Prima Pagada vida]],Tabla936173055235763909354[[#This Row],[Prima Pagada gmm]])</f>
        <v>26882.79</v>
      </c>
      <c r="I474" s="195" t="s">
        <v>32</v>
      </c>
      <c r="J474" s="195"/>
      <c r="K474" s="196">
        <v>2</v>
      </c>
    </row>
    <row r="475" spans="1:11" ht="13" x14ac:dyDescent="0.15">
      <c r="A475" s="212" t="s">
        <v>21</v>
      </c>
      <c r="B475" s="100">
        <f>SUM(Tabla936173055235763909354[[#This Row],[Vida]],Tabla936173055235763909354[[#This Row],[Gmm]])</f>
        <v>0.5</v>
      </c>
      <c r="C475" s="100">
        <v>0</v>
      </c>
      <c r="D475" s="219">
        <v>0</v>
      </c>
      <c r="E475" s="61">
        <v>0.5</v>
      </c>
      <c r="F475" s="64">
        <v>24794.51</v>
      </c>
      <c r="G475" s="118">
        <f>SUM(Tabla936173055235763909354[[#This Row],[Prima Pagada vida]],Tabla936173055235763909354[[#This Row],[Prima Pagada gmm]])</f>
        <v>24794.51</v>
      </c>
      <c r="I475" s="195" t="s">
        <v>24</v>
      </c>
      <c r="J475" s="195"/>
      <c r="K475" s="196">
        <v>1</v>
      </c>
    </row>
    <row r="476" spans="1:11" ht="13" x14ac:dyDescent="0.15">
      <c r="A476" s="185" t="s">
        <v>98</v>
      </c>
      <c r="B476" s="100">
        <f>SUM(Tabla936173055235763909354[[#This Row],[Vida]],Tabla936173055235763909354[[#This Row],[Gmm]])</f>
        <v>1</v>
      </c>
      <c r="C476" s="61">
        <v>1</v>
      </c>
      <c r="D476" s="218">
        <v>13665.92</v>
      </c>
      <c r="E476" s="61"/>
      <c r="F476" s="218"/>
      <c r="G476" s="66">
        <f>SUM(Tabla936173055235763909354[[#This Row],[Prima Pagada vida]],Tabla936173055235763909354[[#This Row],[Prima Pagada gmm]])</f>
        <v>13665.92</v>
      </c>
      <c r="I476" s="195" t="s">
        <v>31</v>
      </c>
      <c r="J476" s="195"/>
      <c r="K476" s="196">
        <v>0</v>
      </c>
    </row>
    <row r="477" spans="1:11" ht="13" x14ac:dyDescent="0.15">
      <c r="A477" s="185" t="s">
        <v>116</v>
      </c>
      <c r="B477" s="100">
        <f>SUM(Tabla936173055235763909354[[#This Row],[Vida]],Tabla936173055235763909354[[#This Row],[Gmm]])</f>
        <v>1</v>
      </c>
      <c r="C477" s="61">
        <v>1</v>
      </c>
      <c r="D477" s="218">
        <v>13402.86</v>
      </c>
      <c r="E477" s="61"/>
      <c r="F477" s="218"/>
      <c r="G477" s="66">
        <f>SUM(Tabla936173055235763909354[[#This Row],[Prima Pagada vida]],Tabla936173055235763909354[[#This Row],[Prima Pagada gmm]])</f>
        <v>13402.86</v>
      </c>
      <c r="I477" s="195" t="s">
        <v>20</v>
      </c>
      <c r="J477" s="195"/>
      <c r="K477" s="196">
        <v>2</v>
      </c>
    </row>
    <row r="478" spans="1:11" ht="13" x14ac:dyDescent="0.15">
      <c r="A478" s="212" t="s">
        <v>130</v>
      </c>
      <c r="B478" s="100">
        <f>SUM(Tabla936173055235763909354[[#This Row],[Vida]],Tabla936173055235763909354[[#This Row],[Gmm]])</f>
        <v>0.5</v>
      </c>
      <c r="C478" s="100">
        <v>0</v>
      </c>
      <c r="D478" s="219">
        <v>0</v>
      </c>
      <c r="E478" s="61">
        <v>0.5</v>
      </c>
      <c r="F478" s="64">
        <v>13231.23</v>
      </c>
      <c r="G478" s="118">
        <f>SUM(Tabla936173055235763909354[[#This Row],[Prima Pagada vida]],Tabla936173055235763909354[[#This Row],[Prima Pagada gmm]])</f>
        <v>13231.23</v>
      </c>
      <c r="I478" s="195" t="s">
        <v>27</v>
      </c>
      <c r="J478" s="195"/>
      <c r="K478" s="196">
        <v>3</v>
      </c>
    </row>
    <row r="479" spans="1:11" ht="13" x14ac:dyDescent="0.15">
      <c r="A479" s="185" t="s">
        <v>30</v>
      </c>
      <c r="B479" s="100">
        <f>SUM(Tabla936173055235763909354[[#This Row],[Vida]],Tabla936173055235763909354[[#This Row],[Gmm]])</f>
        <v>1</v>
      </c>
      <c r="C479" s="61">
        <v>1</v>
      </c>
      <c r="D479" s="218">
        <v>4422.41</v>
      </c>
      <c r="E479" s="61"/>
      <c r="F479" s="218"/>
      <c r="G479" s="118">
        <f>SUM(Tabla936173055235763909354[[#This Row],[Prima Pagada vida]],Tabla936173055235763909354[[#This Row],[Prima Pagada gmm]])</f>
        <v>4422.41</v>
      </c>
      <c r="I479" s="195" t="s">
        <v>97</v>
      </c>
      <c r="J479" s="195"/>
      <c r="K479" s="196">
        <v>4</v>
      </c>
    </row>
    <row r="480" spans="1:11" x14ac:dyDescent="0.15">
      <c r="A480" s="185" t="s">
        <v>124</v>
      </c>
      <c r="B480" s="100">
        <f>SUM(Tabla936173055235763909354[[#This Row],[Vida]],Tabla936173055235763909354[[#This Row],[Gmm]])</f>
        <v>2</v>
      </c>
      <c r="C480" s="61">
        <v>2</v>
      </c>
      <c r="D480" s="218">
        <v>3506.45</v>
      </c>
      <c r="E480" s="61"/>
      <c r="F480" s="218"/>
      <c r="G480" s="70">
        <f>SUM(Tabla936173055235763909354[[#This Row],[Prima Pagada vida]],Tabla936173055235763909354[[#This Row],[Prima Pagada gmm]])</f>
        <v>3506.45</v>
      </c>
      <c r="I480" s="195" t="s">
        <v>39</v>
      </c>
      <c r="J480" s="195"/>
      <c r="K480" s="196">
        <v>1</v>
      </c>
    </row>
    <row r="481" spans="1:11" ht="13" x14ac:dyDescent="0.15">
      <c r="A481" s="185" t="s">
        <v>110</v>
      </c>
      <c r="B481" s="100">
        <f>SUM(Tabla936173055235763909354[[#This Row],[Vida]],Tabla936173055235763909354[[#This Row],[Gmm]])</f>
        <v>1.5</v>
      </c>
      <c r="C481" s="61">
        <v>1</v>
      </c>
      <c r="D481" s="218">
        <v>1708.99</v>
      </c>
      <c r="E481" s="61">
        <v>0.5</v>
      </c>
      <c r="F481" s="64">
        <v>1637.68</v>
      </c>
      <c r="G481" s="118">
        <f>SUM(Tabla936173055235763909354[[#This Row],[Prima Pagada vida]],Tabla936173055235763909354[[#This Row],[Prima Pagada gmm]])</f>
        <v>3346.67</v>
      </c>
      <c r="I481" s="195" t="s">
        <v>21</v>
      </c>
      <c r="J481" s="195"/>
      <c r="K481" s="196">
        <v>0</v>
      </c>
    </row>
    <row r="482" spans="1:11" ht="13" x14ac:dyDescent="0.15">
      <c r="A482" s="185" t="s">
        <v>35</v>
      </c>
      <c r="B482" s="100">
        <f>SUM(Tabla936173055235763909354[[#This Row],[Vida]],Tabla936173055235763909354[[#This Row],[Gmm]])</f>
        <v>1</v>
      </c>
      <c r="C482" s="61">
        <v>1</v>
      </c>
      <c r="D482" s="218">
        <v>2819.23</v>
      </c>
      <c r="E482" s="61"/>
      <c r="F482" s="218"/>
      <c r="G482" s="118">
        <f>SUM(Tabla936173055235763909354[[#This Row],[Prima Pagada vida]],Tabla936173055235763909354[[#This Row],[Prima Pagada gmm]])</f>
        <v>2819.23</v>
      </c>
      <c r="I482" s="220" t="s">
        <v>98</v>
      </c>
      <c r="J482" s="220"/>
      <c r="K482" s="196">
        <v>1</v>
      </c>
    </row>
    <row r="483" spans="1:11" ht="13" x14ac:dyDescent="0.15">
      <c r="A483" s="185" t="s">
        <v>38</v>
      </c>
      <c r="B483" s="100">
        <f>SUM(Tabla936173055235763909354[[#This Row],[Vida]],Tabla936173055235763909354[[#This Row],[Gmm]])</f>
        <v>1</v>
      </c>
      <c r="C483" s="61">
        <v>1</v>
      </c>
      <c r="D483" s="218">
        <v>2456.54</v>
      </c>
      <c r="E483" s="61"/>
      <c r="F483" s="218"/>
      <c r="G483" s="66">
        <f>SUM(Tabla936173055235763909354[[#This Row],[Prima Pagada vida]],Tabla936173055235763909354[[#This Row],[Prima Pagada gmm]])</f>
        <v>2456.54</v>
      </c>
      <c r="I483" s="195" t="s">
        <v>116</v>
      </c>
      <c r="J483" s="195"/>
      <c r="K483" s="196">
        <v>1</v>
      </c>
    </row>
    <row r="484" spans="1:11" ht="13" x14ac:dyDescent="0.15">
      <c r="A484" s="185" t="s">
        <v>85</v>
      </c>
      <c r="B484" s="100">
        <f>SUM(Tabla936173055235763909354[[#This Row],[Vida]],Tabla936173055235763909354[[#This Row],[Gmm]])</f>
        <v>0.5</v>
      </c>
      <c r="C484" s="61">
        <v>0</v>
      </c>
      <c r="D484" s="218">
        <v>0</v>
      </c>
      <c r="E484" s="61">
        <v>0.5</v>
      </c>
      <c r="F484" s="64">
        <v>1895.9</v>
      </c>
      <c r="G484" s="66">
        <f>SUM(Tabla936173055235763909354[[#This Row],[Prima Pagada vida]],Tabla936173055235763909354[[#This Row],[Prima Pagada gmm]])</f>
        <v>1895.9</v>
      </c>
      <c r="I484" s="195" t="s">
        <v>130</v>
      </c>
      <c r="J484" s="195"/>
      <c r="K484" s="196">
        <v>0</v>
      </c>
    </row>
    <row r="485" spans="1:11" ht="13" x14ac:dyDescent="0.15">
      <c r="A485" s="185" t="s">
        <v>17</v>
      </c>
      <c r="B485" s="100">
        <f>SUM(Tabla936173055235763909354[[#This Row],[Vida]],Tabla936173055235763909354[[#This Row],[Gmm]])</f>
        <v>1</v>
      </c>
      <c r="C485" s="61">
        <v>1</v>
      </c>
      <c r="D485" s="218">
        <v>1890.96</v>
      </c>
      <c r="E485" s="61"/>
      <c r="F485" s="218"/>
      <c r="G485" s="118">
        <f>SUM(Tabla936173055235763909354[[#This Row],[Prima Pagada vida]],Tabla936173055235763909354[[#This Row],[Prima Pagada gmm]])</f>
        <v>1890.96</v>
      </c>
      <c r="I485" s="220" t="s">
        <v>30</v>
      </c>
      <c r="J485" s="220"/>
      <c r="K485" s="196">
        <v>1</v>
      </c>
    </row>
    <row r="486" spans="1:11" ht="13" x14ac:dyDescent="0.15">
      <c r="A486" s="185" t="s">
        <v>28</v>
      </c>
      <c r="B486" s="100">
        <f>SUM(Tabla936173055235763909354[[#This Row],[Vida]],Tabla936173055235763909354[[#This Row],[Gmm]])</f>
        <v>1</v>
      </c>
      <c r="C486" s="61">
        <v>1</v>
      </c>
      <c r="D486" s="218">
        <v>1810.81</v>
      </c>
      <c r="E486" s="61"/>
      <c r="F486" s="218"/>
      <c r="G486" s="118">
        <f>SUM(Tabla936173055235763909354[[#This Row],[Prima Pagada vida]],Tabla936173055235763909354[[#This Row],[Prima Pagada gmm]])</f>
        <v>1810.81</v>
      </c>
      <c r="I486" s="195" t="s">
        <v>124</v>
      </c>
      <c r="J486" s="195"/>
      <c r="K486" s="196">
        <v>2</v>
      </c>
    </row>
    <row r="487" spans="1:11" ht="13" x14ac:dyDescent="0.15">
      <c r="A487" s="212" t="s">
        <v>131</v>
      </c>
      <c r="B487" s="100">
        <f>SUM(Tabla936173055235763909354[[#This Row],[Vida]],Tabla936173055235763909354[[#This Row],[Gmm]])</f>
        <v>1</v>
      </c>
      <c r="C487" s="100">
        <v>1</v>
      </c>
      <c r="D487" s="219">
        <v>1569.86</v>
      </c>
      <c r="E487" s="69"/>
      <c r="F487" s="221"/>
      <c r="G487" s="118">
        <f>SUM(Tabla936173055235763909354[[#This Row],[Prima Pagada vida]],Tabla936173055235763909354[[#This Row],[Prima Pagada gmm]])</f>
        <v>1569.86</v>
      </c>
      <c r="I487" s="195" t="s">
        <v>110</v>
      </c>
      <c r="J487" s="195"/>
      <c r="K487" s="196">
        <v>1</v>
      </c>
    </row>
    <row r="488" spans="1:11" ht="13" x14ac:dyDescent="0.15">
      <c r="A488" s="185" t="s">
        <v>18</v>
      </c>
      <c r="B488" s="124">
        <f>SUM(Tabla936173055235763909354[[#This Row],[Vida]],Tabla936173055235763909354[[#This Row],[Gmm]])</f>
        <v>0</v>
      </c>
      <c r="C488" s="72">
        <v>0</v>
      </c>
      <c r="D488" s="206">
        <v>0</v>
      </c>
      <c r="E488" s="72"/>
      <c r="F488" s="206"/>
      <c r="G488" s="76">
        <f>SUM(Tabla936173055235763909354[[#This Row],[Prima Pagada vida]],Tabla936173055235763909354[[#This Row],[Prima Pagada gmm]])</f>
        <v>0</v>
      </c>
      <c r="I488" s="195" t="s">
        <v>35</v>
      </c>
      <c r="J488" s="195"/>
      <c r="K488" s="196">
        <v>1</v>
      </c>
    </row>
    <row r="489" spans="1:11" x14ac:dyDescent="0.15">
      <c r="A489" s="185" t="s">
        <v>41</v>
      </c>
      <c r="B489" s="124">
        <f>SUM(Tabla936173055235763909354[[#This Row],[Vida]],Tabla936173055235763909354[[#This Row],[Gmm]])</f>
        <v>0</v>
      </c>
      <c r="C489" s="72">
        <v>0</v>
      </c>
      <c r="D489" s="206">
        <v>0</v>
      </c>
      <c r="E489" s="72"/>
      <c r="F489" s="206"/>
      <c r="G489" s="79">
        <f>SUM(Tabla936173055235763909354[[#This Row],[Prima Pagada vida]],Tabla936173055235763909354[[#This Row],[Prima Pagada gmm]])</f>
        <v>0</v>
      </c>
      <c r="I489" s="195" t="s">
        <v>38</v>
      </c>
      <c r="J489" s="195"/>
      <c r="K489" s="196">
        <v>1</v>
      </c>
    </row>
    <row r="490" spans="1:11" ht="13" x14ac:dyDescent="0.15">
      <c r="A490" s="185" t="s">
        <v>33</v>
      </c>
      <c r="B490" s="124">
        <f>SUM(Tabla936173055235763909354[[#This Row],[Vida]],Tabla936173055235763909354[[#This Row],[Gmm]])</f>
        <v>0</v>
      </c>
      <c r="C490" s="72">
        <v>0</v>
      </c>
      <c r="D490" s="206">
        <v>0</v>
      </c>
      <c r="E490" s="72"/>
      <c r="F490" s="206"/>
      <c r="G490" s="77">
        <f>SUM(Tabla936173055235763909354[[#This Row],[Prima Pagada vida]],Tabla936173055235763909354[[#This Row],[Prima Pagada gmm]])</f>
        <v>0</v>
      </c>
      <c r="I490" s="195" t="s">
        <v>85</v>
      </c>
      <c r="J490" s="195"/>
      <c r="K490" s="196">
        <v>0</v>
      </c>
    </row>
    <row r="491" spans="1:11" ht="13" x14ac:dyDescent="0.15">
      <c r="A491" s="185" t="s">
        <v>46</v>
      </c>
      <c r="B491" s="124">
        <f>SUM(Tabla936173055235763909354[[#This Row],[Vida]],Tabla936173055235763909354[[#This Row],[Gmm]])</f>
        <v>0</v>
      </c>
      <c r="C491" s="72">
        <v>0</v>
      </c>
      <c r="D491" s="206">
        <v>0</v>
      </c>
      <c r="E491" s="74"/>
      <c r="F491" s="206"/>
      <c r="G491" s="76">
        <f>SUM(Tabla936173055235763909354[[#This Row],[Prima Pagada vida]],Tabla936173055235763909354[[#This Row],[Prima Pagada gmm]])</f>
        <v>0</v>
      </c>
      <c r="I491" s="195" t="s">
        <v>17</v>
      </c>
      <c r="J491" s="195"/>
      <c r="K491" s="196">
        <v>1</v>
      </c>
    </row>
    <row r="492" spans="1:11" ht="13" x14ac:dyDescent="0.15">
      <c r="A492" s="185" t="s">
        <v>14</v>
      </c>
      <c r="B492" s="124">
        <f>SUM(Tabla936173055235763909354[[#This Row],[Vida]],Tabla936173055235763909354[[#This Row],[Gmm]])</f>
        <v>0</v>
      </c>
      <c r="C492" s="72">
        <v>0</v>
      </c>
      <c r="D492" s="206">
        <v>0</v>
      </c>
      <c r="E492" s="72"/>
      <c r="F492" s="206"/>
      <c r="G492" s="76">
        <f>SUM(Tabla936173055235763909354[[#This Row],[Prima Pagada vida]],Tabla936173055235763909354[[#This Row],[Prima Pagada gmm]])</f>
        <v>0</v>
      </c>
      <c r="I492" s="195" t="s">
        <v>28</v>
      </c>
      <c r="J492" s="195"/>
      <c r="K492" s="196">
        <v>1</v>
      </c>
    </row>
    <row r="493" spans="1:11" ht="13" x14ac:dyDescent="0.15">
      <c r="A493" s="212" t="s">
        <v>43</v>
      </c>
      <c r="B493" s="124">
        <f>SUM(Tabla936173055235763909354[[#This Row],[Vida]],Tabla936173055235763909354[[#This Row],[Gmm]])</f>
        <v>0</v>
      </c>
      <c r="C493" s="124">
        <v>0</v>
      </c>
      <c r="D493" s="213">
        <v>0</v>
      </c>
      <c r="E493" s="74"/>
      <c r="F493" s="209"/>
      <c r="G493" s="77">
        <f>SUM(Tabla936173055235763909354[[#This Row],[Prima Pagada vida]],Tabla936173055235763909354[[#This Row],[Prima Pagada gmm]])</f>
        <v>0</v>
      </c>
      <c r="I493" s="195" t="s">
        <v>131</v>
      </c>
      <c r="J493" s="195"/>
      <c r="K493" s="196">
        <v>1</v>
      </c>
    </row>
    <row r="494" spans="1:11" ht="13" x14ac:dyDescent="0.15">
      <c r="A494" s="185" t="s">
        <v>105</v>
      </c>
      <c r="B494" s="124">
        <f>SUM(Tabla936173055235763909354[[#This Row],[Vida]],Tabla936173055235763909354[[#This Row],[Gmm]])</f>
        <v>0</v>
      </c>
      <c r="C494" s="72">
        <v>0</v>
      </c>
      <c r="D494" s="206">
        <v>0</v>
      </c>
      <c r="E494" s="72"/>
      <c r="F494" s="206"/>
      <c r="G494" s="76">
        <f>SUM(Tabla936173055235763909354[[#This Row],[Prima Pagada vida]],Tabla936173055235763909354[[#This Row],[Prima Pagada gmm]])</f>
        <v>0</v>
      </c>
      <c r="I494" s="220"/>
      <c r="J494" s="220"/>
      <c r="K494" s="196"/>
    </row>
    <row r="495" spans="1:11" ht="13" x14ac:dyDescent="0.15">
      <c r="A495" s="185" t="s">
        <v>22</v>
      </c>
      <c r="B495" s="124">
        <f>SUM(Tabla936173055235763909354[[#This Row],[Vida]],Tabla936173055235763909354[[#This Row],[Gmm]])</f>
        <v>0</v>
      </c>
      <c r="C495" s="72">
        <v>0</v>
      </c>
      <c r="D495" s="206">
        <v>0</v>
      </c>
      <c r="E495" s="72"/>
      <c r="F495" s="206"/>
      <c r="G495" s="77">
        <f>SUM(Tabla936173055235763909354[[#This Row],[Prima Pagada vida]],Tabla936173055235763909354[[#This Row],[Prima Pagada gmm]])</f>
        <v>0</v>
      </c>
      <c r="I495" s="195"/>
      <c r="J495" s="195"/>
      <c r="K495" s="196"/>
    </row>
    <row r="496" spans="1:11" ht="13" x14ac:dyDescent="0.15">
      <c r="A496" s="212" t="s">
        <v>119</v>
      </c>
      <c r="B496" s="124">
        <f>SUM(Tabla936173055235763909354[[#This Row],[Vida]],Tabla936173055235763909354[[#This Row],[Gmm]])</f>
        <v>0</v>
      </c>
      <c r="C496" s="124">
        <v>0</v>
      </c>
      <c r="D496" s="213">
        <v>0</v>
      </c>
      <c r="E496" s="74"/>
      <c r="F496" s="209"/>
      <c r="G496" s="77">
        <f>SUM(Tabla936173055235763909354[[#This Row],[Prima Pagada vida]],Tabla936173055235763909354[[#This Row],[Prima Pagada gmm]])</f>
        <v>0</v>
      </c>
      <c r="I496" s="195"/>
      <c r="J496" s="195"/>
      <c r="K496" s="196"/>
    </row>
    <row r="497" spans="1:12" ht="13" x14ac:dyDescent="0.15">
      <c r="A497" s="185" t="s">
        <v>25</v>
      </c>
      <c r="B497" s="124">
        <f>SUM(Tabla936173055235763909354[[#This Row],[Vida]],Tabla936173055235763909354[[#This Row],[Gmm]])</f>
        <v>0</v>
      </c>
      <c r="C497" s="72">
        <v>0</v>
      </c>
      <c r="D497" s="206">
        <v>0</v>
      </c>
      <c r="E497" s="72"/>
      <c r="F497" s="206"/>
      <c r="G497" s="76">
        <f>SUM(Tabla936173055235763909354[[#This Row],[Prima Pagada vida]],Tabla936173055235763909354[[#This Row],[Prima Pagada gmm]])</f>
        <v>0</v>
      </c>
      <c r="I497" s="195"/>
      <c r="J497" s="195"/>
      <c r="K497" s="196"/>
    </row>
    <row r="498" spans="1:12" ht="13" x14ac:dyDescent="0.15">
      <c r="A498" s="185" t="s">
        <v>72</v>
      </c>
      <c r="B498" s="124">
        <f>SUM(Tabla936173055235763909354[[#This Row],[Vida]],Tabla936173055235763909354[[#This Row],[Gmm]])</f>
        <v>0</v>
      </c>
      <c r="C498" s="72">
        <v>0</v>
      </c>
      <c r="D498" s="206">
        <v>0</v>
      </c>
      <c r="E498" s="72"/>
      <c r="F498" s="206"/>
      <c r="G498" s="76">
        <f>SUM(Tabla936173055235763909354[[#This Row],[Prima Pagada vida]],Tabla936173055235763909354[[#This Row],[Prima Pagada gmm]])</f>
        <v>0</v>
      </c>
      <c r="I498" s="195"/>
      <c r="J498" s="195"/>
      <c r="K498" s="196"/>
    </row>
    <row r="499" spans="1:12" ht="13" x14ac:dyDescent="0.15">
      <c r="A499" s="212" t="s">
        <v>47</v>
      </c>
      <c r="B499" s="124">
        <f>SUM(Tabla936173055235763909354[[#This Row],[Vida]],Tabla936173055235763909354[[#This Row],[Gmm]])</f>
        <v>0</v>
      </c>
      <c r="C499" s="124">
        <v>0</v>
      </c>
      <c r="D499" s="213">
        <v>0</v>
      </c>
      <c r="E499" s="74"/>
      <c r="F499" s="209"/>
      <c r="G499" s="77">
        <f>SUM(Tabla936173055235763909354[[#This Row],[Prima Pagada vida]],Tabla936173055235763909354[[#This Row],[Prima Pagada gmm]])</f>
        <v>0</v>
      </c>
      <c r="I499" s="123" t="s">
        <v>120</v>
      </c>
      <c r="J499" s="122"/>
      <c r="K499" s="184">
        <f>MAX(0,53-SUM(K471:K498))</f>
        <v>18</v>
      </c>
    </row>
    <row r="500" spans="1:12" ht="13" x14ac:dyDescent="0.15">
      <c r="A500" s="185" t="s">
        <v>26</v>
      </c>
      <c r="B500" s="124">
        <f>SUM(Tabla936173055235763909354[[#This Row],[Vida]],Tabla936173055235763909354[[#This Row],[Gmm]])</f>
        <v>0</v>
      </c>
      <c r="C500" s="72">
        <v>0</v>
      </c>
      <c r="D500" s="206">
        <v>0</v>
      </c>
      <c r="E500" s="72"/>
      <c r="F500" s="206"/>
      <c r="G500" s="77">
        <f>SUM(Tabla936173055235763909354[[#This Row],[Prima Pagada vida]],Tabla936173055235763909354[[#This Row],[Prima Pagada gmm]])</f>
        <v>0</v>
      </c>
      <c r="I500" s="1" t="s">
        <v>125</v>
      </c>
      <c r="K500" s="184">
        <f>SUM(K471:K498)</f>
        <v>35</v>
      </c>
    </row>
    <row r="501" spans="1:12" ht="13" x14ac:dyDescent="0.15">
      <c r="A501" s="185" t="s">
        <v>78</v>
      </c>
      <c r="B501" s="124">
        <f>SUM(Tabla936173055235763909354[[#This Row],[Vida]],Tabla936173055235763909354[[#This Row],[Gmm]])</f>
        <v>0</v>
      </c>
      <c r="C501" s="72">
        <v>0</v>
      </c>
      <c r="D501" s="206">
        <v>0</v>
      </c>
      <c r="E501" s="72"/>
      <c r="F501" s="206"/>
      <c r="G501" s="76">
        <f>SUM(Tabla936173055235763909354[[#This Row],[Prima Pagada vida]],Tabla936173055235763909354[[#This Row],[Prima Pagada gmm]])</f>
        <v>0</v>
      </c>
      <c r="I501" s="112"/>
      <c r="J501" s="112"/>
      <c r="K501" s="113"/>
    </row>
    <row r="502" spans="1:12" ht="13" x14ac:dyDescent="0.15">
      <c r="A502" s="185" t="s">
        <v>49</v>
      </c>
      <c r="B502" s="124">
        <f>SUM(Tabla936173055235763909354[[#This Row],[Vida]],Tabla936173055235763909354[[#This Row],[Gmm]])</f>
        <v>0</v>
      </c>
      <c r="C502" s="72">
        <v>0</v>
      </c>
      <c r="D502" s="206">
        <v>0</v>
      </c>
      <c r="E502" s="74"/>
      <c r="F502" s="209"/>
      <c r="G502" s="77">
        <f>SUM(Tabla936173055235763909354[[#This Row],[Prima Pagada vida]],Tabla936173055235763909354[[#This Row],[Prima Pagada gmm]])</f>
        <v>0</v>
      </c>
      <c r="I502" s="112"/>
      <c r="J502" s="112"/>
      <c r="K502" s="113"/>
    </row>
    <row r="503" spans="1:12" ht="13" x14ac:dyDescent="0.15">
      <c r="A503" s="185" t="s">
        <v>37</v>
      </c>
      <c r="B503" s="124">
        <f>SUM(Tabla936173055235763909354[[#This Row],[Vida]],Tabla936173055235763909354[[#This Row],[Gmm]])</f>
        <v>0</v>
      </c>
      <c r="C503" s="72">
        <v>0</v>
      </c>
      <c r="D503" s="206">
        <v>0</v>
      </c>
      <c r="E503" s="74"/>
      <c r="F503" s="209"/>
      <c r="G503" s="77">
        <f>SUM(Tabla936173055235763909354[[#This Row],[Prima Pagada vida]],Tabla936173055235763909354[[#This Row],[Prima Pagada gmm]])</f>
        <v>0</v>
      </c>
      <c r="I503" s="112"/>
      <c r="J503" s="112"/>
      <c r="K503" s="113"/>
    </row>
    <row r="504" spans="1:12" x14ac:dyDescent="0.15">
      <c r="A504" s="185" t="s">
        <v>29</v>
      </c>
      <c r="B504" s="124">
        <f>SUM(Tabla936173055235763909354[[#This Row],[Vida]],Tabla936173055235763909354[[#This Row],[Gmm]])</f>
        <v>0</v>
      </c>
      <c r="C504" s="72">
        <v>0</v>
      </c>
      <c r="D504" s="206">
        <v>0</v>
      </c>
      <c r="E504" s="72"/>
      <c r="F504" s="206"/>
      <c r="G504" s="79">
        <f>SUM(Tabla936173055235763909354[[#This Row],[Prima Pagada vida]],Tabla936173055235763909354[[#This Row],[Prima Pagada gmm]])</f>
        <v>0</v>
      </c>
      <c r="I504" s="112"/>
      <c r="J504" s="112"/>
      <c r="K504" s="113"/>
      <c r="L504" s="103"/>
    </row>
    <row r="505" spans="1:12" ht="13" x14ac:dyDescent="0.15">
      <c r="A505" s="185" t="s">
        <v>10</v>
      </c>
      <c r="B505" s="124">
        <f>SUM(Tabla936173055235763909354[[#This Row],[Vida]],Tabla936173055235763909354[[#This Row],[Gmm]])</f>
        <v>0</v>
      </c>
      <c r="C505" s="72">
        <v>0</v>
      </c>
      <c r="D505" s="206">
        <v>0</v>
      </c>
      <c r="E505" s="72"/>
      <c r="F505" s="206"/>
      <c r="G505" s="76">
        <f>SUM(Tabla936173055235763909354[[#This Row],[Prima Pagada vida]],Tabla936173055235763909354[[#This Row],[Prima Pagada gmm]])</f>
        <v>0</v>
      </c>
      <c r="I505" s="112"/>
      <c r="J505" s="112"/>
      <c r="K505" s="113"/>
      <c r="L505" s="103"/>
    </row>
    <row r="506" spans="1:12" ht="13" x14ac:dyDescent="0.15">
      <c r="A506" s="222" t="s">
        <v>16</v>
      </c>
      <c r="B506" s="124">
        <f>SUM(Tabla936173055235763909354[[#This Row],[Vida]],Tabla936173055235763909354[[#This Row],[Gmm]])</f>
        <v>0</v>
      </c>
      <c r="C506" s="124">
        <v>0</v>
      </c>
      <c r="D506" s="213">
        <v>0</v>
      </c>
      <c r="E506" s="74"/>
      <c r="F506" s="209"/>
      <c r="G506" s="77">
        <f>SUM(Tabla936173055235763909354[[#This Row],[Prima Pagada vida]],Tabla936173055235763909354[[#This Row],[Prima Pagada gmm]])</f>
        <v>0</v>
      </c>
      <c r="I506" s="1" t="s">
        <v>56</v>
      </c>
      <c r="L506" s="103"/>
    </row>
    <row r="507" spans="1:12" ht="13" x14ac:dyDescent="0.15">
      <c r="A507" s="210" t="s">
        <v>71</v>
      </c>
      <c r="B507" s="124">
        <f>SUM(Tabla936173055235763909354[[#This Row],[Vida]],Tabla936173055235763909354[[#This Row],[Gmm]])</f>
        <v>0</v>
      </c>
      <c r="C507" s="72">
        <v>0</v>
      </c>
      <c r="D507" s="206">
        <v>0</v>
      </c>
      <c r="E507" s="223"/>
      <c r="F507" s="209"/>
      <c r="G507" s="77">
        <f>SUM(Tabla936173055235763909354[[#This Row],[Prima Pagada vida]],Tabla936173055235763909354[[#This Row],[Prima Pagada gmm]])</f>
        <v>0</v>
      </c>
      <c r="I507" s="106" t="s">
        <v>132</v>
      </c>
      <c r="J507" s="106"/>
      <c r="K507" s="106" t="s">
        <v>133</v>
      </c>
      <c r="L507" s="103"/>
    </row>
    <row r="508" spans="1:12" ht="13" x14ac:dyDescent="0.15">
      <c r="A508" s="212" t="s">
        <v>36</v>
      </c>
      <c r="B508" s="124">
        <f>SUM(Tabla936173055235763909354[[#This Row],[Vida]],Tabla936173055235763909354[[#This Row],[Gmm]])</f>
        <v>0</v>
      </c>
      <c r="C508" s="124">
        <v>0</v>
      </c>
      <c r="D508" s="213">
        <v>0</v>
      </c>
      <c r="E508" s="74"/>
      <c r="F508" s="209"/>
      <c r="G508" s="77">
        <f>SUM(Tabla936173055235763909354[[#This Row],[Prima Pagada vida]],Tabla936173055235763909354[[#This Row],[Prima Pagada gmm]])</f>
        <v>0</v>
      </c>
      <c r="H508" s="103"/>
      <c r="I508" s="106" t="s">
        <v>134</v>
      </c>
      <c r="J508" s="106"/>
      <c r="K508" s="106" t="s">
        <v>135</v>
      </c>
      <c r="L508" s="103"/>
    </row>
    <row r="509" spans="1:12" ht="13" x14ac:dyDescent="0.15">
      <c r="A509" s="185" t="s">
        <v>12</v>
      </c>
      <c r="B509" s="124">
        <f>SUM(Tabla936173055235763909354[[#This Row],[Vida]],Tabla936173055235763909354[[#This Row],[Gmm]])</f>
        <v>0</v>
      </c>
      <c r="C509" s="124">
        <v>0</v>
      </c>
      <c r="D509" s="213">
        <v>0</v>
      </c>
      <c r="E509" s="74"/>
      <c r="F509" s="209"/>
      <c r="G509" s="77">
        <f>SUM(Tabla936173055235763909354[[#This Row],[Prima Pagada vida]],Tabla936173055235763909354[[#This Row],[Prima Pagada gmm]])</f>
        <v>0</v>
      </c>
      <c r="I509" s="106" t="s">
        <v>136</v>
      </c>
      <c r="J509" s="106"/>
      <c r="K509" s="106" t="s">
        <v>133</v>
      </c>
      <c r="L509" s="103"/>
    </row>
    <row r="510" spans="1:12" ht="13" x14ac:dyDescent="0.15">
      <c r="A510" s="185"/>
      <c r="B510" s="124">
        <f>SUM(Tabla936173055235763909354[[#This Row],[Vida]],Tabla936173055235763909354[[#This Row],[Gmm]])</f>
        <v>0</v>
      </c>
      <c r="C510" s="72">
        <v>0</v>
      </c>
      <c r="D510" s="206">
        <v>0</v>
      </c>
      <c r="E510" s="223"/>
      <c r="F510" s="209"/>
      <c r="G510" s="77">
        <f>SUM(Tabla936173055235763909354[[#This Row],[Prima Pagada vida]],Tabla936173055235763909354[[#This Row],[Prima Pagada gmm]])</f>
        <v>0</v>
      </c>
      <c r="I510" s="106" t="s">
        <v>137</v>
      </c>
      <c r="J510" s="106"/>
      <c r="K510" s="106" t="s">
        <v>135</v>
      </c>
      <c r="L510" s="103"/>
    </row>
    <row r="511" spans="1:12" ht="13" x14ac:dyDescent="0.15">
      <c r="A511" s="185"/>
      <c r="B511" s="124">
        <f>SUM(Tabla936173055235763909354[[#This Row],[Vida]],Tabla936173055235763909354[[#This Row],[Gmm]])</f>
        <v>0</v>
      </c>
      <c r="C511" s="124">
        <v>0</v>
      </c>
      <c r="D511" s="213">
        <v>0</v>
      </c>
      <c r="E511" s="74"/>
      <c r="F511" s="209"/>
      <c r="G511" s="77">
        <f>SUM(Tabla936173055235763909354[[#This Row],[Prima Pagada vida]],Tabla936173055235763909354[[#This Row],[Prima Pagada gmm]])</f>
        <v>0</v>
      </c>
      <c r="I511" s="106" t="s">
        <v>138</v>
      </c>
      <c r="J511" s="106"/>
      <c r="K511" s="106" t="s">
        <v>139</v>
      </c>
      <c r="L511" s="103"/>
    </row>
    <row r="512" spans="1:12" ht="13" x14ac:dyDescent="0.15">
      <c r="A512" s="185"/>
      <c r="B512" s="124">
        <f>SUM(Tabla936173055235763909354[[#This Row],[Vida]],Tabla936173055235763909354[[#This Row],[Gmm]])</f>
        <v>0</v>
      </c>
      <c r="C512" s="124">
        <v>0</v>
      </c>
      <c r="D512" s="213">
        <v>0</v>
      </c>
      <c r="E512" s="74"/>
      <c r="F512" s="209"/>
      <c r="G512" s="77">
        <f>SUM(Tabla936173055235763909354[[#This Row],[Prima Pagada vida]],Tabla936173055235763909354[[#This Row],[Prima Pagada gmm]])</f>
        <v>0</v>
      </c>
      <c r="I512" s="106" t="s">
        <v>140</v>
      </c>
      <c r="J512" s="106"/>
      <c r="K512" s="106" t="s">
        <v>62</v>
      </c>
      <c r="L512" s="103"/>
    </row>
    <row r="513" spans="1:12" ht="13" x14ac:dyDescent="0.15">
      <c r="A513" s="185"/>
      <c r="B513" s="124">
        <f>SUM(Tabla936173055235763909354[[#This Row],[Vida]],Tabla936173055235763909354[[#This Row],[Gmm]])</f>
        <v>0</v>
      </c>
      <c r="C513" s="72">
        <v>0</v>
      </c>
      <c r="D513" s="206">
        <v>0</v>
      </c>
      <c r="E513" s="223"/>
      <c r="F513" s="209"/>
      <c r="G513" s="77">
        <f>SUM(Tabla936173055235763909354[[#This Row],[Prima Pagada vida]],Tabla936173055235763909354[[#This Row],[Prima Pagada gmm]])</f>
        <v>0</v>
      </c>
      <c r="I513" s="106" t="s">
        <v>141</v>
      </c>
      <c r="J513" s="106"/>
      <c r="K513" s="106" t="s">
        <v>142</v>
      </c>
      <c r="L513" s="103"/>
    </row>
    <row r="514" spans="1:12" ht="13" x14ac:dyDescent="0.15">
      <c r="A514" s="185"/>
      <c r="B514" s="124">
        <f>SUM(Tabla936173055235763909354[[#This Row],[Vida]],Tabla936173055235763909354[[#This Row],[Gmm]])</f>
        <v>0</v>
      </c>
      <c r="C514" s="124">
        <v>0</v>
      </c>
      <c r="D514" s="213">
        <v>0</v>
      </c>
      <c r="E514" s="74"/>
      <c r="F514" s="209"/>
      <c r="G514" s="77">
        <f>SUM(Tabla936173055235763909354[[#This Row],[Prima Pagada vida]],Tabla936173055235763909354[[#This Row],[Prima Pagada gmm]])</f>
        <v>0</v>
      </c>
      <c r="I514" s="133" t="s">
        <v>143</v>
      </c>
      <c r="J514" s="133"/>
      <c r="K514" s="106" t="s">
        <v>62</v>
      </c>
      <c r="L514" s="103"/>
    </row>
    <row r="515" spans="1:12" ht="13" x14ac:dyDescent="0.15">
      <c r="A515" s="185"/>
      <c r="B515" s="124">
        <f>SUM(Tabla936173055235763909354[[#This Row],[Vida]],Tabla936173055235763909354[[#This Row],[Gmm]])</f>
        <v>0</v>
      </c>
      <c r="C515" s="124">
        <v>0</v>
      </c>
      <c r="D515" s="213">
        <v>0</v>
      </c>
      <c r="E515" s="74"/>
      <c r="F515" s="209"/>
      <c r="G515" s="77">
        <f>SUM(Tabla936173055235763909354[[#This Row],[Prima Pagada vida]],Tabla936173055235763909354[[#This Row],[Prima Pagada gmm]])</f>
        <v>0</v>
      </c>
      <c r="I515" s="224"/>
      <c r="J515" s="224"/>
      <c r="L515" s="103"/>
    </row>
    <row r="516" spans="1:12" ht="13" x14ac:dyDescent="0.15">
      <c r="A516" s="212"/>
      <c r="B516" s="124">
        <f>SUM(Tabla936173055235763909354[[#This Row],[Vida]],Tabla936173055235763909354[[#This Row],[Gmm]])</f>
        <v>0</v>
      </c>
      <c r="C516" s="72">
        <v>0</v>
      </c>
      <c r="D516" s="206">
        <v>0</v>
      </c>
      <c r="E516" s="223"/>
      <c r="F516" s="209"/>
      <c r="G516" s="77">
        <f>SUM(Tabla936173055235763909354[[#This Row],[Prima Pagada vida]],Tabla936173055235763909354[[#This Row],[Prima Pagada gmm]])</f>
        <v>0</v>
      </c>
      <c r="I516" s="224"/>
      <c r="J516" s="224"/>
      <c r="L516" s="103"/>
    </row>
    <row r="517" spans="1:12" ht="13" x14ac:dyDescent="0.15">
      <c r="A517" s="212"/>
      <c r="B517" s="124">
        <f>SUM(Tabla936173055235763909354[[#This Row],[Vida]],Tabla936173055235763909354[[#This Row],[Gmm]])</f>
        <v>0</v>
      </c>
      <c r="C517" s="124">
        <v>0</v>
      </c>
      <c r="D517" s="213">
        <v>0</v>
      </c>
      <c r="E517" s="74"/>
      <c r="F517" s="209"/>
      <c r="G517" s="77">
        <f>SUM(Tabla936173055235763909354[[#This Row],[Prima Pagada vida]],Tabla936173055235763909354[[#This Row],[Prima Pagada gmm]])</f>
        <v>0</v>
      </c>
      <c r="I517" s="224"/>
      <c r="J517" s="224"/>
      <c r="L517" s="103"/>
    </row>
    <row r="518" spans="1:12" ht="13" x14ac:dyDescent="0.15">
      <c r="A518" s="212"/>
      <c r="B518" s="124">
        <f>SUM(Tabla936173055235763909354[[#This Row],[Vida]],Tabla936173055235763909354[[#This Row],[Gmm]])</f>
        <v>0</v>
      </c>
      <c r="C518" s="124">
        <v>0</v>
      </c>
      <c r="D518" s="213">
        <v>0</v>
      </c>
      <c r="E518" s="74"/>
      <c r="F518" s="209"/>
      <c r="G518" s="77">
        <f>SUM(Tabla936173055235763909354[[#This Row],[Prima Pagada vida]],Tabla936173055235763909354[[#This Row],[Prima Pagada gmm]])</f>
        <v>0</v>
      </c>
      <c r="L518" s="103"/>
    </row>
    <row r="519" spans="1:12" ht="13" x14ac:dyDescent="0.15">
      <c r="A519" s="43" t="s">
        <v>50</v>
      </c>
      <c r="B519" s="214">
        <f>SUM(Tabla936173055235763909354[[Pólizas ]])</f>
        <v>41.5</v>
      </c>
      <c r="C519" s="215">
        <f>SUM(Tabla936173055235763909354[Vida])</f>
        <v>35</v>
      </c>
      <c r="D519" s="216">
        <f>SUM(Tabla936173055235763909354[Prima Pagada vida])</f>
        <v>598712.19000000006</v>
      </c>
      <c r="E519" s="217">
        <f>SUM(Tabla936173055235763909354[Gmm])</f>
        <v>6.5</v>
      </c>
      <c r="F519" s="216">
        <f>SUM(Tabla936173055235763909354[Prima Pagada gmm])</f>
        <v>291534.88</v>
      </c>
      <c r="G519" s="216">
        <f>SUM(Tabla936173055235763909354[Prima total])</f>
        <v>890247.07000000018</v>
      </c>
    </row>
    <row r="520" spans="1:12" ht="13" x14ac:dyDescent="0.15">
      <c r="D520" s="1"/>
      <c r="E520" s="1"/>
      <c r="G520" s="1"/>
    </row>
    <row r="521" spans="1:12" ht="13" x14ac:dyDescent="0.15">
      <c r="D521" s="1"/>
      <c r="E521" s="1"/>
      <c r="G521" s="1"/>
    </row>
    <row r="522" spans="1:12" ht="13" x14ac:dyDescent="0.15">
      <c r="D522" s="1"/>
      <c r="E522" s="1"/>
      <c r="G522" s="1"/>
    </row>
    <row r="523" spans="1:12" s="225" customFormat="1" ht="13" x14ac:dyDescent="0.15"/>
    <row r="524" spans="1:12" ht="13" x14ac:dyDescent="0.15">
      <c r="D524" s="1"/>
      <c r="E524" s="1"/>
      <c r="G524" s="1"/>
    </row>
    <row r="528" spans="1:12" x14ac:dyDescent="0.15">
      <c r="A528" s="320" t="s">
        <v>144</v>
      </c>
      <c r="B528" s="320"/>
      <c r="C528" s="320"/>
      <c r="D528" s="320"/>
      <c r="E528" s="320"/>
      <c r="F528" s="320"/>
      <c r="G528" s="320"/>
      <c r="H528" s="320"/>
    </row>
    <row r="529" spans="1:14" ht="28" x14ac:dyDescent="0.15">
      <c r="A529" s="2" t="s">
        <v>1</v>
      </c>
      <c r="B529" s="3" t="s">
        <v>2</v>
      </c>
      <c r="C529" s="3" t="s">
        <v>3</v>
      </c>
      <c r="D529" s="4" t="s">
        <v>122</v>
      </c>
      <c r="E529" s="5" t="s">
        <v>5</v>
      </c>
      <c r="F529" s="3" t="s">
        <v>123</v>
      </c>
      <c r="G529" s="6" t="s">
        <v>7</v>
      </c>
      <c r="H529" s="112"/>
      <c r="I529" s="226" t="s">
        <v>145</v>
      </c>
      <c r="J529" s="227" t="s">
        <v>146</v>
      </c>
      <c r="K529" s="228">
        <v>12</v>
      </c>
      <c r="L529" s="229">
        <v>46058.414358179994</v>
      </c>
      <c r="M529" s="230">
        <f>L529/K529</f>
        <v>3838.2011965149995</v>
      </c>
    </row>
    <row r="530" spans="1:14" x14ac:dyDescent="0.15">
      <c r="A530" s="112" t="s">
        <v>26</v>
      </c>
      <c r="B530" s="100">
        <f>SUM(Tabla93617305523576390935466[[#This Row],[Vida]],Tabla93617305523576390935466[[#This Row],[Gmm]])</f>
        <v>0.5</v>
      </c>
      <c r="C530" s="231">
        <v>0</v>
      </c>
      <c r="D530" s="232">
        <v>0</v>
      </c>
      <c r="E530" s="231">
        <v>0.5</v>
      </c>
      <c r="F530" s="233">
        <v>119694.65</v>
      </c>
      <c r="G530" s="234">
        <f>SUM(Tabla93617305523576390935466[[#This Row],[Prima Pagada vida]],Tabla93617305523576390935466[[#This Row],[Prima Pagada gmm]])</f>
        <v>119694.65</v>
      </c>
      <c r="H530" s="112"/>
      <c r="I530" s="235" t="s">
        <v>147</v>
      </c>
      <c r="J530" s="236" t="s">
        <v>148</v>
      </c>
      <c r="K530" s="237">
        <v>12</v>
      </c>
      <c r="L530" s="238">
        <v>36233.472871785605</v>
      </c>
      <c r="M530" s="230">
        <f t="shared" ref="M530:M543" si="0">L530/K530</f>
        <v>3019.4560726488003</v>
      </c>
    </row>
    <row r="531" spans="1:14" ht="15" x14ac:dyDescent="0.15">
      <c r="A531" s="112" t="s">
        <v>20</v>
      </c>
      <c r="B531" s="100">
        <f>SUM(Tabla93617305523576390935466[[#This Row],[Vida]],Tabla93617305523576390935466[[#This Row],[Gmm]])</f>
        <v>0.5</v>
      </c>
      <c r="C531" s="231">
        <v>0</v>
      </c>
      <c r="D531" s="232">
        <v>0</v>
      </c>
      <c r="E531" s="61">
        <v>0.5</v>
      </c>
      <c r="F531" s="144">
        <v>114226.56</v>
      </c>
      <c r="G531" s="239">
        <f>SUM(Tabla93617305523576390935466[[#This Row],[Prima Pagada vida]],Tabla93617305523576390935466[[#This Row],[Prima Pagada gmm]])</f>
        <v>114226.56</v>
      </c>
      <c r="H531" s="112"/>
      <c r="I531" s="226" t="s">
        <v>149</v>
      </c>
      <c r="J531" s="227" t="s">
        <v>150</v>
      </c>
      <c r="K531" s="228">
        <v>1</v>
      </c>
      <c r="L531" s="229">
        <v>5790.12</v>
      </c>
      <c r="M531" s="230">
        <f t="shared" si="0"/>
        <v>5790.12</v>
      </c>
      <c r="N531" s="230">
        <f>M531+M532</f>
        <v>26439.64</v>
      </c>
    </row>
    <row r="532" spans="1:14" ht="15" x14ac:dyDescent="0.15">
      <c r="A532" s="112" t="s">
        <v>43</v>
      </c>
      <c r="B532" s="100">
        <f>SUM(Tabla93617305523576390935466[[#This Row],[Vida]],Tabla93617305523576390935466[[#This Row],[Gmm]])</f>
        <v>2</v>
      </c>
      <c r="C532" s="231">
        <v>1</v>
      </c>
      <c r="D532" s="232">
        <v>50024.557917520004</v>
      </c>
      <c r="E532" s="231">
        <v>1</v>
      </c>
      <c r="F532" s="233">
        <v>26439.64</v>
      </c>
      <c r="G532" s="239">
        <f>SUM(Tabla93617305523576390935466[[#This Row],[Prima Pagada vida]],Tabla93617305523576390935466[[#This Row],[Prima Pagada gmm]])</f>
        <v>76464.19791752001</v>
      </c>
      <c r="H532" s="112"/>
      <c r="I532" s="235" t="s">
        <v>149</v>
      </c>
      <c r="J532" s="236" t="s">
        <v>151</v>
      </c>
      <c r="K532" s="237">
        <v>1</v>
      </c>
      <c r="L532" s="238">
        <v>20649.52</v>
      </c>
      <c r="M532" s="230">
        <f t="shared" si="0"/>
        <v>20649.52</v>
      </c>
    </row>
    <row r="533" spans="1:14" ht="15" x14ac:dyDescent="0.15">
      <c r="A533" s="112" t="s">
        <v>76</v>
      </c>
      <c r="B533" s="100">
        <f>SUM(Tabla93617305523576390935466[[#This Row],[Vida]],Tabla93617305523576390935466[[#This Row],[Gmm]])</f>
        <v>1.5</v>
      </c>
      <c r="C533" s="231">
        <v>1</v>
      </c>
      <c r="D533" s="232">
        <v>19636.810000000001</v>
      </c>
      <c r="E533" s="61">
        <v>0.5</v>
      </c>
      <c r="F533" s="144">
        <v>53320.577399999995</v>
      </c>
      <c r="G533" s="239">
        <f>SUM(Tabla93617305523576390935466[[#This Row],[Prima Pagada vida]],Tabla93617305523576390935466[[#This Row],[Prima Pagada gmm]])</f>
        <v>72957.387399999992</v>
      </c>
      <c r="H533" s="112"/>
      <c r="I533" s="226" t="s">
        <v>149</v>
      </c>
      <c r="J533" s="227" t="s">
        <v>152</v>
      </c>
      <c r="K533" s="228">
        <v>1</v>
      </c>
      <c r="L533" s="229">
        <v>50024.557917520004</v>
      </c>
      <c r="M533" s="230">
        <f t="shared" si="0"/>
        <v>50024.557917520004</v>
      </c>
    </row>
    <row r="534" spans="1:14" ht="15" x14ac:dyDescent="0.15">
      <c r="A534" s="112" t="s">
        <v>85</v>
      </c>
      <c r="B534" s="100">
        <f>SUM(Tabla93617305523576390935466[[#This Row],[Vida]],Tabla93617305523576390935466[[#This Row],[Gmm]])</f>
        <v>1</v>
      </c>
      <c r="C534" s="231">
        <v>1</v>
      </c>
      <c r="D534" s="232">
        <v>58035.36725553</v>
      </c>
      <c r="E534" s="61"/>
      <c r="F534" s="240"/>
      <c r="G534" s="239">
        <f>SUM(Tabla93617305523576390935466[[#This Row],[Prima Pagada vida]],Tabla93617305523576390935466[[#This Row],[Prima Pagada gmm]])</f>
        <v>58035.36725553</v>
      </c>
      <c r="H534" s="112"/>
      <c r="I534" s="235" t="s">
        <v>153</v>
      </c>
      <c r="J534" s="236" t="s">
        <v>154</v>
      </c>
      <c r="K534" s="237">
        <v>1</v>
      </c>
      <c r="L534" s="238">
        <v>26726.31</v>
      </c>
      <c r="M534" s="230">
        <f t="shared" si="0"/>
        <v>26726.31</v>
      </c>
    </row>
    <row r="535" spans="1:14" ht="15" x14ac:dyDescent="0.15">
      <c r="A535" s="112" t="s">
        <v>28</v>
      </c>
      <c r="B535" s="100">
        <f>SUM(Tabla93617305523576390935466[[#This Row],[Vida]],Tabla93617305523576390935466[[#This Row],[Gmm]])</f>
        <v>1</v>
      </c>
      <c r="C535" s="231">
        <v>1</v>
      </c>
      <c r="D535" s="241">
        <v>36150.150405810004</v>
      </c>
      <c r="E535" s="231"/>
      <c r="F535" s="136"/>
      <c r="G535" s="242">
        <f>SUM(Tabla93617305523576390935466[[#This Row],[Prima Pagada vida]],Tabla93617305523576390935466[[#This Row],[Prima Pagada gmm]])</f>
        <v>36150.150405810004</v>
      </c>
      <c r="H535" s="112"/>
      <c r="I535" s="226" t="s">
        <v>155</v>
      </c>
      <c r="J535" s="227" t="s">
        <v>156</v>
      </c>
      <c r="K535" s="228">
        <v>1</v>
      </c>
      <c r="L535" s="229">
        <v>53320.577399999995</v>
      </c>
      <c r="M535" s="230">
        <f t="shared" si="0"/>
        <v>53320.577399999995</v>
      </c>
    </row>
    <row r="536" spans="1:14" ht="15" x14ac:dyDescent="0.15">
      <c r="A536" s="112" t="s">
        <v>13</v>
      </c>
      <c r="B536" s="100">
        <f>SUM(Tabla93617305523576390935466[[#This Row],[Vida]],Tabla93617305523576390935466[[#This Row],[Gmm]])</f>
        <v>0.5</v>
      </c>
      <c r="C536" s="231">
        <v>0</v>
      </c>
      <c r="D536" s="241">
        <v>0</v>
      </c>
      <c r="E536" s="61">
        <v>0.5</v>
      </c>
      <c r="F536" s="64">
        <v>34865.14</v>
      </c>
      <c r="G536" s="242">
        <f>SUM(Tabla93617305523576390935466[[#This Row],[Prima Pagada vida]],Tabla93617305523576390935466[[#This Row],[Prima Pagada gmm]])</f>
        <v>34865.14</v>
      </c>
      <c r="H536" s="112"/>
      <c r="I536" s="235" t="s">
        <v>157</v>
      </c>
      <c r="J536" s="236" t="s">
        <v>158</v>
      </c>
      <c r="K536" s="237">
        <v>1</v>
      </c>
      <c r="L536" s="238">
        <v>114226.56</v>
      </c>
      <c r="M536" s="230">
        <f t="shared" si="0"/>
        <v>114226.56</v>
      </c>
    </row>
    <row r="537" spans="1:14" ht="15" x14ac:dyDescent="0.15">
      <c r="A537" s="112" t="s">
        <v>25</v>
      </c>
      <c r="B537" s="100">
        <f>SUM(Tabla93617305523576390935466[[#This Row],[Vida]],Tabla93617305523576390935466[[#This Row],[Gmm]])</f>
        <v>0.5</v>
      </c>
      <c r="C537" s="231">
        <v>0</v>
      </c>
      <c r="D537" s="241">
        <v>0</v>
      </c>
      <c r="E537" s="231">
        <v>0.5</v>
      </c>
      <c r="F537" s="136">
        <v>31388.89</v>
      </c>
      <c r="G537" s="242">
        <f>SUM(Tabla93617305523576390935466[[#This Row],[Prima Pagada vida]],Tabla93617305523576390935466[[#This Row],[Prima Pagada gmm]])</f>
        <v>31388.89</v>
      </c>
      <c r="H537" s="112"/>
      <c r="I537" s="226" t="s">
        <v>159</v>
      </c>
      <c r="J537" s="227" t="s">
        <v>160</v>
      </c>
      <c r="K537" s="228">
        <v>1</v>
      </c>
      <c r="L537" s="229">
        <v>58035.36725553</v>
      </c>
      <c r="M537" s="230">
        <f t="shared" si="0"/>
        <v>58035.36725553</v>
      </c>
    </row>
    <row r="538" spans="1:14" ht="15" x14ac:dyDescent="0.15">
      <c r="A538" s="112" t="s">
        <v>124</v>
      </c>
      <c r="B538" s="100">
        <f>SUM(Tabla93617305523576390935466[[#This Row],[Vida]],Tabla93617305523576390935466[[#This Row],[Gmm]])</f>
        <v>1</v>
      </c>
      <c r="C538" s="231">
        <v>1</v>
      </c>
      <c r="D538" s="241">
        <v>30302.58</v>
      </c>
      <c r="E538" s="61"/>
      <c r="F538" s="218"/>
      <c r="G538" s="242">
        <f>SUM(Tabla93617305523576390935466[[#This Row],[Prima Pagada vida]],Tabla93617305523576390935466[[#This Row],[Prima Pagada gmm]])</f>
        <v>30302.58</v>
      </c>
      <c r="H538" s="112"/>
      <c r="I538" s="235" t="s">
        <v>161</v>
      </c>
      <c r="J538" s="236" t="s">
        <v>162</v>
      </c>
      <c r="K538" s="237">
        <v>1</v>
      </c>
      <c r="L538" s="238">
        <v>119694.65</v>
      </c>
      <c r="M538" s="230">
        <f t="shared" si="0"/>
        <v>119694.65</v>
      </c>
    </row>
    <row r="539" spans="1:14" ht="15" x14ac:dyDescent="0.15">
      <c r="A539" s="112" t="s">
        <v>30</v>
      </c>
      <c r="B539" s="100">
        <f>SUM(Tabla93617305523576390935466[[#This Row],[Vida]],Tabla93617305523576390935466[[#This Row],[Gmm]])</f>
        <v>0.5</v>
      </c>
      <c r="C539" s="231">
        <v>0</v>
      </c>
      <c r="D539" s="241">
        <v>0</v>
      </c>
      <c r="E539" s="61">
        <v>0.5</v>
      </c>
      <c r="F539" s="64">
        <v>26726.31</v>
      </c>
      <c r="G539" s="242">
        <f>SUM(Tabla93617305523576390935466[[#This Row],[Prima Pagada vida]],Tabla93617305523576390935466[[#This Row],[Prima Pagada gmm]])</f>
        <v>26726.31</v>
      </c>
      <c r="H539" s="112"/>
      <c r="I539" s="226" t="s">
        <v>163</v>
      </c>
      <c r="J539" s="227" t="s">
        <v>164</v>
      </c>
      <c r="K539" s="228">
        <v>1</v>
      </c>
      <c r="L539" s="229">
        <v>31388.89</v>
      </c>
      <c r="M539" s="230">
        <f t="shared" si="0"/>
        <v>31388.89</v>
      </c>
    </row>
    <row r="540" spans="1:14" x14ac:dyDescent="0.15">
      <c r="A540" s="112" t="s">
        <v>130</v>
      </c>
      <c r="B540" s="100">
        <f>SUM(Tabla93617305523576390935466[[#This Row],[Vida]],Tabla93617305523576390935466[[#This Row],[Gmm]])</f>
        <v>1</v>
      </c>
      <c r="C540" s="231">
        <v>1</v>
      </c>
      <c r="D540" s="241">
        <v>16208.09</v>
      </c>
      <c r="E540" s="61"/>
      <c r="F540" s="218"/>
      <c r="G540" s="243">
        <f>SUM(Tabla93617305523576390935466[[#This Row],[Prima Pagada vida]],Tabla93617305523576390935466[[#This Row],[Prima Pagada gmm]])</f>
        <v>16208.09</v>
      </c>
      <c r="H540" s="112"/>
      <c r="I540" s="235" t="s">
        <v>165</v>
      </c>
      <c r="J540" s="236" t="s">
        <v>166</v>
      </c>
      <c r="K540" s="237">
        <v>1</v>
      </c>
      <c r="L540" s="238">
        <v>36150.150405810004</v>
      </c>
      <c r="M540" s="230">
        <f t="shared" si="0"/>
        <v>36150.150405810004</v>
      </c>
    </row>
    <row r="541" spans="1:14" ht="15" x14ac:dyDescent="0.15">
      <c r="A541" s="112" t="s">
        <v>110</v>
      </c>
      <c r="B541" s="100">
        <f>SUM(Tabla93617305523576390935466[[#This Row],[Vida]],Tabla93617305523576390935466[[#This Row],[Gmm]])</f>
        <v>1.5</v>
      </c>
      <c r="C541" s="231">
        <v>1</v>
      </c>
      <c r="D541" s="241">
        <v>2419.5700000000002</v>
      </c>
      <c r="E541" s="231">
        <v>0.5</v>
      </c>
      <c r="F541" s="136">
        <v>10585.96</v>
      </c>
      <c r="G541" s="242">
        <f>SUM(Tabla93617305523576390935466[[#This Row],[Prima Pagada vida]],Tabla93617305523576390935466[[#This Row],[Prima Pagada gmm]])</f>
        <v>13005.529999999999</v>
      </c>
      <c r="H541" s="112"/>
      <c r="I541" s="226" t="s">
        <v>167</v>
      </c>
      <c r="J541" s="227" t="s">
        <v>168</v>
      </c>
      <c r="K541" s="228">
        <v>1</v>
      </c>
      <c r="L541" s="229">
        <v>1144.92</v>
      </c>
      <c r="M541" s="230">
        <f t="shared" si="0"/>
        <v>1144.92</v>
      </c>
      <c r="N541" s="230">
        <f>M541+M542</f>
        <v>6060.8455320250005</v>
      </c>
    </row>
    <row r="542" spans="1:14" ht="15" x14ac:dyDescent="0.15">
      <c r="A542" s="112" t="s">
        <v>14</v>
      </c>
      <c r="B542" s="100">
        <f>SUM(Tabla93617305523576390935466[[#This Row],[Vida]],Tabla93617305523576390935466[[#This Row],[Gmm]])</f>
        <v>2</v>
      </c>
      <c r="C542" s="231">
        <v>2</v>
      </c>
      <c r="D542" s="241">
        <v>6060.8455320250005</v>
      </c>
      <c r="E542" s="231"/>
      <c r="F542" s="244"/>
      <c r="G542" s="242">
        <f>SUM(Tabla93617305523576390935466[[#This Row],[Prima Pagada vida]],Tabla93617305523576390935466[[#This Row],[Prima Pagada gmm]])</f>
        <v>6060.8455320250005</v>
      </c>
      <c r="H542" s="112"/>
      <c r="I542" s="235" t="s">
        <v>167</v>
      </c>
      <c r="J542" s="236" t="s">
        <v>169</v>
      </c>
      <c r="K542" s="237">
        <v>4</v>
      </c>
      <c r="L542" s="238">
        <v>19663.702128100002</v>
      </c>
      <c r="M542" s="230">
        <f t="shared" si="0"/>
        <v>4915.9255320250004</v>
      </c>
    </row>
    <row r="543" spans="1:14" ht="15" x14ac:dyDescent="0.15">
      <c r="A543" s="112" t="s">
        <v>170</v>
      </c>
      <c r="B543" s="100">
        <f>SUM(Tabla93617305523576390935466[[#This Row],[Vida]],Tabla93617305523576390935466[[#This Row],[Gmm]])</f>
        <v>2.5</v>
      </c>
      <c r="C543" s="231">
        <v>2</v>
      </c>
      <c r="D543" s="241">
        <v>3328.63</v>
      </c>
      <c r="E543" s="61">
        <v>0.5</v>
      </c>
      <c r="F543" s="64">
        <v>1493.59</v>
      </c>
      <c r="G543" s="242">
        <f>SUM(Tabla93617305523576390935466[[#This Row],[Prima Pagada vida]],Tabla93617305523576390935466[[#This Row],[Prima Pagada gmm]])</f>
        <v>4822.22</v>
      </c>
      <c r="H543" s="112"/>
      <c r="I543" s="226" t="s">
        <v>171</v>
      </c>
      <c r="J543" s="227" t="s">
        <v>172</v>
      </c>
      <c r="K543" s="228">
        <v>12</v>
      </c>
      <c r="L543" s="229">
        <v>36857.399999999994</v>
      </c>
      <c r="M543" s="230">
        <f t="shared" si="0"/>
        <v>3071.4499999999994</v>
      </c>
    </row>
    <row r="544" spans="1:14" ht="13" x14ac:dyDescent="0.15">
      <c r="A544" s="112" t="s">
        <v>17</v>
      </c>
      <c r="B544" s="100">
        <f>SUM(Tabla93617305523576390935466[[#This Row],[Vida]],Tabla93617305523576390935466[[#This Row],[Gmm]])</f>
        <v>0.5</v>
      </c>
      <c r="C544" s="231">
        <v>0</v>
      </c>
      <c r="D544" s="241">
        <v>0</v>
      </c>
      <c r="E544" s="61">
        <v>0.5</v>
      </c>
      <c r="F544" s="64">
        <v>3896.62</v>
      </c>
      <c r="G544" s="242">
        <f>SUM(Tabla93617305523576390935466[[#This Row],[Prima Pagada vida]],Tabla93617305523576390935466[[#This Row],[Prima Pagada gmm]])</f>
        <v>3896.62</v>
      </c>
      <c r="H544" s="112"/>
      <c r="I544" s="113"/>
      <c r="J544" s="113"/>
      <c r="K544" s="103"/>
    </row>
    <row r="545" spans="1:11" ht="13" x14ac:dyDescent="0.15">
      <c r="A545" s="112" t="s">
        <v>29</v>
      </c>
      <c r="B545" s="100">
        <f>SUM(Tabla93617305523576390935466[[#This Row],[Vida]],Tabla93617305523576390935466[[#This Row],[Gmm]])</f>
        <v>1</v>
      </c>
      <c r="C545" s="231">
        <v>1</v>
      </c>
      <c r="D545" s="241">
        <v>3838.2011965149995</v>
      </c>
      <c r="E545" s="61"/>
      <c r="F545" s="218"/>
      <c r="G545" s="242">
        <f>SUM(Tabla93617305523576390935466[[#This Row],[Prima Pagada vida]],Tabla93617305523576390935466[[#This Row],[Prima Pagada gmm]])</f>
        <v>3838.2011965149995</v>
      </c>
      <c r="H545" s="112"/>
      <c r="I545" s="113"/>
      <c r="J545" s="113"/>
      <c r="K545" s="103"/>
    </row>
    <row r="546" spans="1:11" ht="13" x14ac:dyDescent="0.15">
      <c r="A546" s="112" t="s">
        <v>27</v>
      </c>
      <c r="B546" s="100">
        <f>SUM(Tabla93617305523576390935466[[#This Row],[Vida]],Tabla93617305523576390935466[[#This Row],[Gmm]])</f>
        <v>0.5</v>
      </c>
      <c r="C546" s="231">
        <v>0</v>
      </c>
      <c r="D546" s="241">
        <v>0</v>
      </c>
      <c r="E546" s="231">
        <v>0.5</v>
      </c>
      <c r="F546" s="136">
        <v>3071.4499999999994</v>
      </c>
      <c r="G546" s="242">
        <f>SUM(Tabla93617305523576390935466[[#This Row],[Prima Pagada vida]],Tabla93617305523576390935466[[#This Row],[Prima Pagada gmm]])</f>
        <v>3071.4499999999994</v>
      </c>
      <c r="H546" s="112"/>
      <c r="I546" s="113"/>
      <c r="J546" s="113"/>
      <c r="K546" s="103"/>
    </row>
    <row r="547" spans="1:11" ht="13" x14ac:dyDescent="0.15">
      <c r="A547" s="112" t="s">
        <v>35</v>
      </c>
      <c r="B547" s="100">
        <f>SUM(Tabla93617305523576390935466[[#This Row],[Vida]],Tabla93617305523576390935466[[#This Row],[Gmm]])</f>
        <v>1</v>
      </c>
      <c r="C547" s="231">
        <v>1</v>
      </c>
      <c r="D547" s="241">
        <v>3019.4560726488003</v>
      </c>
      <c r="E547" s="231"/>
      <c r="F547" s="244"/>
      <c r="G547" s="242">
        <f>SUM(Tabla93617305523576390935466[[#This Row],[Prima Pagada vida]],Tabla93617305523576390935466[[#This Row],[Prima Pagada gmm]])</f>
        <v>3019.4560726488003</v>
      </c>
      <c r="H547" s="112"/>
      <c r="I547" s="113"/>
      <c r="J547" s="113"/>
      <c r="K547" s="103"/>
    </row>
    <row r="548" spans="1:11" ht="13" x14ac:dyDescent="0.15">
      <c r="A548" s="112" t="s">
        <v>12</v>
      </c>
      <c r="B548" s="100">
        <f>SUM(Tabla93617305523576390935466[[#This Row],[Vida]],Tabla93617305523576390935466[[#This Row],[Gmm]])</f>
        <v>1</v>
      </c>
      <c r="C548" s="231">
        <v>1</v>
      </c>
      <c r="D548" s="241">
        <v>1712.03</v>
      </c>
      <c r="E548" s="231"/>
      <c r="F548" s="136"/>
      <c r="G548" s="242">
        <f>SUM(Tabla93617305523576390935466[[#This Row],[Prima Pagada vida]],Tabla93617305523576390935466[[#This Row],[Prima Pagada gmm]])</f>
        <v>1712.03</v>
      </c>
      <c r="H548" s="112"/>
      <c r="I548" s="113">
        <v>12794.16</v>
      </c>
      <c r="J548" s="113"/>
      <c r="K548" s="103"/>
    </row>
    <row r="549" spans="1:11" ht="13" x14ac:dyDescent="0.15">
      <c r="A549" s="112" t="s">
        <v>11</v>
      </c>
      <c r="B549" s="100">
        <f>SUM(Tabla93617305523576390935466[[#This Row],[Vida]],Tabla93617305523576390935466[[#This Row],[Gmm]])</f>
        <v>1</v>
      </c>
      <c r="C549" s="231">
        <v>1</v>
      </c>
      <c r="D549" s="241">
        <v>1710.69</v>
      </c>
      <c r="E549" s="61"/>
      <c r="F549" s="218"/>
      <c r="G549" s="242">
        <f>SUM(Tabla93617305523576390935466[[#This Row],[Prima Pagada vida]],Tabla93617305523576390935466[[#This Row],[Prima Pagada gmm]])</f>
        <v>1710.69</v>
      </c>
      <c r="H549" s="112"/>
      <c r="I549" s="113"/>
      <c r="J549" s="113"/>
      <c r="K549" s="103"/>
    </row>
    <row r="550" spans="1:11" ht="13" x14ac:dyDescent="0.15">
      <c r="A550" s="112" t="s">
        <v>10</v>
      </c>
      <c r="B550" s="124">
        <f>SUM(Tabla93617305523576390935466[[#This Row],[Vida]],Tabla93617305523576390935466[[#This Row],[Gmm]])</f>
        <v>0</v>
      </c>
      <c r="C550" s="207">
        <v>0</v>
      </c>
      <c r="D550" s="245">
        <v>0</v>
      </c>
      <c r="E550" s="72"/>
      <c r="F550" s="206"/>
      <c r="G550" s="246">
        <f>SUM(Tabla93617305523576390935466[[#This Row],[Prima Pagada vida]],Tabla93617305523576390935466[[#This Row],[Prima Pagada gmm]])</f>
        <v>0</v>
      </c>
      <c r="H550" s="112"/>
      <c r="I550" s="113"/>
      <c r="J550" s="113"/>
      <c r="K550" s="103"/>
    </row>
    <row r="551" spans="1:11" ht="13" x14ac:dyDescent="0.15">
      <c r="A551" s="112" t="s">
        <v>32</v>
      </c>
      <c r="B551" s="124">
        <f>SUM(Tabla93617305523576390935466[[#This Row],[Vida]],Tabla93617305523576390935466[[#This Row],[Gmm]])</f>
        <v>0</v>
      </c>
      <c r="C551" s="207">
        <v>0</v>
      </c>
      <c r="D551" s="245">
        <v>0</v>
      </c>
      <c r="E551" s="72"/>
      <c r="F551" s="206"/>
      <c r="G551" s="246">
        <f>SUM(Tabla93617305523576390935466[[#This Row],[Prima Pagada vida]],Tabla93617305523576390935466[[#This Row],[Prima Pagada gmm]])</f>
        <v>0</v>
      </c>
      <c r="H551" s="112"/>
      <c r="I551" s="113"/>
      <c r="J551" s="113"/>
      <c r="K551" s="103"/>
    </row>
    <row r="552" spans="1:11" ht="13" x14ac:dyDescent="0.15">
      <c r="A552" s="112" t="s">
        <v>97</v>
      </c>
      <c r="B552" s="124">
        <f>SUM(Tabla93617305523576390935466[[#This Row],[Vida]],Tabla93617305523576390935466[[#This Row],[Gmm]])</f>
        <v>0</v>
      </c>
      <c r="C552" s="207">
        <v>0</v>
      </c>
      <c r="D552" s="245">
        <v>0</v>
      </c>
      <c r="E552" s="72"/>
      <c r="F552" s="206"/>
      <c r="G552" s="246">
        <f>SUM(Tabla93617305523576390935466[[#This Row],[Prima Pagada vida]],Tabla93617305523576390935466[[#This Row],[Prima Pagada gmm]])</f>
        <v>0</v>
      </c>
    </row>
    <row r="553" spans="1:11" ht="13" x14ac:dyDescent="0.15">
      <c r="A553" s="112" t="s">
        <v>78</v>
      </c>
      <c r="B553" s="124">
        <f>SUM(Tabla93617305523576390935466[[#This Row],[Vida]],Tabla93617305523576390935466[[#This Row],[Gmm]])</f>
        <v>0</v>
      </c>
      <c r="C553" s="207">
        <v>0</v>
      </c>
      <c r="D553" s="245">
        <v>0</v>
      </c>
      <c r="E553" s="72"/>
      <c r="F553" s="73"/>
      <c r="G553" s="246">
        <f>SUM(Tabla93617305523576390935466[[#This Row],[Prima Pagada vida]],Tabla93617305523576390935466[[#This Row],[Prima Pagada gmm]])</f>
        <v>0</v>
      </c>
      <c r="I553" s="1" t="s">
        <v>56</v>
      </c>
    </row>
    <row r="554" spans="1:11" ht="13" x14ac:dyDescent="0.15">
      <c r="A554" s="112" t="s">
        <v>31</v>
      </c>
      <c r="B554" s="124">
        <f>SUM(Tabla93617305523576390935466[[#This Row],[Vida]],Tabla93617305523576390935466[[#This Row],[Gmm]])</f>
        <v>0</v>
      </c>
      <c r="C554" s="207">
        <v>0</v>
      </c>
      <c r="D554" s="245">
        <v>0</v>
      </c>
      <c r="E554" s="207"/>
      <c r="F554" s="247"/>
      <c r="G554" s="246">
        <f>SUM(Tabla93617305523576390935466[[#This Row],[Prima Pagada vida]],Tabla93617305523576390935466[[#This Row],[Prima Pagada gmm]])</f>
        <v>0</v>
      </c>
      <c r="I554" s="106" t="s">
        <v>132</v>
      </c>
      <c r="J554" s="106" t="s">
        <v>173</v>
      </c>
    </row>
    <row r="555" spans="1:11" ht="13" x14ac:dyDescent="0.15">
      <c r="A555" s="112" t="s">
        <v>38</v>
      </c>
      <c r="B555" s="124">
        <f>SUM(Tabla93617305523576390935466[[#This Row],[Vida]],Tabla93617305523576390935466[[#This Row],[Gmm]])</f>
        <v>0</v>
      </c>
      <c r="C555" s="207">
        <v>0</v>
      </c>
      <c r="D555" s="245">
        <v>0</v>
      </c>
      <c r="E555" s="72"/>
      <c r="F555" s="206"/>
      <c r="G555" s="246">
        <f>SUM(Tabla93617305523576390935466[[#This Row],[Prima Pagada vida]],Tabla93617305523576390935466[[#This Row],[Prima Pagada gmm]])</f>
        <v>0</v>
      </c>
      <c r="I555" s="106" t="s">
        <v>134</v>
      </c>
      <c r="J555" s="106" t="s">
        <v>64</v>
      </c>
    </row>
    <row r="556" spans="1:11" ht="13" x14ac:dyDescent="0.15">
      <c r="A556" s="112" t="s">
        <v>16</v>
      </c>
      <c r="B556" s="124">
        <f>SUM(Tabla93617305523576390935466[[#This Row],[Vida]],Tabla93617305523576390935466[[#This Row],[Gmm]])</f>
        <v>0</v>
      </c>
      <c r="C556" s="207">
        <v>0</v>
      </c>
      <c r="D556" s="245">
        <v>0</v>
      </c>
      <c r="E556" s="74"/>
      <c r="F556" s="209"/>
      <c r="G556" s="246">
        <f>SUM(Tabla93617305523576390935466[[#This Row],[Prima Pagada vida]],Tabla93617305523576390935466[[#This Row],[Prima Pagada gmm]])</f>
        <v>0</v>
      </c>
      <c r="I556" s="106" t="s">
        <v>136</v>
      </c>
      <c r="J556" s="106" t="s">
        <v>174</v>
      </c>
    </row>
    <row r="557" spans="1:11" ht="13" x14ac:dyDescent="0.15">
      <c r="A557" s="112" t="s">
        <v>37</v>
      </c>
      <c r="B557" s="124">
        <f>SUM(Tabla93617305523576390935466[[#This Row],[Vida]],Tabla93617305523576390935466[[#This Row],[Gmm]])</f>
        <v>0</v>
      </c>
      <c r="C557" s="207">
        <v>0</v>
      </c>
      <c r="D557" s="245">
        <v>0</v>
      </c>
      <c r="E557" s="74"/>
      <c r="F557" s="206"/>
      <c r="G557" s="246">
        <f>SUM(Tabla93617305523576390935466[[#This Row],[Prima Pagada vida]],Tabla93617305523576390935466[[#This Row],[Prima Pagada gmm]])</f>
        <v>0</v>
      </c>
      <c r="I557" s="106" t="s">
        <v>137</v>
      </c>
      <c r="J557" s="106" t="s">
        <v>175</v>
      </c>
    </row>
    <row r="558" spans="1:11" ht="13" x14ac:dyDescent="0.15">
      <c r="A558" s="112" t="s">
        <v>105</v>
      </c>
      <c r="B558" s="124">
        <f>SUM(Tabla93617305523576390935466[[#This Row],[Vida]],Tabla93617305523576390935466[[#This Row],[Gmm]])</f>
        <v>0</v>
      </c>
      <c r="C558" s="207">
        <v>0</v>
      </c>
      <c r="D558" s="245">
        <v>0</v>
      </c>
      <c r="E558" s="72"/>
      <c r="F558" s="206"/>
      <c r="G558" s="246">
        <f>SUM(Tabla93617305523576390935466[[#This Row],[Prima Pagada vida]],Tabla93617305523576390935466[[#This Row],[Prima Pagada gmm]])</f>
        <v>0</v>
      </c>
      <c r="I558" s="106" t="s">
        <v>138</v>
      </c>
      <c r="J558" s="106" t="s">
        <v>107</v>
      </c>
    </row>
    <row r="559" spans="1:11" ht="13" x14ac:dyDescent="0.15">
      <c r="A559" s="112" t="s">
        <v>41</v>
      </c>
      <c r="B559" s="124">
        <f>SUM(Tabla93617305523576390935466[[#This Row],[Vida]],Tabla93617305523576390935466[[#This Row],[Gmm]])</f>
        <v>0</v>
      </c>
      <c r="C559" s="207">
        <v>0</v>
      </c>
      <c r="D559" s="245">
        <v>0</v>
      </c>
      <c r="E559" s="72"/>
      <c r="F559" s="206"/>
      <c r="G559" s="246">
        <f>SUM(Tabla93617305523576390935466[[#This Row],[Prima Pagada vida]],Tabla93617305523576390935466[[#This Row],[Prima Pagada gmm]])</f>
        <v>0</v>
      </c>
      <c r="I559" s="106" t="s">
        <v>140</v>
      </c>
      <c r="J559" s="106" t="s">
        <v>175</v>
      </c>
    </row>
    <row r="560" spans="1:11" ht="13" x14ac:dyDescent="0.15">
      <c r="A560" s="112" t="s">
        <v>18</v>
      </c>
      <c r="B560" s="124">
        <f>SUM(Tabla93617305523576390935466[[#This Row],[Vida]],Tabla93617305523576390935466[[#This Row],[Gmm]])</f>
        <v>0</v>
      </c>
      <c r="C560" s="207">
        <v>0</v>
      </c>
      <c r="D560" s="245">
        <v>0</v>
      </c>
      <c r="E560" s="72"/>
      <c r="F560" s="206"/>
      <c r="G560" s="246">
        <f>SUM(Tabla93617305523576390935466[[#This Row],[Prima Pagada vida]],Tabla93617305523576390935466[[#This Row],[Prima Pagada gmm]])</f>
        <v>0</v>
      </c>
      <c r="I560" s="106" t="s">
        <v>141</v>
      </c>
      <c r="J560" s="106" t="s">
        <v>107</v>
      </c>
    </row>
    <row r="561" spans="1:10" ht="13" x14ac:dyDescent="0.15">
      <c r="A561" s="112" t="s">
        <v>72</v>
      </c>
      <c r="B561" s="124">
        <f>SUM(Tabla93617305523576390935466[[#This Row],[Vida]],Tabla93617305523576390935466[[#This Row],[Gmm]])</f>
        <v>0</v>
      </c>
      <c r="C561" s="207">
        <v>0</v>
      </c>
      <c r="D561" s="245">
        <v>0</v>
      </c>
      <c r="E561" s="74"/>
      <c r="F561" s="209"/>
      <c r="G561" s="246">
        <f>SUM(Tabla93617305523576390935466[[#This Row],[Prima Pagada vida]],Tabla93617305523576390935466[[#This Row],[Prima Pagada gmm]])</f>
        <v>0</v>
      </c>
      <c r="I561" s="133" t="s">
        <v>143</v>
      </c>
      <c r="J561" s="133" t="s">
        <v>176</v>
      </c>
    </row>
    <row r="562" spans="1:10" ht="13" x14ac:dyDescent="0.15">
      <c r="A562" s="112" t="s">
        <v>22</v>
      </c>
      <c r="B562" s="124">
        <f>SUM(Tabla93617305523576390935466[[#This Row],[Vida]],Tabla93617305523576390935466[[#This Row],[Gmm]])</f>
        <v>0</v>
      </c>
      <c r="C562" s="207">
        <v>0</v>
      </c>
      <c r="D562" s="245">
        <v>0</v>
      </c>
      <c r="E562" s="72"/>
      <c r="F562" s="206"/>
      <c r="G562" s="246">
        <f>SUM(Tabla93617305523576390935466[[#This Row],[Prima Pagada vida]],Tabla93617305523576390935466[[#This Row],[Prima Pagada gmm]])</f>
        <v>0</v>
      </c>
    </row>
    <row r="563" spans="1:10" ht="13" x14ac:dyDescent="0.15">
      <c r="A563" s="112" t="s">
        <v>49</v>
      </c>
      <c r="B563" s="124">
        <f>SUM(Tabla93617305523576390935466[[#This Row],[Vida]],Tabla93617305523576390935466[[#This Row],[Gmm]])</f>
        <v>0</v>
      </c>
      <c r="C563" s="207">
        <v>0</v>
      </c>
      <c r="D563" s="245">
        <v>0</v>
      </c>
      <c r="E563" s="72"/>
      <c r="F563" s="206"/>
      <c r="G563" s="246">
        <f>SUM(Tabla93617305523576390935466[[#This Row],[Prima Pagada vida]],Tabla93617305523576390935466[[#This Row],[Prima Pagada gmm]])</f>
        <v>0</v>
      </c>
    </row>
    <row r="564" spans="1:10" ht="13" x14ac:dyDescent="0.15">
      <c r="A564" s="112" t="s">
        <v>98</v>
      </c>
      <c r="B564" s="124">
        <f>SUM(Tabla93617305523576390935466[[#This Row],[Vida]],Tabla93617305523576390935466[[#This Row],[Gmm]])</f>
        <v>0</v>
      </c>
      <c r="C564" s="207">
        <v>0</v>
      </c>
      <c r="D564" s="245">
        <v>0</v>
      </c>
      <c r="E564" s="72"/>
      <c r="F564" s="206"/>
      <c r="G564" s="246">
        <f>SUM(Tabla93617305523576390935466[[#This Row],[Prima Pagada vida]],Tabla93617305523576390935466[[#This Row],[Prima Pagada gmm]])</f>
        <v>0</v>
      </c>
    </row>
    <row r="565" spans="1:10" ht="13" x14ac:dyDescent="0.15">
      <c r="A565" s="112" t="s">
        <v>24</v>
      </c>
      <c r="B565" s="124">
        <f>SUM(Tabla93617305523576390935466[[#This Row],[Vida]],Tabla93617305523576390935466[[#This Row],[Gmm]])</f>
        <v>0</v>
      </c>
      <c r="C565" s="207">
        <v>0</v>
      </c>
      <c r="D565" s="245">
        <v>0</v>
      </c>
      <c r="E565" s="74"/>
      <c r="F565" s="209"/>
      <c r="G565" s="246">
        <f>SUM(Tabla93617305523576390935466[[#This Row],[Prima Pagada vida]],Tabla93617305523576390935466[[#This Row],[Prima Pagada gmm]])</f>
        <v>0</v>
      </c>
    </row>
    <row r="566" spans="1:10" ht="13" x14ac:dyDescent="0.15">
      <c r="A566" s="112" t="s">
        <v>116</v>
      </c>
      <c r="B566" s="124">
        <f>SUM(Tabla93617305523576390935466[[#This Row],[Vida]],Tabla93617305523576390935466[[#This Row],[Gmm]])</f>
        <v>0</v>
      </c>
      <c r="C566" s="207">
        <v>0</v>
      </c>
      <c r="D566" s="245">
        <v>0</v>
      </c>
      <c r="E566" s="74"/>
      <c r="F566" s="209"/>
      <c r="G566" s="246">
        <f>SUM(Tabla93617305523576390935466[[#This Row],[Prima Pagada vida]],Tabla93617305523576390935466[[#This Row],[Prima Pagada gmm]])</f>
        <v>0</v>
      </c>
    </row>
    <row r="567" spans="1:10" x14ac:dyDescent="0.15">
      <c r="A567" s="112" t="s">
        <v>46</v>
      </c>
      <c r="B567" s="124">
        <f>SUM(Tabla93617305523576390935466[[#This Row],[Vida]],Tabla93617305523576390935466[[#This Row],[Gmm]])</f>
        <v>0</v>
      </c>
      <c r="C567" s="207">
        <v>0</v>
      </c>
      <c r="D567" s="245">
        <v>0</v>
      </c>
      <c r="E567" s="72"/>
      <c r="F567" s="206"/>
      <c r="G567" s="248">
        <f>SUM(Tabla93617305523576390935466[[#This Row],[Prima Pagada vida]],Tabla93617305523576390935466[[#This Row],[Prima Pagada gmm]])</f>
        <v>0</v>
      </c>
    </row>
    <row r="568" spans="1:10" ht="13" x14ac:dyDescent="0.15">
      <c r="A568" s="112" t="s">
        <v>119</v>
      </c>
      <c r="B568" s="124">
        <f>SUM(Tabla93617305523576390935466[[#This Row],[Vida]],Tabla93617305523576390935466[[#This Row],[Gmm]])</f>
        <v>0</v>
      </c>
      <c r="C568" s="207">
        <v>0</v>
      </c>
      <c r="D568" s="245">
        <v>0</v>
      </c>
      <c r="E568" s="72"/>
      <c r="F568" s="206"/>
      <c r="G568" s="246">
        <f>SUM(Tabla93617305523576390935466[[#This Row],[Prima Pagada vida]],Tabla93617305523576390935466[[#This Row],[Prima Pagada gmm]])</f>
        <v>0</v>
      </c>
    </row>
    <row r="569" spans="1:10" ht="13" x14ac:dyDescent="0.15">
      <c r="A569" s="249"/>
      <c r="B569" s="250">
        <f>SUM(Tabla93617305523576390935466[[#This Row],[Vida]],Tabla93617305523576390935466[[#This Row],[Gmm]])</f>
        <v>0</v>
      </c>
      <c r="C569" s="250">
        <v>0</v>
      </c>
      <c r="D569" s="251">
        <v>0</v>
      </c>
      <c r="E569" s="252"/>
      <c r="F569" s="253"/>
      <c r="G569" s="254">
        <f>SUM(Tabla93617305523576390935466[[#This Row],[Prima Pagada vida]],Tabla93617305523576390935466[[#This Row],[Prima Pagada gmm]])</f>
        <v>0</v>
      </c>
    </row>
    <row r="570" spans="1:10" ht="13" x14ac:dyDescent="0.15">
      <c r="A570" s="249"/>
      <c r="B570" s="250">
        <f>SUM(Tabla93617305523576390935466[[#This Row],[Vida]],Tabla93617305523576390935466[[#This Row],[Gmm]])</f>
        <v>0</v>
      </c>
      <c r="C570" s="109">
        <v>0</v>
      </c>
      <c r="D570" s="255">
        <v>0</v>
      </c>
      <c r="E570" s="256"/>
      <c r="F570" s="253"/>
      <c r="G570" s="254">
        <f>SUM(Tabla93617305523576390935466[[#This Row],[Prima Pagada vida]],Tabla93617305523576390935466[[#This Row],[Prima Pagada gmm]])</f>
        <v>0</v>
      </c>
    </row>
    <row r="571" spans="1:10" ht="13" x14ac:dyDescent="0.15">
      <c r="A571" s="249"/>
      <c r="B571" s="250">
        <f>SUM(Tabla93617305523576390935466[[#This Row],[Vida]],Tabla93617305523576390935466[[#This Row],[Gmm]])</f>
        <v>0</v>
      </c>
      <c r="C571" s="250">
        <v>0</v>
      </c>
      <c r="D571" s="251">
        <v>0</v>
      </c>
      <c r="E571" s="252"/>
      <c r="F571" s="253"/>
      <c r="G571" s="254">
        <f>SUM(Tabla93617305523576390935466[[#This Row],[Prima Pagada vida]],Tabla93617305523576390935466[[#This Row],[Prima Pagada gmm]])</f>
        <v>0</v>
      </c>
    </row>
    <row r="572" spans="1:10" ht="13" x14ac:dyDescent="0.15">
      <c r="A572" s="249"/>
      <c r="B572" s="250">
        <f>SUM(Tabla93617305523576390935466[[#This Row],[Vida]],Tabla93617305523576390935466[[#This Row],[Gmm]])</f>
        <v>0</v>
      </c>
      <c r="C572" s="250">
        <v>0</v>
      </c>
      <c r="D572" s="251">
        <v>0</v>
      </c>
      <c r="E572" s="252"/>
      <c r="F572" s="253"/>
      <c r="G572" s="254">
        <f>SUM(Tabla93617305523576390935466[[#This Row],[Prima Pagada vida]],Tabla93617305523576390935466[[#This Row],[Prima Pagada gmm]])</f>
        <v>0</v>
      </c>
    </row>
    <row r="573" spans="1:10" ht="13" x14ac:dyDescent="0.15">
      <c r="A573" s="249"/>
      <c r="B573" s="250">
        <f>SUM(Tabla93617305523576390935466[[#This Row],[Vida]],Tabla93617305523576390935466[[#This Row],[Gmm]])</f>
        <v>0</v>
      </c>
      <c r="C573" s="109">
        <v>0</v>
      </c>
      <c r="D573" s="255">
        <v>0</v>
      </c>
      <c r="E573" s="256"/>
      <c r="F573" s="253"/>
      <c r="G573" s="254">
        <f>SUM(Tabla93617305523576390935466[[#This Row],[Prima Pagada vida]],Tabla93617305523576390935466[[#This Row],[Prima Pagada gmm]])</f>
        <v>0</v>
      </c>
    </row>
    <row r="574" spans="1:10" ht="13" x14ac:dyDescent="0.15">
      <c r="A574" s="249"/>
      <c r="B574" s="250">
        <f>SUM(Tabla93617305523576390935466[[#This Row],[Vida]],Tabla93617305523576390935466[[#This Row],[Gmm]])</f>
        <v>0</v>
      </c>
      <c r="C574" s="250">
        <v>0</v>
      </c>
      <c r="D574" s="251">
        <v>0</v>
      </c>
      <c r="E574" s="252"/>
      <c r="F574" s="253"/>
      <c r="G574" s="254">
        <f>SUM(Tabla93617305523576390935466[[#This Row],[Prima Pagada vida]],Tabla93617305523576390935466[[#This Row],[Prima Pagada gmm]])</f>
        <v>0</v>
      </c>
    </row>
    <row r="575" spans="1:10" ht="13" x14ac:dyDescent="0.15">
      <c r="A575" s="249"/>
      <c r="B575" s="250">
        <f>SUM(Tabla93617305523576390935466[[#This Row],[Vida]],Tabla93617305523576390935466[[#This Row],[Gmm]])</f>
        <v>0</v>
      </c>
      <c r="C575" s="250">
        <v>0</v>
      </c>
      <c r="D575" s="251">
        <v>0</v>
      </c>
      <c r="E575" s="252"/>
      <c r="F575" s="253"/>
      <c r="G575" s="254">
        <f>SUM(Tabla93617305523576390935466[[#This Row],[Prima Pagada vida]],Tabla93617305523576390935466[[#This Row],[Prima Pagada gmm]])</f>
        <v>0</v>
      </c>
    </row>
    <row r="576" spans="1:10" ht="13" x14ac:dyDescent="0.15">
      <c r="A576" s="257"/>
      <c r="B576" s="250">
        <f>SUM(Tabla93617305523576390935466[[#This Row],[Vida]],Tabla93617305523576390935466[[#This Row],[Gmm]])</f>
        <v>0</v>
      </c>
      <c r="C576" s="109">
        <v>0</v>
      </c>
      <c r="D576" s="255">
        <v>0</v>
      </c>
      <c r="E576" s="256"/>
      <c r="F576" s="253"/>
      <c r="G576" s="254">
        <f>SUM(Tabla93617305523576390935466[[#This Row],[Prima Pagada vida]],Tabla93617305523576390935466[[#This Row],[Prima Pagada gmm]])</f>
        <v>0</v>
      </c>
    </row>
    <row r="577" spans="1:14" ht="13" x14ac:dyDescent="0.15">
      <c r="A577" s="257"/>
      <c r="B577" s="250">
        <f>SUM(Tabla93617305523576390935466[[#This Row],[Vida]],Tabla93617305523576390935466[[#This Row],[Gmm]])</f>
        <v>0</v>
      </c>
      <c r="C577" s="250">
        <v>0</v>
      </c>
      <c r="D577" s="251">
        <v>0</v>
      </c>
      <c r="E577" s="252"/>
      <c r="F577" s="253"/>
      <c r="G577" s="254">
        <f>SUM(Tabla93617305523576390935466[[#This Row],[Prima Pagada vida]],Tabla93617305523576390935466[[#This Row],[Prima Pagada gmm]])</f>
        <v>0</v>
      </c>
    </row>
    <row r="578" spans="1:14" ht="13" x14ac:dyDescent="0.15">
      <c r="A578" s="257"/>
      <c r="B578" s="250">
        <f>SUM(Tabla93617305523576390935466[[#This Row],[Vida]],Tabla93617305523576390935466[[#This Row],[Gmm]])</f>
        <v>0</v>
      </c>
      <c r="C578" s="250">
        <v>0</v>
      </c>
      <c r="D578" s="251">
        <v>0</v>
      </c>
      <c r="E578" s="252"/>
      <c r="F578" s="253"/>
      <c r="G578" s="254">
        <f>SUM(Tabla93617305523576390935466[[#This Row],[Prima Pagada vida]],Tabla93617305523576390935466[[#This Row],[Prima Pagada gmm]])</f>
        <v>0</v>
      </c>
    </row>
    <row r="579" spans="1:14" ht="13" x14ac:dyDescent="0.15">
      <c r="A579" s="43" t="s">
        <v>50</v>
      </c>
      <c r="B579" s="214">
        <f>SUM(Tabla93617305523576390935466[[Pólizas ]])</f>
        <v>21</v>
      </c>
      <c r="C579" s="215">
        <f>SUM(Tabla93617305523576390935466[Vida])</f>
        <v>15</v>
      </c>
      <c r="D579" s="216">
        <f>SUM(Tabla93617305523576390935466[Prima Pagada vida])</f>
        <v>232446.97838004885</v>
      </c>
      <c r="E579" s="217">
        <f>SUM(Tabla93617305523576390935466[Gmm])</f>
        <v>6</v>
      </c>
      <c r="F579" s="216">
        <f>SUM(Tabla93617305523576390935466[Prima Pagada gmm])</f>
        <v>425709.38740000007</v>
      </c>
      <c r="G579" s="216">
        <f>SUM(Tabla93617305523576390935466[Prima total])</f>
        <v>658156.36578004865</v>
      </c>
    </row>
    <row r="585" spans="1:14" x14ac:dyDescent="0.15">
      <c r="A585" s="320" t="s">
        <v>55</v>
      </c>
      <c r="B585" s="320"/>
      <c r="C585" s="320"/>
      <c r="D585" s="320"/>
      <c r="E585" s="320"/>
      <c r="F585" s="320"/>
      <c r="G585" s="320"/>
      <c r="H585" s="320"/>
    </row>
    <row r="586" spans="1:14" ht="28" x14ac:dyDescent="0.15">
      <c r="A586" s="2" t="s">
        <v>1</v>
      </c>
      <c r="B586" s="3" t="s">
        <v>2</v>
      </c>
      <c r="C586" s="3" t="s">
        <v>3</v>
      </c>
      <c r="D586" s="4" t="s">
        <v>122</v>
      </c>
      <c r="E586" s="5" t="s">
        <v>5</v>
      </c>
      <c r="F586" s="3" t="s">
        <v>123</v>
      </c>
      <c r="G586" s="6" t="s">
        <v>7</v>
      </c>
      <c r="H586" s="112"/>
    </row>
    <row r="587" spans="1:14" x14ac:dyDescent="0.15">
      <c r="A587" s="112" t="s">
        <v>76</v>
      </c>
      <c r="B587" s="146">
        <f>SUM(Tabla9361730552357639093546634[[#This Row],[Vida]],Tabla9361730552357639093546634[[#This Row],[Gmm]])</f>
        <v>6</v>
      </c>
      <c r="C587" s="258">
        <v>4</v>
      </c>
      <c r="D587" s="233">
        <v>416278.71</v>
      </c>
      <c r="E587" s="258">
        <v>2</v>
      </c>
      <c r="F587" s="233">
        <f>_xlfn.XLOOKUP(Tabla9361730552357639093546634[[#This Row],[Asesor]],Tabla48[Columna1],Tabla48[Columna3],0)</f>
        <v>164838.04</v>
      </c>
      <c r="G587" s="234">
        <f>SUM(Tabla9361730552357639093546634[[#This Row],[Prima Pagada vida]],Tabla9361730552357639093546634[[#This Row],[Prima Pagada gmm]])</f>
        <v>581116.75</v>
      </c>
      <c r="H587" s="112"/>
      <c r="I587" s="112" t="s">
        <v>177</v>
      </c>
      <c r="J587" s="113" t="s">
        <v>178</v>
      </c>
      <c r="K587" s="103" t="s">
        <v>179</v>
      </c>
      <c r="M587" s="1" t="s">
        <v>56</v>
      </c>
    </row>
    <row r="588" spans="1:14" ht="13" x14ac:dyDescent="0.15">
      <c r="A588" s="112" t="s">
        <v>14</v>
      </c>
      <c r="B588" s="146">
        <f>SUM(Tabla9361730552357639093546634[[#This Row],[Vida]],Tabla9361730552357639093546634[[#This Row],[Gmm]])</f>
        <v>3</v>
      </c>
      <c r="C588" s="258">
        <v>2</v>
      </c>
      <c r="D588" s="233">
        <v>78894</v>
      </c>
      <c r="E588" s="259">
        <v>1</v>
      </c>
      <c r="F588" s="260">
        <f>_xlfn.XLOOKUP(Tabla9361730552357639093546634[[#This Row],[Asesor]],Tabla48[Columna1],Tabla48[Columna3],0)</f>
        <v>167848.32000000001</v>
      </c>
      <c r="G588" s="239">
        <f>SUM(Tabla9361730552357639093546634[[#This Row],[Prima Pagada vida]],Tabla9361730552357639093546634[[#This Row],[Prima Pagada gmm]])</f>
        <v>246742.32</v>
      </c>
      <c r="H588" s="112"/>
      <c r="I588" s="112" t="s">
        <v>76</v>
      </c>
      <c r="J588" s="113">
        <v>4</v>
      </c>
      <c r="K588" s="103">
        <v>164838.04</v>
      </c>
      <c r="M588" s="106" t="s">
        <v>132</v>
      </c>
      <c r="N588" s="106" t="s">
        <v>180</v>
      </c>
    </row>
    <row r="589" spans="1:14" ht="13" x14ac:dyDescent="0.15">
      <c r="A589" s="112" t="s">
        <v>11</v>
      </c>
      <c r="B589" s="146">
        <f>SUM(Tabla9361730552357639093546634[[#This Row],[Vida]],Tabla9361730552357639093546634[[#This Row],[Gmm]])</f>
        <v>4</v>
      </c>
      <c r="C589" s="258">
        <v>4</v>
      </c>
      <c r="D589" s="233">
        <v>178153.93</v>
      </c>
      <c r="E589" s="258">
        <f>_xlfn.XLOOKUP(Tabla9361730552357639093546634[[#This Row],[Asesor]],Tabla48[Columna1],Tabla48[Columna2],0)</f>
        <v>0</v>
      </c>
      <c r="F589" s="233">
        <f>_xlfn.XLOOKUP(Tabla9361730552357639093546634[[#This Row],[Asesor]],Tabla48[Columna1],Tabla48[Columna3],0)</f>
        <v>0</v>
      </c>
      <c r="G589" s="239">
        <f>SUM(Tabla9361730552357639093546634[[#This Row],[Prima Pagada vida]],Tabla9361730552357639093546634[[#This Row],[Prima Pagada gmm]])</f>
        <v>178153.93</v>
      </c>
      <c r="H589" s="112"/>
      <c r="I589" s="112" t="s">
        <v>14</v>
      </c>
      <c r="J589" s="113">
        <v>2</v>
      </c>
      <c r="K589" s="103">
        <v>167848.32000000001</v>
      </c>
      <c r="M589" s="106" t="s">
        <v>134</v>
      </c>
      <c r="N589" s="106" t="s">
        <v>181</v>
      </c>
    </row>
    <row r="590" spans="1:14" ht="13" x14ac:dyDescent="0.15">
      <c r="A590" s="112" t="s">
        <v>13</v>
      </c>
      <c r="B590" s="100">
        <f>SUM(Tabla9361730552357639093546634[[#This Row],[Vida]],Tabla9361730552357639093546634[[#This Row],[Gmm]])</f>
        <v>1.5</v>
      </c>
      <c r="C590" s="231">
        <v>1</v>
      </c>
      <c r="D590" s="233">
        <v>35452.06830318</v>
      </c>
      <c r="E590" s="61">
        <v>0.5</v>
      </c>
      <c r="F590" s="240">
        <f>_xlfn.XLOOKUP(Tabla9361730552357639093546634[[#This Row],[Asesor]],Tabla48[Columna1],Tabla48[Columna3],0)</f>
        <v>25815.63</v>
      </c>
      <c r="G590" s="239">
        <f>SUM(Tabla9361730552357639093546634[[#This Row],[Prima Pagada vida]],Tabla9361730552357639093546634[[#This Row],[Prima Pagada gmm]])</f>
        <v>61267.698303180005</v>
      </c>
      <c r="H590" s="112"/>
      <c r="I590" s="112" t="s">
        <v>26</v>
      </c>
      <c r="J590" s="113">
        <v>1</v>
      </c>
      <c r="K590" s="103">
        <v>55666.38</v>
      </c>
      <c r="M590" s="106" t="s">
        <v>136</v>
      </c>
      <c r="N590" s="106" t="s">
        <v>182</v>
      </c>
    </row>
    <row r="591" spans="1:14" ht="13" x14ac:dyDescent="0.15">
      <c r="A591" s="112" t="s">
        <v>26</v>
      </c>
      <c r="B591" s="100">
        <f>SUM(Tabla9361730552357639093546634[[#This Row],[Vida]],Tabla9361730552357639093546634[[#This Row],[Gmm]])</f>
        <v>0.5</v>
      </c>
      <c r="C591" s="231">
        <v>0</v>
      </c>
      <c r="D591" s="233">
        <v>0</v>
      </c>
      <c r="E591" s="61">
        <v>0.5</v>
      </c>
      <c r="F591" s="240">
        <f>_xlfn.XLOOKUP(Tabla9361730552357639093546634[[#This Row],[Asesor]],Tabla48[Columna1],Tabla48[Columna3],0)</f>
        <v>55666.38</v>
      </c>
      <c r="G591" s="239">
        <f>SUM(Tabla9361730552357639093546634[[#This Row],[Prima Pagada vida]],Tabla9361730552357639093546634[[#This Row],[Prima Pagada gmm]])</f>
        <v>55666.38</v>
      </c>
      <c r="H591" s="112"/>
      <c r="I591" s="112" t="s">
        <v>13</v>
      </c>
      <c r="J591" s="113">
        <v>1</v>
      </c>
      <c r="K591" s="103">
        <v>25815.63</v>
      </c>
      <c r="M591" s="106" t="s">
        <v>137</v>
      </c>
      <c r="N591" s="106" t="s">
        <v>128</v>
      </c>
    </row>
    <row r="592" spans="1:14" ht="13" x14ac:dyDescent="0.15">
      <c r="A592" s="112" t="s">
        <v>35</v>
      </c>
      <c r="B592" s="100">
        <f>SUM(Tabla9361730552357639093546634[[#This Row],[Vida]],Tabla9361730552357639093546634[[#This Row],[Gmm]])</f>
        <v>1.5</v>
      </c>
      <c r="C592" s="231">
        <v>1</v>
      </c>
      <c r="D592" s="233">
        <v>31943.363365199999</v>
      </c>
      <c r="E592" s="261">
        <v>0.5</v>
      </c>
      <c r="F592" s="262">
        <f>_xlfn.XLOOKUP(Tabla9361730552357639093546634[[#This Row],[Asesor]],Tabla48[Columna1],Tabla48[Columna3],0)</f>
        <v>18766.53</v>
      </c>
      <c r="G592" s="239">
        <f>SUM(Tabla9361730552357639093546634[[#This Row],[Prima Pagada vida]],Tabla9361730552357639093546634[[#This Row],[Prima Pagada gmm]])</f>
        <v>50709.893365199998</v>
      </c>
      <c r="H592" s="112"/>
      <c r="I592" s="112" t="s">
        <v>43</v>
      </c>
      <c r="J592" s="113">
        <v>1</v>
      </c>
      <c r="K592" s="103">
        <v>42851.91</v>
      </c>
      <c r="M592" s="106" t="s">
        <v>138</v>
      </c>
      <c r="N592" s="106" t="s">
        <v>183</v>
      </c>
    </row>
    <row r="593" spans="1:14" ht="13" x14ac:dyDescent="0.15">
      <c r="A593" s="112" t="s">
        <v>43</v>
      </c>
      <c r="B593" s="100">
        <f>SUM(Tabla9361730552357639093546634[[#This Row],[Vida]],Tabla9361730552357639093546634[[#This Row],[Gmm]])</f>
        <v>1.5</v>
      </c>
      <c r="C593" s="231">
        <v>1</v>
      </c>
      <c r="D593" s="136">
        <v>2294.3384651250003</v>
      </c>
      <c r="E593" s="61">
        <v>0.5</v>
      </c>
      <c r="F593" s="64">
        <f>_xlfn.XLOOKUP(Tabla9361730552357639093546634[[#This Row],[Asesor]],Tabla48[Columna1],Tabla48[Columna3],0)</f>
        <v>42851.91</v>
      </c>
      <c r="G593" s="242">
        <f>SUM(Tabla9361730552357639093546634[[#This Row],[Prima Pagada vida]],Tabla9361730552357639093546634[[#This Row],[Prima Pagada gmm]])</f>
        <v>45146.248465125005</v>
      </c>
      <c r="H593" s="112"/>
      <c r="I593" s="112" t="s">
        <v>10</v>
      </c>
      <c r="J593" s="113">
        <v>0</v>
      </c>
      <c r="K593" s="103">
        <v>0</v>
      </c>
      <c r="M593" s="106" t="s">
        <v>140</v>
      </c>
      <c r="N593" s="106" t="s">
        <v>128</v>
      </c>
    </row>
    <row r="594" spans="1:14" ht="13" x14ac:dyDescent="0.15">
      <c r="A594" s="112" t="s">
        <v>46</v>
      </c>
      <c r="B594" s="100">
        <f>SUM(Tabla9361730552357639093546634[[#This Row],[Vida]],Tabla9361730552357639093546634[[#This Row],[Gmm]])</f>
        <v>1</v>
      </c>
      <c r="C594" s="231">
        <v>1</v>
      </c>
      <c r="D594" s="136">
        <v>25285.29782</v>
      </c>
      <c r="E594" s="231">
        <f>_xlfn.XLOOKUP(Tabla9361730552357639093546634[[#This Row],[Asesor]],Tabla48[Columna1],Tabla48[Columna2],0)</f>
        <v>0</v>
      </c>
      <c r="F594" s="244">
        <f>_xlfn.XLOOKUP(Tabla9361730552357639093546634[[#This Row],[Asesor]],Tabla48[Columna1],Tabla48[Columna3],0)</f>
        <v>0</v>
      </c>
      <c r="G594" s="242">
        <f>SUM(Tabla9361730552357639093546634[[#This Row],[Prima Pagada vida]],Tabla9361730552357639093546634[[#This Row],[Prima Pagada gmm]])</f>
        <v>25285.29782</v>
      </c>
      <c r="H594" s="112"/>
      <c r="I594" s="112" t="s">
        <v>35</v>
      </c>
      <c r="J594" s="113">
        <v>1</v>
      </c>
      <c r="K594" s="103">
        <v>18766.53</v>
      </c>
      <c r="M594" s="106" t="s">
        <v>141</v>
      </c>
      <c r="N594" s="106" t="s">
        <v>183</v>
      </c>
    </row>
    <row r="595" spans="1:14" ht="13" x14ac:dyDescent="0.15">
      <c r="A595" s="112" t="s">
        <v>184</v>
      </c>
      <c r="B595" s="100">
        <f>SUM(Tabla9361730552357639093546634[[#This Row],[Vida]],Tabla9361730552357639093546634[[#This Row],[Gmm]])</f>
        <v>0.5</v>
      </c>
      <c r="C595" s="263">
        <v>0</v>
      </c>
      <c r="D595" s="264">
        <v>0</v>
      </c>
      <c r="E595" s="69">
        <v>0.5</v>
      </c>
      <c r="F595" s="221">
        <f>_xlfn.XLOOKUP(Tabla9361730552357639093546634[[#This Row],[Asesor]],Tabla48[Columna1],Tabla48[Columna3],0)</f>
        <v>19991.560000000001</v>
      </c>
      <c r="G595" s="242">
        <f>SUM(Tabla9361730552357639093546634[[#This Row],[Prima Pagada vida]],Tabla9361730552357639093546634[[#This Row],[Prima Pagada gmm]])</f>
        <v>19991.560000000001</v>
      </c>
      <c r="H595" s="112"/>
      <c r="I595" s="112" t="s">
        <v>116</v>
      </c>
      <c r="J595" s="113">
        <v>1</v>
      </c>
      <c r="K595" s="103">
        <v>14892.79</v>
      </c>
      <c r="M595" s="265" t="s">
        <v>143</v>
      </c>
      <c r="N595" s="106" t="s">
        <v>185</v>
      </c>
    </row>
    <row r="596" spans="1:14" ht="13" x14ac:dyDescent="0.15">
      <c r="A596" s="112" t="s">
        <v>116</v>
      </c>
      <c r="B596" s="100">
        <f>SUM(Tabla9361730552357639093546634[[#This Row],[Vida]],Tabla9361730552357639093546634[[#This Row],[Gmm]])</f>
        <v>0.5</v>
      </c>
      <c r="C596" s="231">
        <v>0</v>
      </c>
      <c r="D596" s="136">
        <v>0</v>
      </c>
      <c r="E596" s="61">
        <v>0.5</v>
      </c>
      <c r="F596" s="64">
        <f>_xlfn.XLOOKUP(Tabla9361730552357639093546634[[#This Row],[Asesor]],Tabla48[Columna1],Tabla48[Columna3],0)</f>
        <v>14892.79</v>
      </c>
      <c r="G596" s="242">
        <f>SUM(Tabla9361730552357639093546634[[#This Row],[Prima Pagada vida]],Tabla9361730552357639093546634[[#This Row],[Prima Pagada gmm]])</f>
        <v>14892.79</v>
      </c>
      <c r="H596" s="112"/>
      <c r="I596" s="112" t="s">
        <v>184</v>
      </c>
      <c r="J596" s="113">
        <v>1</v>
      </c>
      <c r="K596" s="103">
        <v>19991.560000000001</v>
      </c>
    </row>
    <row r="597" spans="1:14" ht="13" x14ac:dyDescent="0.15">
      <c r="A597" s="112" t="s">
        <v>27</v>
      </c>
      <c r="B597" s="100">
        <f>SUM(Tabla9361730552357639093546634[[#This Row],[Vida]],Tabla9361730552357639093546634[[#This Row],[Gmm]])</f>
        <v>1</v>
      </c>
      <c r="C597" s="231">
        <v>1</v>
      </c>
      <c r="D597" s="136">
        <v>13128.07</v>
      </c>
      <c r="E597" s="61">
        <f>_xlfn.XLOOKUP(Tabla9361730552357639093546634[[#This Row],[Asesor]],Tabla48[Columna1],Tabla48[Columna2],0)</f>
        <v>0</v>
      </c>
      <c r="F597" s="218">
        <f>_xlfn.XLOOKUP(Tabla9361730552357639093546634[[#This Row],[Asesor]],Tabla48[Columna1],Tabla48[Columna3],0)</f>
        <v>0</v>
      </c>
      <c r="G597" s="242">
        <f>SUM(Tabla9361730552357639093546634[[#This Row],[Prima Pagada vida]],Tabla9361730552357639093546634[[#This Row],[Prima Pagada gmm]])</f>
        <v>13128.07</v>
      </c>
      <c r="H597" s="112"/>
      <c r="I597" s="112"/>
    </row>
    <row r="598" spans="1:14" ht="13" x14ac:dyDescent="0.15">
      <c r="A598" s="112" t="s">
        <v>186</v>
      </c>
      <c r="B598" s="146">
        <f>SUM(Tabla9361730552357639093546634[[#This Row],[Vida]],Tabla9361730552357639093546634[[#This Row],[Gmm]])</f>
        <v>4</v>
      </c>
      <c r="C598" s="258">
        <v>4</v>
      </c>
      <c r="D598" s="136">
        <v>10465.049999999999</v>
      </c>
      <c r="E598" s="258">
        <f>_xlfn.XLOOKUP(Tabla9361730552357639093546634[[#This Row],[Asesor]],Tabla48[Columna1],Tabla48[Columna2],0)</f>
        <v>0</v>
      </c>
      <c r="F598" s="244">
        <f>_xlfn.XLOOKUP(Tabla9361730552357639093546634[[#This Row],[Asesor]],Tabla48[Columna1],Tabla48[Columna3],0)</f>
        <v>0</v>
      </c>
      <c r="G598" s="242">
        <f>SUM(Tabla9361730552357639093546634[[#This Row],[Prima Pagada vida]],Tabla9361730552357639093546634[[#This Row],[Prima Pagada gmm]])</f>
        <v>10465.049999999999</v>
      </c>
      <c r="H598" s="112"/>
      <c r="I598" s="112"/>
    </row>
    <row r="599" spans="1:14" ht="13" x14ac:dyDescent="0.15">
      <c r="A599" s="112" t="s">
        <v>78</v>
      </c>
      <c r="B599" s="100">
        <f>SUM(Tabla9361730552357639093546634[[#This Row],[Vida]],Tabla9361730552357639093546634[[#This Row],[Gmm]])</f>
        <v>1</v>
      </c>
      <c r="C599" s="231">
        <v>1</v>
      </c>
      <c r="D599" s="136">
        <v>10300.870000000001</v>
      </c>
      <c r="E599" s="231">
        <f>_xlfn.XLOOKUP(Tabla9361730552357639093546634[[#This Row],[Asesor]],Tabla48[Columna1],Tabla48[Columna2],0)</f>
        <v>0</v>
      </c>
      <c r="F599" s="244">
        <f>_xlfn.XLOOKUP(Tabla9361730552357639093546634[[#This Row],[Asesor]],Tabla48[Columna1],Tabla48[Columna3],0)</f>
        <v>0</v>
      </c>
      <c r="G599" s="242">
        <f>SUM(Tabla9361730552357639093546634[[#This Row],[Prima Pagada vida]],Tabla9361730552357639093546634[[#This Row],[Prima Pagada gmm]])</f>
        <v>10300.870000000001</v>
      </c>
      <c r="H599" s="112"/>
      <c r="I599" s="112"/>
    </row>
    <row r="600" spans="1:14" x14ac:dyDescent="0.15">
      <c r="A600" s="112" t="s">
        <v>130</v>
      </c>
      <c r="B600" s="146">
        <f>SUM(Tabla9361730552357639093546634[[#This Row],[Vida]],Tabla9361730552357639093546634[[#This Row],[Gmm]])</f>
        <v>3</v>
      </c>
      <c r="C600" s="258">
        <v>3</v>
      </c>
      <c r="D600" s="136">
        <v>8797.08</v>
      </c>
      <c r="E600" s="147">
        <f>_xlfn.XLOOKUP(Tabla9361730552357639093546634[[#This Row],[Asesor]],Tabla48[Columna1],Tabla48[Columna2],0)</f>
        <v>0</v>
      </c>
      <c r="F600" s="244">
        <f>_xlfn.XLOOKUP(Tabla9361730552357639093546634[[#This Row],[Asesor]],Tabla48[Columna1],Tabla48[Columna3],0)</f>
        <v>0</v>
      </c>
      <c r="G600" s="243">
        <f>SUM(Tabla9361730552357639093546634[[#This Row],[Prima Pagada vida]],Tabla9361730552357639093546634[[#This Row],[Prima Pagada gmm]])</f>
        <v>8797.08</v>
      </c>
      <c r="H600" s="112"/>
      <c r="I600" s="112"/>
    </row>
    <row r="601" spans="1:14" ht="13" x14ac:dyDescent="0.15">
      <c r="A601" s="112" t="s">
        <v>38</v>
      </c>
      <c r="B601" s="100">
        <f>SUM(Tabla9361730552357639093546634[[#This Row],[Vida]],Tabla9361730552357639093546634[[#This Row],[Gmm]])</f>
        <v>1</v>
      </c>
      <c r="C601" s="231">
        <v>1</v>
      </c>
      <c r="D601" s="136">
        <v>2849.9618691972005</v>
      </c>
      <c r="E601" s="61">
        <f>_xlfn.XLOOKUP(Tabla9361730552357639093546634[[#This Row],[Asesor]],Tabla48[Columna1],Tabla48[Columna2],0)</f>
        <v>0</v>
      </c>
      <c r="F601" s="244">
        <f>_xlfn.XLOOKUP(Tabla9361730552357639093546634[[#This Row],[Asesor]],Tabla48[Columna1],Tabla48[Columna3],0)</f>
        <v>0</v>
      </c>
      <c r="G601" s="242">
        <f>SUM(Tabla9361730552357639093546634[[#This Row],[Prima Pagada vida]],Tabla9361730552357639093546634[[#This Row],[Prima Pagada gmm]])</f>
        <v>2849.9618691972005</v>
      </c>
      <c r="H601" s="112"/>
      <c r="I601" s="112"/>
    </row>
    <row r="602" spans="1:14" ht="13" x14ac:dyDescent="0.15">
      <c r="A602" s="112" t="s">
        <v>12</v>
      </c>
      <c r="B602" s="100">
        <f>SUM(Tabla9361730552357639093546634[[#This Row],[Vida]],Tabla9361730552357639093546634[[#This Row],[Gmm]])</f>
        <v>1</v>
      </c>
      <c r="C602" s="231">
        <v>1</v>
      </c>
      <c r="D602" s="136">
        <v>1854.93</v>
      </c>
      <c r="E602" s="61">
        <f>_xlfn.XLOOKUP(Tabla9361730552357639093546634[[#This Row],[Asesor]],Tabla48[Columna1],Tabla48[Columna2],0)</f>
        <v>0</v>
      </c>
      <c r="F602" s="244">
        <f>_xlfn.XLOOKUP(Tabla9361730552357639093546634[[#This Row],[Asesor]],Tabla48[Columna1],Tabla48[Columna3],0)</f>
        <v>0</v>
      </c>
      <c r="G602" s="242">
        <f>SUM(Tabla9361730552357639093546634[[#This Row],[Prima Pagada vida]],Tabla9361730552357639093546634[[#This Row],[Prima Pagada gmm]])</f>
        <v>1854.93</v>
      </c>
      <c r="H602" s="112"/>
      <c r="I602" s="112"/>
    </row>
    <row r="603" spans="1:14" ht="13" x14ac:dyDescent="0.15">
      <c r="A603" s="112" t="s">
        <v>98</v>
      </c>
      <c r="B603" s="100">
        <f>SUM(Tabla9361730552357639093546634[[#This Row],[Vida]],Tabla9361730552357639093546634[[#This Row],[Gmm]])</f>
        <v>1</v>
      </c>
      <c r="C603" s="231">
        <v>1</v>
      </c>
      <c r="D603" s="136">
        <v>1697.76</v>
      </c>
      <c r="E603" s="231">
        <f>_xlfn.XLOOKUP(Tabla9361730552357639093546634[[#This Row],[Asesor]],Tabla48[Columna1],Tabla48[Columna2],0)</f>
        <v>0</v>
      </c>
      <c r="F603" s="244">
        <f>_xlfn.XLOOKUP(Tabla9361730552357639093546634[[#This Row],[Asesor]],Tabla48[Columna1],Tabla48[Columna3],0)</f>
        <v>0</v>
      </c>
      <c r="G603" s="242">
        <f>SUM(Tabla9361730552357639093546634[[#This Row],[Prima Pagada vida]],Tabla9361730552357639093546634[[#This Row],[Prima Pagada gmm]])</f>
        <v>1697.76</v>
      </c>
      <c r="H603" s="112"/>
      <c r="I603" s="112"/>
    </row>
    <row r="604" spans="1:14" ht="13" x14ac:dyDescent="0.15">
      <c r="A604" s="112" t="s">
        <v>110</v>
      </c>
      <c r="B604" s="100">
        <f>SUM(Tabla9361730552357639093546634[[#This Row],[Vida]],Tabla9361730552357639093546634[[#This Row],[Gmm]])</f>
        <v>1</v>
      </c>
      <c r="C604" s="231">
        <v>1</v>
      </c>
      <c r="D604" s="136">
        <v>1499.56</v>
      </c>
      <c r="E604" s="231">
        <f>_xlfn.XLOOKUP(Tabla9361730552357639093546634[[#This Row],[Asesor]],Tabla48[Columna1],Tabla48[Columna2],0)</f>
        <v>0</v>
      </c>
      <c r="F604" s="244">
        <f>_xlfn.XLOOKUP(Tabla9361730552357639093546634[[#This Row],[Asesor]],Tabla48[Columna1],Tabla48[Columna3],0)</f>
        <v>0</v>
      </c>
      <c r="G604" s="242">
        <f>SUM(Tabla9361730552357639093546634[[#This Row],[Prima Pagada vida]],Tabla9361730552357639093546634[[#This Row],[Prima Pagada gmm]])</f>
        <v>1499.56</v>
      </c>
      <c r="H604" s="112"/>
      <c r="I604" s="112"/>
    </row>
    <row r="605" spans="1:14" ht="13" x14ac:dyDescent="0.15">
      <c r="A605" s="112" t="s">
        <v>20</v>
      </c>
      <c r="B605" s="250">
        <f>SUM(Tabla9361730552357639093546634[[#This Row],[Vida]],Tabla9361730552357639093546634[[#This Row],[Gmm]])</f>
        <v>0</v>
      </c>
      <c r="C605" s="113">
        <v>0</v>
      </c>
      <c r="D605" s="103">
        <v>0</v>
      </c>
      <c r="E605" s="109">
        <f>_xlfn.XLOOKUP(Tabla9361730552357639093546634[[#This Row],[Asesor]],Tabla48[Columna1],Tabla48[Columna2],0)</f>
        <v>0</v>
      </c>
      <c r="F605" s="255">
        <f>_xlfn.XLOOKUP(Tabla9361730552357639093546634[[#This Row],[Asesor]],Tabla48[Columna1],Tabla48[Columna3],0)</f>
        <v>0</v>
      </c>
      <c r="G605" s="254">
        <f>SUM(Tabla9361730552357639093546634[[#This Row],[Prima Pagada vida]],Tabla9361730552357639093546634[[#This Row],[Prima Pagada gmm]])</f>
        <v>0</v>
      </c>
      <c r="H605" s="112"/>
    </row>
    <row r="606" spans="1:14" ht="13" x14ac:dyDescent="0.15">
      <c r="A606" s="112" t="s">
        <v>28</v>
      </c>
      <c r="B606" s="250">
        <f>SUM(Tabla9361730552357639093546634[[#This Row],[Vida]],Tabla9361730552357639093546634[[#This Row],[Gmm]])</f>
        <v>0</v>
      </c>
      <c r="C606" s="113">
        <v>0</v>
      </c>
      <c r="D606" s="103">
        <v>0</v>
      </c>
      <c r="E606" s="109">
        <f>_xlfn.XLOOKUP(Tabla9361730552357639093546634[[#This Row],[Asesor]],Tabla48[Columna1],Tabla48[Columna2],0)</f>
        <v>0</v>
      </c>
      <c r="F606" s="255">
        <f>_xlfn.XLOOKUP(Tabla9361730552357639093546634[[#This Row],[Asesor]],Tabla48[Columna1],Tabla48[Columna3],0)</f>
        <v>0</v>
      </c>
      <c r="G606" s="254">
        <f>SUM(Tabla9361730552357639093546634[[#This Row],[Prima Pagada vida]],Tabla9361730552357639093546634[[#This Row],[Prima Pagada gmm]])</f>
        <v>0</v>
      </c>
      <c r="H606" s="112"/>
    </row>
    <row r="607" spans="1:14" ht="13" x14ac:dyDescent="0.15">
      <c r="A607" s="112" t="s">
        <v>10</v>
      </c>
      <c r="B607" s="250">
        <f>SUM(Tabla9361730552357639093546634[[#This Row],[Vida]],Tabla9361730552357639093546634[[#This Row],[Gmm]])</f>
        <v>0</v>
      </c>
      <c r="C607" s="113">
        <v>0</v>
      </c>
      <c r="D607" s="103">
        <v>0</v>
      </c>
      <c r="E607" s="109">
        <f>_xlfn.XLOOKUP(Tabla9361730552357639093546634[[#This Row],[Asesor]],Tabla48[Columna1],Tabla48[Columna2],0)</f>
        <v>0</v>
      </c>
      <c r="F607" s="255">
        <f>_xlfn.XLOOKUP(Tabla9361730552357639093546634[[#This Row],[Asesor]],Tabla48[Columna1],Tabla48[Columna3],0)</f>
        <v>0</v>
      </c>
      <c r="G607" s="254">
        <f>SUM(Tabla9361730552357639093546634[[#This Row],[Prima Pagada vida]],Tabla9361730552357639093546634[[#This Row],[Prima Pagada gmm]])</f>
        <v>0</v>
      </c>
      <c r="H607" s="112"/>
    </row>
    <row r="608" spans="1:14" ht="13" x14ac:dyDescent="0.15">
      <c r="A608" s="112" t="s">
        <v>31</v>
      </c>
      <c r="B608" s="250">
        <f>SUM(Tabla9361730552357639093546634[[#This Row],[Vida]],Tabla9361730552357639093546634[[#This Row],[Gmm]])</f>
        <v>0</v>
      </c>
      <c r="C608" s="113">
        <v>0</v>
      </c>
      <c r="D608" s="103">
        <v>0</v>
      </c>
      <c r="E608" s="109">
        <f>_xlfn.XLOOKUP(Tabla9361730552357639093546634[[#This Row],[Asesor]],Tabla48[Columna1],Tabla48[Columna2],0)</f>
        <v>0</v>
      </c>
      <c r="F608" s="255">
        <f>_xlfn.XLOOKUP(Tabla9361730552357639093546634[[#This Row],[Asesor]],Tabla48[Columna1],Tabla48[Columna3],0)</f>
        <v>0</v>
      </c>
      <c r="G608" s="254">
        <f>SUM(Tabla9361730552357639093546634[[#This Row],[Prima Pagada vida]],Tabla9361730552357639093546634[[#This Row],[Prima Pagada gmm]])</f>
        <v>0</v>
      </c>
    </row>
    <row r="609" spans="1:13" ht="13" x14ac:dyDescent="0.15">
      <c r="A609" s="112" t="s">
        <v>32</v>
      </c>
      <c r="B609" s="250">
        <f>SUM(Tabla9361730552357639093546634[[#This Row],[Vida]],Tabla9361730552357639093546634[[#This Row],[Gmm]])</f>
        <v>0</v>
      </c>
      <c r="C609" s="113">
        <v>0</v>
      </c>
      <c r="D609" s="103">
        <v>0</v>
      </c>
      <c r="E609" s="113">
        <f>_xlfn.XLOOKUP(Tabla9361730552357639093546634[[#This Row],[Asesor]],Tabla48[Columna1],Tabla48[Columna2],0)</f>
        <v>0</v>
      </c>
      <c r="F609" s="255">
        <f>_xlfn.XLOOKUP(Tabla9361730552357639093546634[[#This Row],[Asesor]],Tabla48[Columna1],Tabla48[Columna3],0)</f>
        <v>0</v>
      </c>
      <c r="G609" s="254">
        <f>SUM(Tabla9361730552357639093546634[[#This Row],[Prima Pagada vida]],Tabla9361730552357639093546634[[#This Row],[Prima Pagada gmm]])</f>
        <v>0</v>
      </c>
    </row>
    <row r="610" spans="1:13" ht="13" x14ac:dyDescent="0.15">
      <c r="A610" s="112" t="s">
        <v>97</v>
      </c>
      <c r="B610" s="250">
        <f>SUM(Tabla9361730552357639093546634[[#This Row],[Vida]],Tabla9361730552357639093546634[[#This Row],[Gmm]])</f>
        <v>0</v>
      </c>
      <c r="C610" s="113">
        <v>0</v>
      </c>
      <c r="D610" s="103">
        <v>0</v>
      </c>
      <c r="E610" s="109">
        <f>_xlfn.XLOOKUP(Tabla9361730552357639093546634[[#This Row],[Asesor]],Tabla48[Columna1],Tabla48[Columna2],0)</f>
        <v>0</v>
      </c>
      <c r="F610" s="255">
        <f>_xlfn.XLOOKUP(Tabla9361730552357639093546634[[#This Row],[Asesor]],Tabla48[Columna1],Tabla48[Columna3],0)</f>
        <v>0</v>
      </c>
      <c r="G610" s="254">
        <f>SUM(Tabla9361730552357639093546634[[#This Row],[Prima Pagada vida]],Tabla9361730552357639093546634[[#This Row],[Prima Pagada gmm]])</f>
        <v>0</v>
      </c>
    </row>
    <row r="611" spans="1:13" ht="13" x14ac:dyDescent="0.15">
      <c r="A611" s="112" t="s">
        <v>41</v>
      </c>
      <c r="B611" s="250">
        <f>SUM(Tabla9361730552357639093546634[[#This Row],[Vida]],Tabla9361730552357639093546634[[#This Row],[Gmm]])</f>
        <v>0</v>
      </c>
      <c r="C611" s="113">
        <v>0</v>
      </c>
      <c r="D611" s="103">
        <v>0</v>
      </c>
      <c r="E611" s="109">
        <f>_xlfn.XLOOKUP(Tabla9361730552357639093546634[[#This Row],[Asesor]],Tabla48[Columna1],Tabla48[Columna2],0)</f>
        <v>0</v>
      </c>
      <c r="F611" s="255">
        <f>_xlfn.XLOOKUP(Tabla9361730552357639093546634[[#This Row],[Asesor]],Tabla48[Columna1],Tabla48[Columna3],0)</f>
        <v>0</v>
      </c>
      <c r="G611" s="254">
        <f>SUM(Tabla9361730552357639093546634[[#This Row],[Prima Pagada vida]],Tabla9361730552357639093546634[[#This Row],[Prima Pagada gmm]])</f>
        <v>0</v>
      </c>
    </row>
    <row r="612" spans="1:13" ht="13" x14ac:dyDescent="0.15">
      <c r="A612" s="112" t="s">
        <v>124</v>
      </c>
      <c r="B612" s="250">
        <f>SUM(Tabla9361730552357639093546634[[#This Row],[Vida]],Tabla9361730552357639093546634[[#This Row],[Gmm]])</f>
        <v>0</v>
      </c>
      <c r="C612" s="113">
        <v>0</v>
      </c>
      <c r="D612" s="103">
        <v>0</v>
      </c>
      <c r="E612" s="109">
        <f>_xlfn.XLOOKUP(Tabla9361730552357639093546634[[#This Row],[Asesor]],Tabla48[Columna1],Tabla48[Columna2],0)</f>
        <v>0</v>
      </c>
      <c r="F612" s="255">
        <f>_xlfn.XLOOKUP(Tabla9361730552357639093546634[[#This Row],[Asesor]],Tabla48[Columna1],Tabla48[Columna3],0)</f>
        <v>0</v>
      </c>
      <c r="G612" s="254">
        <f>SUM(Tabla9361730552357639093546634[[#This Row],[Prima Pagada vida]],Tabla9361730552357639093546634[[#This Row],[Prima Pagada gmm]])</f>
        <v>0</v>
      </c>
    </row>
    <row r="613" spans="1:13" ht="13" x14ac:dyDescent="0.15">
      <c r="A613" s="112" t="s">
        <v>25</v>
      </c>
      <c r="B613" s="250">
        <f>SUM(Tabla9361730552357639093546634[[#This Row],[Vida]],Tabla9361730552357639093546634[[#This Row],[Gmm]])</f>
        <v>0</v>
      </c>
      <c r="C613" s="113">
        <v>0</v>
      </c>
      <c r="D613" s="103">
        <v>0</v>
      </c>
      <c r="E613" s="109">
        <f>_xlfn.XLOOKUP(Tabla9361730552357639093546634[[#This Row],[Asesor]],Tabla48[Columna1],Tabla48[Columna2],0)</f>
        <v>0</v>
      </c>
      <c r="F613" s="255">
        <f>_xlfn.XLOOKUP(Tabla9361730552357639093546634[[#This Row],[Asesor]],Tabla48[Columna1],Tabla48[Columna3],0)</f>
        <v>0</v>
      </c>
      <c r="G613" s="254">
        <f>SUM(Tabla9361730552357639093546634[[#This Row],[Prima Pagada vida]],Tabla9361730552357639093546634[[#This Row],[Prima Pagada gmm]])</f>
        <v>0</v>
      </c>
    </row>
    <row r="614" spans="1:13" ht="13" x14ac:dyDescent="0.15">
      <c r="A614" s="112" t="s">
        <v>170</v>
      </c>
      <c r="B614" s="250">
        <f>SUM(Tabla9361730552357639093546634[[#This Row],[Vida]],Tabla9361730552357639093546634[[#This Row],[Gmm]])</f>
        <v>0</v>
      </c>
      <c r="C614" s="113">
        <v>0</v>
      </c>
      <c r="D614" s="103">
        <v>0</v>
      </c>
      <c r="E614" s="109">
        <f>_xlfn.XLOOKUP(Tabla9361730552357639093546634[[#This Row],[Asesor]],Tabla48[Columna1],Tabla48[Columna2],0)</f>
        <v>0</v>
      </c>
      <c r="F614" s="255">
        <f>_xlfn.XLOOKUP(Tabla9361730552357639093546634[[#This Row],[Asesor]],Tabla48[Columna1],Tabla48[Columna3],0)</f>
        <v>0</v>
      </c>
      <c r="G614" s="254">
        <f>SUM(Tabla9361730552357639093546634[[#This Row],[Prima Pagada vida]],Tabla9361730552357639093546634[[#This Row],[Prima Pagada gmm]])</f>
        <v>0</v>
      </c>
    </row>
    <row r="615" spans="1:13" ht="13" x14ac:dyDescent="0.15">
      <c r="A615" s="112" t="s">
        <v>29</v>
      </c>
      <c r="B615" s="250">
        <f>SUM(Tabla9361730552357639093546634[[#This Row],[Vida]],Tabla9361730552357639093546634[[#This Row],[Gmm]])</f>
        <v>0</v>
      </c>
      <c r="C615" s="113">
        <v>0</v>
      </c>
      <c r="D615" s="103">
        <v>0</v>
      </c>
      <c r="E615" s="109">
        <f>_xlfn.XLOOKUP(Tabla9361730552357639093546634[[#This Row],[Asesor]],Tabla48[Columna1],Tabla48[Columna2],0)</f>
        <v>0</v>
      </c>
      <c r="F615" s="255">
        <f>_xlfn.XLOOKUP(Tabla9361730552357639093546634[[#This Row],[Asesor]],Tabla48[Columna1],Tabla48[Columna3],0)</f>
        <v>0</v>
      </c>
      <c r="G615" s="254">
        <f>SUM(Tabla9361730552357639093546634[[#This Row],[Prima Pagada vida]],Tabla9361730552357639093546634[[#This Row],[Prima Pagada gmm]])</f>
        <v>0</v>
      </c>
    </row>
    <row r="616" spans="1:13" ht="13" x14ac:dyDescent="0.15">
      <c r="A616" s="112" t="s">
        <v>47</v>
      </c>
      <c r="B616" s="250">
        <f>SUM(Tabla9361730552357639093546634[[#This Row],[Vida]],Tabla9361730552357639093546634[[#This Row],[Gmm]])</f>
        <v>0</v>
      </c>
      <c r="C616" s="113">
        <v>0</v>
      </c>
      <c r="D616" s="103">
        <v>0</v>
      </c>
      <c r="E616" s="109">
        <f>_xlfn.XLOOKUP(Tabla9361730552357639093546634[[#This Row],[Asesor]],Tabla48[Columna1],Tabla48[Columna2],0)</f>
        <v>0</v>
      </c>
      <c r="F616" s="255">
        <f>_xlfn.XLOOKUP(Tabla9361730552357639093546634[[#This Row],[Asesor]],Tabla48[Columna1],Tabla48[Columna3],0)</f>
        <v>0</v>
      </c>
      <c r="G616" s="254">
        <f>SUM(Tabla9361730552357639093546634[[#This Row],[Prima Pagada vida]],Tabla9361730552357639093546634[[#This Row],[Prima Pagada gmm]])</f>
        <v>0</v>
      </c>
    </row>
    <row r="617" spans="1:13" ht="13" x14ac:dyDescent="0.15">
      <c r="A617" s="112" t="s">
        <v>24</v>
      </c>
      <c r="B617" s="250">
        <f>SUM(Tabla9361730552357639093546634[[#This Row],[Vida]],Tabla9361730552357639093546634[[#This Row],[Gmm]])</f>
        <v>0</v>
      </c>
      <c r="C617" s="113">
        <v>0</v>
      </c>
      <c r="D617" s="103">
        <v>0</v>
      </c>
      <c r="E617" s="109">
        <f>_xlfn.XLOOKUP(Tabla9361730552357639093546634[[#This Row],[Asesor]],Tabla48[Columna1],Tabla48[Columna2],0)</f>
        <v>0</v>
      </c>
      <c r="F617" s="255">
        <f>_xlfn.XLOOKUP(Tabla9361730552357639093546634[[#This Row],[Asesor]],Tabla48[Columna1],Tabla48[Columna3],0)</f>
        <v>0</v>
      </c>
      <c r="G617" s="254">
        <f>SUM(Tabla9361730552357639093546634[[#This Row],[Prima Pagada vida]],Tabla9361730552357639093546634[[#This Row],[Prima Pagada gmm]])</f>
        <v>0</v>
      </c>
    </row>
    <row r="618" spans="1:13" ht="13" x14ac:dyDescent="0.15">
      <c r="A618" s="257"/>
      <c r="B618" s="250">
        <f>SUM(Tabla9361730552357639093546634[[#This Row],[Vida]],Tabla9361730552357639093546634[[#This Row],[Gmm]])</f>
        <v>0</v>
      </c>
      <c r="C618" s="250">
        <v>0</v>
      </c>
      <c r="D618" s="251">
        <v>0</v>
      </c>
      <c r="E618" s="109">
        <f>_xlfn.XLOOKUP(Tabla9361730552357639093546634[[#This Row],[Asesor]],Tabla48[Columna1],Tabla48[Columna2],0)</f>
        <v>0</v>
      </c>
      <c r="F618" s="253">
        <f>_xlfn.XLOOKUP(Tabla9361730552357639093546634[[#This Row],[Asesor]],Tabla48[Columna1],Tabla48[Columna3],0)</f>
        <v>0</v>
      </c>
      <c r="G618" s="254">
        <f>SUM(Tabla9361730552357639093546634[[#This Row],[Prima Pagada vida]],Tabla9361730552357639093546634[[#This Row],[Prima Pagada gmm]])</f>
        <v>0</v>
      </c>
    </row>
    <row r="619" spans="1:13" ht="13" x14ac:dyDescent="0.15">
      <c r="A619" s="43" t="s">
        <v>50</v>
      </c>
      <c r="B619" s="214">
        <f>SUM(Tabla9361730552357639093546634[[Pólizas ]])</f>
        <v>33</v>
      </c>
      <c r="C619" s="215">
        <f>SUM(Tabla9361730552357639093546634[Vida])</f>
        <v>27</v>
      </c>
      <c r="D619" s="216">
        <f>SUM(Tabla9361730552357639093546634[Prima Pagada vida])</f>
        <v>818894.98982270225</v>
      </c>
      <c r="E619" s="217">
        <f>SUM(Tabla9361730552357639093546634[Gmm])</f>
        <v>6</v>
      </c>
      <c r="F619" s="216">
        <f>SUM(Tabla9361730552357639093546634[Prima Pagada gmm])</f>
        <v>510671.16000000003</v>
      </c>
      <c r="G619" s="216">
        <f>SUM(Tabla9361730552357639093546634[Prima total])</f>
        <v>1329566.1498227024</v>
      </c>
    </row>
    <row r="622" spans="1:13" x14ac:dyDescent="0.2">
      <c r="I622" s="1" t="s">
        <v>187</v>
      </c>
      <c r="J622" s="1" t="s">
        <v>188</v>
      </c>
      <c r="K622" s="1" t="s">
        <v>189</v>
      </c>
      <c r="L622" s="1" t="s">
        <v>190</v>
      </c>
      <c r="M622" s="1" t="s">
        <v>191</v>
      </c>
    </row>
    <row r="623" spans="1:13" x14ac:dyDescent="0.2">
      <c r="I623" s="266" t="s">
        <v>192</v>
      </c>
      <c r="J623" s="267" t="s">
        <v>193</v>
      </c>
      <c r="K623" s="268" t="s">
        <v>194</v>
      </c>
      <c r="L623" s="269">
        <v>29785.58</v>
      </c>
      <c r="M623" s="230" cm="1">
        <f t="array" ref="M623">L623/_xlfn.IFS(J623="MENSUAL",12,J623="TRIMESTRAL",4,J623="SEMESTRAL",2,J623="ANUAL",1)</f>
        <v>14892.79</v>
      </c>
    </row>
    <row r="624" spans="1:13" x14ac:dyDescent="0.2">
      <c r="I624" s="266" t="s">
        <v>195</v>
      </c>
      <c r="J624" s="267" t="s">
        <v>196</v>
      </c>
      <c r="K624" s="268" t="s">
        <v>197</v>
      </c>
      <c r="L624" s="269">
        <v>25490.7797704</v>
      </c>
      <c r="M624" s="230" cm="1">
        <f t="array" ref="M624">L624/_xlfn.IFS(J624="MENSUAL",12,J624="TRIMESTRAL",4,J624="SEMESTRAL",2,J624="ANUAL",1)</f>
        <v>6372.6949426000001</v>
      </c>
    </row>
    <row r="625" spans="9:13" x14ac:dyDescent="0.2">
      <c r="I625" s="266" t="s">
        <v>195</v>
      </c>
      <c r="J625" s="267" t="s">
        <v>198</v>
      </c>
      <c r="K625" s="268" t="s">
        <v>197</v>
      </c>
      <c r="L625" s="269">
        <v>101131.87840000002</v>
      </c>
      <c r="M625" s="230" cm="1">
        <f t="array" ref="M625">L625/_xlfn.IFS(J625="MENSUAL",12,J625="TRIMESTRAL",4,J625="SEMESTRAL",2,J625="ANUAL",1)</f>
        <v>101131.87840000002</v>
      </c>
    </row>
    <row r="626" spans="9:13" x14ac:dyDescent="0.2">
      <c r="I626" s="266" t="s">
        <v>195</v>
      </c>
      <c r="J626" s="267" t="s">
        <v>199</v>
      </c>
      <c r="K626" s="268" t="s">
        <v>197</v>
      </c>
      <c r="L626" s="269">
        <v>30624.70569984</v>
      </c>
      <c r="M626" s="230" cm="1">
        <f t="array" ref="M626">L626/_xlfn.IFS(J626="MENSUAL",12,J626="TRIMESTRAL",4,J626="SEMESTRAL",2,J626="ANUAL",1)</f>
        <v>2552.05880832</v>
      </c>
    </row>
    <row r="627" spans="9:13" x14ac:dyDescent="0.2">
      <c r="I627" s="266" t="s">
        <v>195</v>
      </c>
      <c r="J627" s="267" t="s">
        <v>198</v>
      </c>
      <c r="K627" s="268" t="s">
        <v>197</v>
      </c>
      <c r="L627" s="269">
        <v>67923.635971600001</v>
      </c>
      <c r="M627" s="230" cm="1">
        <f t="array" ref="M627">L627/_xlfn.IFS(J627="MENSUAL",12,J627="TRIMESTRAL",4,J627="SEMESTRAL",2,J627="ANUAL",1)</f>
        <v>67923.635971600001</v>
      </c>
    </row>
    <row r="628" spans="9:13" x14ac:dyDescent="0.2">
      <c r="I628" s="266" t="s">
        <v>147</v>
      </c>
      <c r="J628" s="267" t="s">
        <v>198</v>
      </c>
      <c r="K628" s="268" t="s">
        <v>194</v>
      </c>
      <c r="L628" s="269">
        <v>18766.53</v>
      </c>
      <c r="M628" s="230" cm="1">
        <f t="array" ref="M628">L628/_xlfn.IFS(J628="MENSUAL",12,J628="TRIMESTRAL",4,J628="SEMESTRAL",2,J628="ANUAL",1)</f>
        <v>18766.53</v>
      </c>
    </row>
    <row r="629" spans="9:13" x14ac:dyDescent="0.2">
      <c r="I629" s="266" t="s">
        <v>147</v>
      </c>
      <c r="J629" s="267" t="s">
        <v>198</v>
      </c>
      <c r="K629" s="268" t="s">
        <v>197</v>
      </c>
      <c r="L629" s="269">
        <v>31943.363365199999</v>
      </c>
      <c r="M629" s="230" cm="1">
        <f t="array" ref="M629">L629/_xlfn.IFS(J629="MENSUAL",12,J629="TRIMESTRAL",4,J629="SEMESTRAL",2,J629="ANUAL",1)</f>
        <v>31943.363365199999</v>
      </c>
    </row>
    <row r="630" spans="9:13" x14ac:dyDescent="0.2">
      <c r="I630" s="266" t="s">
        <v>200</v>
      </c>
      <c r="J630" s="267" t="s">
        <v>198</v>
      </c>
      <c r="K630" s="268" t="s">
        <v>194</v>
      </c>
      <c r="L630" s="269">
        <v>19991.57</v>
      </c>
      <c r="M630" s="230" cm="1">
        <f t="array" ref="M630">L630/_xlfn.IFS(J630="MENSUAL",12,J630="TRIMESTRAL",4,J630="SEMESTRAL",2,J630="ANUAL",1)</f>
        <v>19991.57</v>
      </c>
    </row>
    <row r="631" spans="9:13" x14ac:dyDescent="0.2">
      <c r="I631" s="266" t="s">
        <v>201</v>
      </c>
      <c r="J631" s="267" t="s">
        <v>193</v>
      </c>
      <c r="K631" s="268" t="s">
        <v>197</v>
      </c>
      <c r="L631" s="269">
        <v>20593.782728440001</v>
      </c>
      <c r="M631" s="230" cm="1">
        <f t="array" ref="M631">L631/_xlfn.IFS(J631="MENSUAL",12,J631="TRIMESTRAL",4,J631="SEMESTRAL",2,J631="ANUAL",1)</f>
        <v>10296.89136422</v>
      </c>
    </row>
    <row r="632" spans="9:13" x14ac:dyDescent="0.2">
      <c r="I632" s="266" t="s">
        <v>149</v>
      </c>
      <c r="J632" s="267" t="s">
        <v>198</v>
      </c>
      <c r="K632" s="268" t="s">
        <v>194</v>
      </c>
      <c r="L632" s="269">
        <v>42851.91</v>
      </c>
      <c r="M632" s="230" cm="1">
        <f t="array" ref="M632">L632/_xlfn.IFS(J632="MENSUAL",12,J632="TRIMESTRAL",4,J632="SEMESTRAL",2,J632="ANUAL",1)</f>
        <v>42851.91</v>
      </c>
    </row>
    <row r="633" spans="9:13" x14ac:dyDescent="0.2">
      <c r="I633" s="266" t="s">
        <v>149</v>
      </c>
      <c r="J633" s="267" t="s">
        <v>199</v>
      </c>
      <c r="K633" s="268" t="s">
        <v>197</v>
      </c>
      <c r="L633" s="269">
        <v>27532.061581500002</v>
      </c>
      <c r="M633" s="230" cm="1">
        <f t="array" ref="M633">L633/_xlfn.IFS(J633="MENSUAL",12,J633="TRIMESTRAL",4,J633="SEMESTRAL",2,J633="ANUAL",1)</f>
        <v>2294.3384651250003</v>
      </c>
    </row>
    <row r="634" spans="9:13" x14ac:dyDescent="0.2">
      <c r="I634" s="266" t="s">
        <v>202</v>
      </c>
      <c r="J634" s="267" t="s">
        <v>199</v>
      </c>
      <c r="K634" s="268" t="s">
        <v>197</v>
      </c>
      <c r="L634" s="269">
        <v>34199.542430366404</v>
      </c>
      <c r="M634" s="230" cm="1">
        <f t="array" ref="M634">L634/_xlfn.IFS(J634="MENSUAL",12,J634="TRIMESTRAL",4,J634="SEMESTRAL",2,J634="ANUAL",1)</f>
        <v>2849.9618691972005</v>
      </c>
    </row>
    <row r="635" spans="9:13" x14ac:dyDescent="0.2">
      <c r="I635" s="266" t="s">
        <v>155</v>
      </c>
      <c r="J635" s="267" t="s">
        <v>198</v>
      </c>
      <c r="K635" s="268" t="s">
        <v>194</v>
      </c>
      <c r="L635" s="269">
        <v>60645.29</v>
      </c>
      <c r="M635" s="230" cm="1">
        <f t="array" ref="M635">L635/_xlfn.IFS(J635="MENSUAL",12,J635="TRIMESTRAL",4,J635="SEMESTRAL",2,J635="ANUAL",1)</f>
        <v>60645.29</v>
      </c>
    </row>
    <row r="636" spans="9:13" x14ac:dyDescent="0.2">
      <c r="I636" s="266" t="s">
        <v>155</v>
      </c>
      <c r="J636" s="267" t="s">
        <v>198</v>
      </c>
      <c r="K636" s="268" t="s">
        <v>194</v>
      </c>
      <c r="L636" s="269">
        <v>13413.25</v>
      </c>
      <c r="M636" s="230" cm="1">
        <f t="array" ref="M636">L636/_xlfn.IFS(J636="MENSUAL",12,J636="TRIMESTRAL",4,J636="SEMESTRAL",2,J636="ANUAL",1)</f>
        <v>13413.25</v>
      </c>
    </row>
    <row r="637" spans="9:13" x14ac:dyDescent="0.2">
      <c r="I637" s="266" t="s">
        <v>155</v>
      </c>
      <c r="J637" s="267" t="s">
        <v>198</v>
      </c>
      <c r="K637" s="268" t="s">
        <v>194</v>
      </c>
      <c r="L637" s="269">
        <v>46624.15</v>
      </c>
      <c r="M637" s="230" cm="1">
        <f t="array" ref="M637">L637/_xlfn.IFS(J637="MENSUAL",12,J637="TRIMESTRAL",4,J637="SEMESTRAL",2,J637="ANUAL",1)</f>
        <v>46624.15</v>
      </c>
    </row>
    <row r="638" spans="9:13" x14ac:dyDescent="0.2">
      <c r="I638" s="266" t="s">
        <v>155</v>
      </c>
      <c r="J638" s="267" t="s">
        <v>198</v>
      </c>
      <c r="K638" s="268" t="s">
        <v>197</v>
      </c>
      <c r="L638" s="269">
        <v>277437.75780000002</v>
      </c>
      <c r="M638" s="230" cm="1">
        <f t="array" ref="M638">L638/_xlfn.IFS(J638="MENSUAL",12,J638="TRIMESTRAL",4,J638="SEMESTRAL",2,J638="ANUAL",1)</f>
        <v>277437.75780000002</v>
      </c>
    </row>
    <row r="639" spans="9:13" x14ac:dyDescent="0.2">
      <c r="I639" s="266" t="s">
        <v>155</v>
      </c>
      <c r="J639" s="267" t="s">
        <v>199</v>
      </c>
      <c r="K639" s="268" t="s">
        <v>197</v>
      </c>
      <c r="L639" s="269">
        <v>34776.51</v>
      </c>
      <c r="M639" s="230" cm="1">
        <f t="array" ref="M639">L639/_xlfn.IFS(J639="MENSUAL",12,J639="TRIMESTRAL",4,J639="SEMESTRAL",2,J639="ANUAL",1)</f>
        <v>2898.0425</v>
      </c>
    </row>
    <row r="640" spans="9:13" x14ac:dyDescent="0.2">
      <c r="I640" s="266" t="s">
        <v>155</v>
      </c>
      <c r="J640" s="267" t="s">
        <v>193</v>
      </c>
      <c r="K640" s="268" t="s">
        <v>197</v>
      </c>
      <c r="L640" s="269">
        <v>128072.73998178</v>
      </c>
      <c r="M640" s="230" cm="1">
        <f t="array" ref="M640">L640/_xlfn.IFS(J640="MENSUAL",12,J640="TRIMESTRAL",4,J640="SEMESTRAL",2,J640="ANUAL",1)</f>
        <v>64036.369990890002</v>
      </c>
    </row>
    <row r="641" spans="9:13" x14ac:dyDescent="0.2">
      <c r="I641" s="266" t="s">
        <v>155</v>
      </c>
      <c r="J641" s="267" t="s">
        <v>198</v>
      </c>
      <c r="K641" s="268" t="s">
        <v>197</v>
      </c>
      <c r="L641" s="269">
        <v>71906.542341120003</v>
      </c>
      <c r="M641" s="230" cm="1">
        <f t="array" ref="M641">L641/_xlfn.IFS(J641="MENSUAL",12,J641="TRIMESTRAL",4,J641="SEMESTRAL",2,J641="ANUAL",1)</f>
        <v>71906.542341120003</v>
      </c>
    </row>
    <row r="642" spans="9:13" x14ac:dyDescent="0.2">
      <c r="I642" s="266" t="s">
        <v>155</v>
      </c>
      <c r="J642" s="267" t="s">
        <v>198</v>
      </c>
      <c r="K642" s="268" t="s">
        <v>194</v>
      </c>
      <c r="L642" s="269">
        <v>44155.35</v>
      </c>
      <c r="M642" s="230" cm="1">
        <f t="array" ref="M642">L642/_xlfn.IFS(J642="MENSUAL",12,J642="TRIMESTRAL",4,J642="SEMESTRAL",2,J642="ANUAL",1)</f>
        <v>44155.35</v>
      </c>
    </row>
    <row r="643" spans="9:13" x14ac:dyDescent="0.2">
      <c r="I643" s="266" t="s">
        <v>203</v>
      </c>
      <c r="J643" s="267" t="s">
        <v>199</v>
      </c>
      <c r="K643" s="268" t="s">
        <v>197</v>
      </c>
      <c r="L643" s="269">
        <v>30517.37730498</v>
      </c>
      <c r="M643" s="230" cm="1">
        <f t="array" ref="M643">L643/_xlfn.IFS(J643="MENSUAL",12,J643="TRIMESTRAL",4,J643="SEMESTRAL",2,J643="ANUAL",1)</f>
        <v>2543.1147754150002</v>
      </c>
    </row>
    <row r="644" spans="9:13" x14ac:dyDescent="0.2">
      <c r="I644" s="266" t="s">
        <v>203</v>
      </c>
      <c r="J644" s="267" t="s">
        <v>199</v>
      </c>
      <c r="K644" s="268" t="s">
        <v>197</v>
      </c>
      <c r="L644" s="269">
        <v>59299.741114151999</v>
      </c>
      <c r="M644" s="230" cm="1">
        <f t="array" ref="M644">L644/_xlfn.IFS(J644="MENSUAL",12,J644="TRIMESTRAL",4,J644="SEMESTRAL",2,J644="ANUAL",1)</f>
        <v>4941.6450928459999</v>
      </c>
    </row>
    <row r="645" spans="9:13" x14ac:dyDescent="0.2">
      <c r="I645" s="266" t="s">
        <v>203</v>
      </c>
      <c r="J645" s="267" t="s">
        <v>199</v>
      </c>
      <c r="K645" s="268" t="s">
        <v>197</v>
      </c>
      <c r="L645" s="269">
        <v>35763.447049134011</v>
      </c>
      <c r="M645" s="230" cm="1">
        <f t="array" ref="M645">L645/_xlfn.IFS(J645="MENSUAL",12,J645="TRIMESTRAL",4,J645="SEMESTRAL",2,J645="ANUAL",1)</f>
        <v>2980.2872540945009</v>
      </c>
    </row>
    <row r="646" spans="9:13" x14ac:dyDescent="0.2">
      <c r="I646" s="266" t="s">
        <v>204</v>
      </c>
      <c r="J646" s="267" t="s">
        <v>198</v>
      </c>
      <c r="K646" s="268" t="s">
        <v>197</v>
      </c>
      <c r="L646" s="269">
        <v>25285.29782</v>
      </c>
      <c r="M646" s="230" cm="1">
        <f t="array" ref="M646">L646/_xlfn.IFS(J646="MENSUAL",12,J646="TRIMESTRAL",4,J646="SEMESTRAL",2,J646="ANUAL",1)</f>
        <v>25285.29782</v>
      </c>
    </row>
    <row r="647" spans="9:13" x14ac:dyDescent="0.2">
      <c r="I647" s="266" t="s">
        <v>205</v>
      </c>
      <c r="J647" s="267" t="s">
        <v>198</v>
      </c>
      <c r="K647" s="268" t="s">
        <v>194</v>
      </c>
      <c r="L647" s="269">
        <v>25815.63</v>
      </c>
      <c r="M647" s="230" cm="1">
        <f t="array" ref="M647">L647/_xlfn.IFS(J647="MENSUAL",12,J647="TRIMESTRAL",4,J647="SEMESTRAL",2,J647="ANUAL",1)</f>
        <v>25815.63</v>
      </c>
    </row>
    <row r="648" spans="9:13" x14ac:dyDescent="0.2">
      <c r="I648" s="266" t="s">
        <v>205</v>
      </c>
      <c r="J648" s="267" t="s">
        <v>198</v>
      </c>
      <c r="K648" s="268" t="s">
        <v>197</v>
      </c>
      <c r="L648" s="269">
        <v>35452.06830318</v>
      </c>
      <c r="M648" s="230" cm="1">
        <f t="array" ref="M648">L648/_xlfn.IFS(J648="MENSUAL",12,J648="TRIMESTRAL",4,J648="SEMESTRAL",2,J648="ANUAL",1)</f>
        <v>35452.06830318</v>
      </c>
    </row>
    <row r="649" spans="9:13" x14ac:dyDescent="0.2">
      <c r="I649" s="266" t="s">
        <v>206</v>
      </c>
      <c r="J649" s="267" t="s">
        <v>199</v>
      </c>
      <c r="K649" s="268" t="s">
        <v>197</v>
      </c>
      <c r="L649" s="269">
        <v>20289.482921999999</v>
      </c>
      <c r="M649" s="230" cm="1">
        <f t="array" ref="M649">L649/_xlfn.IFS(J649="MENSUAL",12,J649="TRIMESTRAL",4,J649="SEMESTRAL",2,J649="ANUAL",1)</f>
        <v>1690.7902434999999</v>
      </c>
    </row>
    <row r="650" spans="9:13" x14ac:dyDescent="0.2">
      <c r="I650" s="266" t="s">
        <v>161</v>
      </c>
      <c r="J650" s="267" t="s">
        <v>198</v>
      </c>
      <c r="K650" s="268" t="s">
        <v>194</v>
      </c>
      <c r="L650" s="269">
        <v>55666.38</v>
      </c>
      <c r="M650" s="230" cm="1">
        <f t="array" ref="M650">L650/_xlfn.IFS(J650="MENSUAL",12,J650="TRIMESTRAL",4,J650="SEMESTRAL",2,J650="ANUAL",1)</f>
        <v>55666.38</v>
      </c>
    </row>
    <row r="651" spans="9:13" x14ac:dyDescent="0.2">
      <c r="I651" s="266" t="s">
        <v>167</v>
      </c>
      <c r="J651" s="267" t="s">
        <v>198</v>
      </c>
      <c r="K651" s="268" t="s">
        <v>194</v>
      </c>
      <c r="L651" s="269">
        <v>121620.22</v>
      </c>
      <c r="M651" s="230" cm="1">
        <f t="array" ref="M651">L651/_xlfn.IFS(J651="MENSUAL",12,J651="TRIMESTRAL",4,J651="SEMESTRAL",2,J651="ANUAL",1)</f>
        <v>121620.22</v>
      </c>
    </row>
    <row r="652" spans="9:13" x14ac:dyDescent="0.2">
      <c r="I652" s="266" t="s">
        <v>167</v>
      </c>
      <c r="J652" s="267" t="s">
        <v>198</v>
      </c>
      <c r="K652" s="268" t="s">
        <v>194</v>
      </c>
      <c r="L652" s="269">
        <v>46228.08</v>
      </c>
      <c r="M652" s="230" cm="1">
        <f t="array" ref="M652">L652/_xlfn.IFS(J652="MENSUAL",12,J652="TRIMESTRAL",4,J652="SEMESTRAL",2,J652="ANUAL",1)</f>
        <v>46228.08</v>
      </c>
    </row>
    <row r="653" spans="9:13" x14ac:dyDescent="0.2">
      <c r="I653" s="266" t="s">
        <v>167</v>
      </c>
      <c r="J653" s="267" t="s">
        <v>198</v>
      </c>
      <c r="K653" s="268" t="s">
        <v>197</v>
      </c>
      <c r="L653" s="269">
        <v>28164.268805979998</v>
      </c>
      <c r="M653" s="230" cm="1">
        <f t="array" ref="M653">L653/_xlfn.IFS(J653="MENSUAL",12,J653="TRIMESTRAL",4,J653="SEMESTRAL",2,J653="ANUAL",1)</f>
        <v>28164.268805979998</v>
      </c>
    </row>
    <row r="654" spans="9:13" x14ac:dyDescent="0.2">
      <c r="I654" s="266" t="s">
        <v>167</v>
      </c>
      <c r="J654" s="267" t="s">
        <v>198</v>
      </c>
      <c r="K654" s="268" t="s">
        <v>197</v>
      </c>
      <c r="L654" s="269">
        <v>35916.377786999998</v>
      </c>
      <c r="M654" s="230" cm="1">
        <f t="array" ref="M654">L654/_xlfn.IFS(J654="MENSUAL",12,J654="TRIMESTRAL",4,J654="SEMESTRAL",2,J654="ANUAL",1)</f>
        <v>35916.377786999998</v>
      </c>
    </row>
    <row r="655" spans="9:13" x14ac:dyDescent="0.2">
      <c r="I655" s="266" t="s">
        <v>167</v>
      </c>
      <c r="J655" s="267" t="s">
        <v>193</v>
      </c>
      <c r="K655" s="268" t="s">
        <v>197</v>
      </c>
      <c r="L655" s="269">
        <v>29626.704285300002</v>
      </c>
      <c r="M655" s="230" cm="1">
        <f t="array" ref="M655">L655/_xlfn.IFS(J655="MENSUAL",12,J655="TRIMESTRAL",4,J655="SEMESTRAL",2,J655="ANUAL",1)</f>
        <v>14813.352142650001</v>
      </c>
    </row>
    <row r="656" spans="9:13" x14ac:dyDescent="0.2">
      <c r="I656" s="266" t="s">
        <v>171</v>
      </c>
      <c r="J656" s="267" t="s">
        <v>193</v>
      </c>
      <c r="K656" s="268" t="s">
        <v>197</v>
      </c>
      <c r="L656" s="269">
        <v>26007.677257920001</v>
      </c>
      <c r="M656" s="230" cm="1">
        <f t="array" ref="M656">L656/_xlfn.IFS(J656="MENSUAL",12,J656="TRIMESTRAL",4,J656="SEMESTRAL",2,J656="ANUAL",1)</f>
        <v>13003.83862896</v>
      </c>
    </row>
    <row r="667" spans="1:14" x14ac:dyDescent="0.15">
      <c r="A667" s="320" t="s">
        <v>73</v>
      </c>
      <c r="B667" s="320"/>
      <c r="C667" s="320"/>
      <c r="D667" s="320"/>
      <c r="E667" s="320"/>
      <c r="F667" s="320"/>
      <c r="G667" s="320"/>
      <c r="H667" s="320"/>
    </row>
    <row r="668" spans="1:14" ht="28" x14ac:dyDescent="0.15">
      <c r="A668" s="2" t="s">
        <v>1</v>
      </c>
      <c r="B668" s="3" t="s">
        <v>2</v>
      </c>
      <c r="C668" s="3" t="s">
        <v>3</v>
      </c>
      <c r="D668" s="4" t="s">
        <v>122</v>
      </c>
      <c r="E668" s="5" t="s">
        <v>5</v>
      </c>
      <c r="F668" s="3" t="s">
        <v>123</v>
      </c>
      <c r="G668" s="6" t="s">
        <v>7</v>
      </c>
      <c r="H668" s="112"/>
    </row>
    <row r="669" spans="1:14" ht="13" x14ac:dyDescent="0.15">
      <c r="A669" s="112" t="s">
        <v>76</v>
      </c>
      <c r="B669" s="250">
        <f>SUM(Tabla936173055235763909354663447[[#This Row],[Vida]],Tabla936173055235763909354663447[[#This Row],[Gmm]])</f>
        <v>5.5</v>
      </c>
      <c r="C669" s="113">
        <v>5</v>
      </c>
      <c r="D669" s="270">
        <v>133265.66</v>
      </c>
      <c r="E669" s="109">
        <f>_xlfn.XLOOKUP(Tabla936173055235763909354663447[[#This Row],[Asesor]],Tabla4851[Columna1],Tabla4851[Columna2],0)</f>
        <v>0.5</v>
      </c>
      <c r="F669" s="271">
        <f>_xlfn.XLOOKUP(Tabla936173055235763909354663447[[#This Row],[Asesor]],Tabla4851[Columna1],Tabla4851[Columna3],0)</f>
        <v>56445.7</v>
      </c>
      <c r="G669" s="254">
        <f>SUM(Tabla936173055235763909354663447[[#This Row],[Prima Pagada vida]],Tabla936173055235763909354663447[[#This Row],[Prima Pagada gmm]])</f>
        <v>189711.35999999999</v>
      </c>
      <c r="H669" s="112"/>
      <c r="I669" s="112" t="s">
        <v>177</v>
      </c>
      <c r="J669" s="113" t="s">
        <v>178</v>
      </c>
      <c r="K669" s="103" t="s">
        <v>179</v>
      </c>
      <c r="M669" s="1" t="s">
        <v>56</v>
      </c>
    </row>
    <row r="670" spans="1:14" ht="13" x14ac:dyDescent="0.15">
      <c r="A670" s="112" t="s">
        <v>12</v>
      </c>
      <c r="B670" s="250">
        <f>SUM(Tabla936173055235763909354663447[[#This Row],[Vida]],Tabla936173055235763909354663447[[#This Row],[Gmm]])</f>
        <v>3.5</v>
      </c>
      <c r="C670" s="113">
        <v>3</v>
      </c>
      <c r="D670" s="272">
        <v>23658.05</v>
      </c>
      <c r="E670" s="109">
        <f>_xlfn.XLOOKUP(Tabla936173055235763909354663447[[#This Row],[Asesor]],Tabla4851[Columna1],Tabla4851[Columna2],0)</f>
        <v>0.5</v>
      </c>
      <c r="F670" s="255">
        <f>_xlfn.XLOOKUP(Tabla936173055235763909354663447[[#This Row],[Asesor]],Tabla4851[Columna1],Tabla4851[Columna3],0)</f>
        <v>54335.51</v>
      </c>
      <c r="G670" s="254">
        <f>SUM(Tabla936173055235763909354663447[[#This Row],[Prima Pagada vida]],Tabla936173055235763909354663447[[#This Row],[Prima Pagada gmm]])</f>
        <v>77993.56</v>
      </c>
      <c r="H670" s="112"/>
      <c r="I670" s="112" t="s">
        <v>76</v>
      </c>
      <c r="J670" s="113">
        <v>0.5</v>
      </c>
      <c r="K670" s="103">
        <v>56445.7</v>
      </c>
      <c r="M670" s="106" t="s">
        <v>132</v>
      </c>
      <c r="N670" s="106" t="s">
        <v>207</v>
      </c>
    </row>
    <row r="671" spans="1:14" ht="13" x14ac:dyDescent="0.15">
      <c r="A671" s="112" t="s">
        <v>26</v>
      </c>
      <c r="B671" s="250">
        <f>SUM(Tabla936173055235763909354663447[[#This Row],[Vida]],Tabla936173055235763909354663447[[#This Row],[Gmm]])</f>
        <v>1.5</v>
      </c>
      <c r="C671" s="113">
        <v>1</v>
      </c>
      <c r="D671" s="271">
        <v>61919.196215010001</v>
      </c>
      <c r="E671" s="109">
        <f>_xlfn.XLOOKUP(Tabla936173055235763909354663447[[#This Row],[Asesor]],Tabla4851[Columna1],Tabla4851[Columna2],0)</f>
        <v>0.5</v>
      </c>
      <c r="F671" s="271">
        <f>_xlfn.XLOOKUP(Tabla936173055235763909354663447[[#This Row],[Asesor]],Tabla4851[Columna1],Tabla4851[Columna3],0)</f>
        <v>50795.32</v>
      </c>
      <c r="G671" s="254">
        <f>SUM(Tabla936173055235763909354663447[[#This Row],[Prima Pagada vida]],Tabla936173055235763909354663447[[#This Row],[Prima Pagada gmm]])</f>
        <v>112714.51621500999</v>
      </c>
      <c r="H671" s="112"/>
      <c r="I671" s="112" t="s">
        <v>26</v>
      </c>
      <c r="J671" s="113">
        <v>0.5</v>
      </c>
      <c r="K671" s="103">
        <v>50795.32</v>
      </c>
      <c r="M671" s="106" t="s">
        <v>134</v>
      </c>
      <c r="N671" s="106" t="s">
        <v>66</v>
      </c>
    </row>
    <row r="672" spans="1:14" ht="13" x14ac:dyDescent="0.15">
      <c r="A672" s="112" t="s">
        <v>130</v>
      </c>
      <c r="B672" s="250">
        <f>SUM(Tabla936173055235763909354663447[[#This Row],[Vida]],Tabla936173055235763909354663447[[#This Row],[Gmm]])</f>
        <v>3</v>
      </c>
      <c r="C672" s="113">
        <v>2</v>
      </c>
      <c r="D672" s="271">
        <v>27448.400000000001</v>
      </c>
      <c r="E672" s="109">
        <f>_xlfn.XLOOKUP(Tabla936173055235763909354663447[[#This Row],[Asesor]],Tabla4851[Columna1],Tabla4851[Columna2],0)</f>
        <v>1</v>
      </c>
      <c r="F672" s="255">
        <f>_xlfn.XLOOKUP(Tabla936173055235763909354663447[[#This Row],[Asesor]],Tabla4851[Columna1],Tabla4851[Columna3],0)</f>
        <v>47887.6</v>
      </c>
      <c r="G672" s="254">
        <f>SUM(Tabla936173055235763909354663447[[#This Row],[Prima Pagada vida]],Tabla936173055235763909354663447[[#This Row],[Prima Pagada gmm]])</f>
        <v>75336</v>
      </c>
      <c r="H672" s="112"/>
      <c r="I672" s="112" t="s">
        <v>12</v>
      </c>
      <c r="J672" s="113">
        <v>0.5</v>
      </c>
      <c r="K672" s="103">
        <v>54335.51</v>
      </c>
      <c r="M672" s="106" t="s">
        <v>136</v>
      </c>
      <c r="N672" s="106" t="s">
        <v>207</v>
      </c>
    </row>
    <row r="673" spans="1:14" ht="13" x14ac:dyDescent="0.15">
      <c r="A673" s="112" t="s">
        <v>43</v>
      </c>
      <c r="B673" s="250">
        <f>SUM(Tabla936173055235763909354663447[[#This Row],[Vida]],Tabla936173055235763909354663447[[#This Row],[Gmm]])</f>
        <v>1</v>
      </c>
      <c r="C673" s="113">
        <v>0</v>
      </c>
      <c r="D673" s="271">
        <v>0</v>
      </c>
      <c r="E673" s="109">
        <f>_xlfn.XLOOKUP(Tabla936173055235763909354663447[[#This Row],[Asesor]],Tabla4851[Columna1],Tabla4851[Columna2],0)</f>
        <v>1</v>
      </c>
      <c r="F673" s="255">
        <f>_xlfn.XLOOKUP(Tabla936173055235763909354663447[[#This Row],[Asesor]],Tabla4851[Columna1],Tabla4851[Columna3],0)</f>
        <v>36603.120000000003</v>
      </c>
      <c r="G673" s="254">
        <f>SUM(Tabla936173055235763909354663447[[#This Row],[Prima Pagada vida]],Tabla936173055235763909354663447[[#This Row],[Prima Pagada gmm]])</f>
        <v>36603.120000000003</v>
      </c>
      <c r="H673" s="112"/>
      <c r="I673" s="112" t="s">
        <v>130</v>
      </c>
      <c r="J673" s="113">
        <v>1</v>
      </c>
      <c r="K673" s="103">
        <v>47887.6</v>
      </c>
      <c r="M673" s="106" t="s">
        <v>137</v>
      </c>
      <c r="N673" s="106" t="s">
        <v>66</v>
      </c>
    </row>
    <row r="674" spans="1:14" ht="15" x14ac:dyDescent="0.15">
      <c r="A674" s="273" t="s">
        <v>208</v>
      </c>
      <c r="B674" s="250">
        <f>SUM(Tabla936173055235763909354663447[[#This Row],[Vida]],Tabla936173055235763909354663447[[#This Row],[Gmm]])</f>
        <v>0.5</v>
      </c>
      <c r="C674" s="113">
        <v>0</v>
      </c>
      <c r="D674" s="271">
        <v>0</v>
      </c>
      <c r="E674" s="109">
        <v>0.5</v>
      </c>
      <c r="F674" s="274">
        <v>28021.74</v>
      </c>
      <c r="G674" s="254">
        <f>SUM(Tabla936173055235763909354663447[[#This Row],[Prima Pagada vida]],Tabla936173055235763909354663447[[#This Row],[Prima Pagada gmm]])</f>
        <v>28021.74</v>
      </c>
      <c r="H674" s="112"/>
      <c r="I674" s="112" t="s">
        <v>43</v>
      </c>
      <c r="J674" s="113">
        <v>1</v>
      </c>
      <c r="K674" s="103">
        <v>36603.120000000003</v>
      </c>
      <c r="M674" s="106" t="s">
        <v>138</v>
      </c>
      <c r="N674" s="106" t="s">
        <v>207</v>
      </c>
    </row>
    <row r="675" spans="1:14" ht="15" x14ac:dyDescent="0.15">
      <c r="A675" s="273" t="s">
        <v>209</v>
      </c>
      <c r="B675" s="250">
        <f>SUM(Tabla936173055235763909354663447[[#This Row],[Vida]],Tabla936173055235763909354663447[[#This Row],[Gmm]])</f>
        <v>5.5</v>
      </c>
      <c r="C675" s="113">
        <v>5</v>
      </c>
      <c r="D675" s="272">
        <v>153629.37</v>
      </c>
      <c r="E675" s="109">
        <v>0.5</v>
      </c>
      <c r="F675" s="255">
        <v>2339.79</v>
      </c>
      <c r="G675" s="254">
        <f>SUM(Tabla936173055235763909354663447[[#This Row],[Prima Pagada vida]],Tabla936173055235763909354663447[[#This Row],[Prima Pagada gmm]])</f>
        <v>155969.16</v>
      </c>
      <c r="H675" s="112"/>
      <c r="I675" s="112" t="s">
        <v>98</v>
      </c>
      <c r="J675" s="113">
        <v>0.5</v>
      </c>
      <c r="K675" s="103">
        <v>28021.74</v>
      </c>
      <c r="M675" s="106" t="s">
        <v>140</v>
      </c>
      <c r="N675" s="106" t="s">
        <v>175</v>
      </c>
    </row>
    <row r="676" spans="1:14" ht="13" x14ac:dyDescent="0.15">
      <c r="A676" s="112" t="s">
        <v>210</v>
      </c>
      <c r="B676" s="250">
        <f>SUM(Tabla936173055235763909354663447[[#This Row],[Vida]],Tabla936173055235763909354663447[[#This Row],[Gmm]])</f>
        <v>6</v>
      </c>
      <c r="C676" s="113">
        <v>6</v>
      </c>
      <c r="D676" s="275">
        <v>298263.90999999997</v>
      </c>
      <c r="E676" s="109">
        <f>_xlfn.XLOOKUP(Tabla936173055235763909354663447[[#This Row],[Asesor]],Tabla4851[Columna1],Tabla4851[Columna2],0)</f>
        <v>0</v>
      </c>
      <c r="F676" s="274">
        <f>_xlfn.XLOOKUP(Tabla936173055235763909354663447[[#This Row],[Asesor]],Tabla4851[Columna1],Tabla4851[Columna3],0)</f>
        <v>0</v>
      </c>
      <c r="G676" s="254">
        <f>SUM(Tabla936173055235763909354663447[[#This Row],[Prima Pagada vida]],Tabla936173055235763909354663447[[#This Row],[Prima Pagada gmm]])</f>
        <v>298263.90999999997</v>
      </c>
      <c r="H676" s="112"/>
      <c r="I676" s="112"/>
      <c r="J676" s="113"/>
      <c r="K676" s="103"/>
      <c r="M676" s="106" t="s">
        <v>141</v>
      </c>
      <c r="N676" s="106" t="s">
        <v>207</v>
      </c>
    </row>
    <row r="677" spans="1:14" ht="15" x14ac:dyDescent="0.15">
      <c r="A677" s="273" t="s">
        <v>211</v>
      </c>
      <c r="B677" s="250">
        <f>SUM(Tabla936173055235763909354663447[[#This Row],[Vida]],Tabla936173055235763909354663447[[#This Row],[Gmm]])</f>
        <v>4</v>
      </c>
      <c r="C677" s="113">
        <v>4</v>
      </c>
      <c r="D677" s="276">
        <v>47762.78</v>
      </c>
      <c r="E677" s="277">
        <f>_xlfn.XLOOKUP(Tabla936173055235763909354663447[[#This Row],[Asesor]],Tabla4851[Columna1],Tabla4851[Columna2],0)</f>
        <v>0</v>
      </c>
      <c r="F677" s="253">
        <f>_xlfn.XLOOKUP(Tabla936173055235763909354663447[[#This Row],[Asesor]],Tabla4851[Columna1],Tabla4851[Columna3],0)</f>
        <v>0</v>
      </c>
      <c r="G677" s="254">
        <f>SUM(Tabla936173055235763909354663447[[#This Row],[Prima Pagada vida]],Tabla936173055235763909354663447[[#This Row],[Prima Pagada gmm]])</f>
        <v>47762.78</v>
      </c>
      <c r="H677" s="112"/>
      <c r="I677" s="112"/>
      <c r="J677" s="113"/>
      <c r="K677" s="103"/>
      <c r="M677" s="265" t="s">
        <v>143</v>
      </c>
      <c r="N677" s="106" t="s">
        <v>52</v>
      </c>
    </row>
    <row r="678" spans="1:14" ht="13" x14ac:dyDescent="0.15">
      <c r="A678" s="112" t="s">
        <v>14</v>
      </c>
      <c r="B678" s="250">
        <f>SUM(Tabla936173055235763909354663447[[#This Row],[Vida]],Tabla936173055235763909354663447[[#This Row],[Gmm]])</f>
        <v>2</v>
      </c>
      <c r="C678" s="113">
        <v>2</v>
      </c>
      <c r="D678" s="278">
        <v>26687.85</v>
      </c>
      <c r="E678" s="109">
        <f>_xlfn.XLOOKUP(Tabla936173055235763909354663447[[#This Row],[Asesor]],Tabla4851[Columna1],Tabla4851[Columna2],0)</f>
        <v>0</v>
      </c>
      <c r="F678" s="253">
        <f>_xlfn.XLOOKUP(Tabla936173055235763909354663447[[#This Row],[Asesor]],Tabla4851[Columna1],Tabla4851[Columna3],0)</f>
        <v>0</v>
      </c>
      <c r="G678" s="254">
        <f>SUM(Tabla936173055235763909354663447[[#This Row],[Prima Pagada vida]],Tabla936173055235763909354663447[[#This Row],[Prima Pagada gmm]])</f>
        <v>26687.85</v>
      </c>
      <c r="H678" s="112"/>
      <c r="I678" s="112"/>
      <c r="J678" s="113"/>
      <c r="K678" s="103"/>
    </row>
    <row r="679" spans="1:14" x14ac:dyDescent="0.15">
      <c r="A679" s="112" t="s">
        <v>13</v>
      </c>
      <c r="B679" s="250">
        <f>SUM(Tabla936173055235763909354663447[[#This Row],[Vida]],Tabla936173055235763909354663447[[#This Row],[Gmm]])</f>
        <v>2</v>
      </c>
      <c r="C679" s="113">
        <v>2</v>
      </c>
      <c r="D679" s="271">
        <v>17585.05</v>
      </c>
      <c r="E679" s="109">
        <f>_xlfn.XLOOKUP(Tabla936173055235763909354663447[[#This Row],[Asesor]],Tabla4851[Columna1],Tabla4851[Columna2],0)</f>
        <v>0</v>
      </c>
      <c r="F679" s="255">
        <f>_xlfn.XLOOKUP(Tabla936173055235763909354663447[[#This Row],[Asesor]],Tabla4851[Columna1],Tabla4851[Columna3],0)</f>
        <v>0</v>
      </c>
      <c r="G679" s="279">
        <f>SUM(Tabla936173055235763909354663447[[#This Row],[Prima Pagada vida]],Tabla936173055235763909354663447[[#This Row],[Prima Pagada gmm]])</f>
        <v>17585.05</v>
      </c>
      <c r="H679" s="112"/>
      <c r="I679" s="112"/>
      <c r="J679" s="113"/>
      <c r="K679" s="103"/>
    </row>
    <row r="680" spans="1:14" ht="13" x14ac:dyDescent="0.15">
      <c r="A680" s="112" t="s">
        <v>186</v>
      </c>
      <c r="B680" s="250">
        <f>SUM(Tabla936173055235763909354663447[[#This Row],[Vida]],Tabla936173055235763909354663447[[#This Row],[Gmm]])</f>
        <v>1</v>
      </c>
      <c r="C680" s="113">
        <v>1</v>
      </c>
      <c r="D680" s="272">
        <v>5431.88</v>
      </c>
      <c r="E680" s="109">
        <f>_xlfn.XLOOKUP(Tabla936173055235763909354663447[[#This Row],[Asesor]],Tabla4851[Columna1],Tabla4851[Columna2],0)</f>
        <v>0</v>
      </c>
      <c r="F680" s="271">
        <f>_xlfn.XLOOKUP(Tabla936173055235763909354663447[[#This Row],[Asesor]],Tabla4851[Columna1],Tabla4851[Columna3],0)</f>
        <v>0</v>
      </c>
      <c r="G680" s="254">
        <f>SUM(Tabla936173055235763909354663447[[#This Row],[Prima Pagada vida]],Tabla936173055235763909354663447[[#This Row],[Prima Pagada gmm]])</f>
        <v>5431.88</v>
      </c>
      <c r="H680" s="112"/>
      <c r="I680" s="112"/>
      <c r="J680" s="113"/>
      <c r="K680" s="103"/>
    </row>
    <row r="681" spans="1:14" ht="13" x14ac:dyDescent="0.15">
      <c r="A681" s="112" t="s">
        <v>17</v>
      </c>
      <c r="B681" s="250">
        <f>SUM(Tabla936173055235763909354663447[[#This Row],[Vida]],Tabla936173055235763909354663447[[#This Row],[Gmm]])</f>
        <v>1</v>
      </c>
      <c r="C681" s="113">
        <v>1</v>
      </c>
      <c r="D681" s="272">
        <v>3471.8691805571998</v>
      </c>
      <c r="E681" s="109">
        <f>_xlfn.XLOOKUP(Tabla936173055235763909354663447[[#This Row],[Asesor]],Tabla4851[Columna1],Tabla4851[Columna2],0)</f>
        <v>0</v>
      </c>
      <c r="F681" s="271">
        <f>_xlfn.XLOOKUP(Tabla936173055235763909354663447[[#This Row],[Asesor]],Tabla4851[Columna1],Tabla4851[Columna3],0)</f>
        <v>0</v>
      </c>
      <c r="G681" s="254">
        <f>SUM(Tabla936173055235763909354663447[[#This Row],[Prima Pagada vida]],Tabla936173055235763909354663447[[#This Row],[Prima Pagada gmm]])</f>
        <v>3471.8691805571998</v>
      </c>
      <c r="H681" s="112"/>
      <c r="I681" s="112"/>
      <c r="J681" s="113"/>
      <c r="K681" s="103"/>
    </row>
    <row r="682" spans="1:14" ht="13" x14ac:dyDescent="0.15">
      <c r="A682" s="112" t="s">
        <v>47</v>
      </c>
      <c r="B682" s="250">
        <f>SUM(Tabla936173055235763909354663447[[#This Row],[Vida]],Tabla936173055235763909354663447[[#This Row],[Gmm]])</f>
        <v>1</v>
      </c>
      <c r="C682" s="113">
        <v>1</v>
      </c>
      <c r="D682" s="272">
        <v>2556.3233268254003</v>
      </c>
      <c r="E682" s="109">
        <f>_xlfn.XLOOKUP(Tabla936173055235763909354663447[[#This Row],[Asesor]],Tabla4851[Columna1],Tabla4851[Columna2],0)</f>
        <v>0</v>
      </c>
      <c r="F682" s="271">
        <f>_xlfn.XLOOKUP(Tabla936173055235763909354663447[[#This Row],[Asesor]],Tabla4851[Columna1],Tabla4851[Columna3],0)</f>
        <v>0</v>
      </c>
      <c r="G682" s="254">
        <f>SUM(Tabla936173055235763909354663447[[#This Row],[Prima Pagada vida]],Tabla936173055235763909354663447[[#This Row],[Prima Pagada gmm]])</f>
        <v>2556.3233268254003</v>
      </c>
      <c r="H682" s="112"/>
      <c r="I682" s="112"/>
      <c r="J682" s="113"/>
      <c r="K682" s="103"/>
    </row>
    <row r="683" spans="1:14" ht="13" x14ac:dyDescent="0.15">
      <c r="A683" s="112" t="s">
        <v>78</v>
      </c>
      <c r="B683" s="250">
        <f>SUM(Tabla936173055235763909354663447[[#This Row],[Vida]],Tabla936173055235763909354663447[[#This Row],[Gmm]])</f>
        <v>1</v>
      </c>
      <c r="C683" s="113">
        <v>1</v>
      </c>
      <c r="D683" s="272">
        <v>2485.3648662179999</v>
      </c>
      <c r="E683" s="109">
        <f>_xlfn.XLOOKUP(Tabla936173055235763909354663447[[#This Row],[Asesor]],Tabla4851[Columna1],Tabla4851[Columna2],0)</f>
        <v>0</v>
      </c>
      <c r="F683" s="271">
        <f>_xlfn.XLOOKUP(Tabla936173055235763909354663447[[#This Row],[Asesor]],Tabla4851[Columna1],Tabla4851[Columna3],0)</f>
        <v>0</v>
      </c>
      <c r="G683" s="254">
        <f>SUM(Tabla936173055235763909354663447[[#This Row],[Prima Pagada vida]],Tabla936173055235763909354663447[[#This Row],[Prima Pagada gmm]])</f>
        <v>2485.3648662179999</v>
      </c>
      <c r="H683" s="112"/>
      <c r="I683" s="112"/>
      <c r="J683" s="113"/>
      <c r="K683" s="103"/>
    </row>
    <row r="684" spans="1:14" ht="13" x14ac:dyDescent="0.15">
      <c r="A684" s="112" t="s">
        <v>19</v>
      </c>
      <c r="B684" s="250">
        <f>SUM(Tabla936173055235763909354663447[[#This Row],[Vida]],Tabla936173055235763909354663447[[#This Row],[Gmm]])</f>
        <v>1</v>
      </c>
      <c r="C684" s="113">
        <v>1</v>
      </c>
      <c r="D684" s="272">
        <v>1805.68</v>
      </c>
      <c r="E684" s="277">
        <f>_xlfn.XLOOKUP(Tabla936173055235763909354663447[[#This Row],[Asesor]],Tabla48[Columna1],Tabla48[Columna2],0)</f>
        <v>0</v>
      </c>
      <c r="F684" s="274">
        <f>_xlfn.XLOOKUP(Tabla936173055235763909354663447[[#This Row],[Asesor]],Tabla4851[Columna1],Tabla4851[Columna3],0)</f>
        <v>0</v>
      </c>
      <c r="G684" s="254">
        <f>SUM(Tabla936173055235763909354663447[[#This Row],[Prima Pagada vida]],Tabla936173055235763909354663447[[#This Row],[Prima Pagada gmm]])</f>
        <v>1805.68</v>
      </c>
      <c r="H684" s="112"/>
      <c r="I684" s="112"/>
      <c r="J684" s="113"/>
      <c r="K684" s="103"/>
    </row>
    <row r="685" spans="1:14" ht="13" x14ac:dyDescent="0.15">
      <c r="A685" s="112" t="s">
        <v>97</v>
      </c>
      <c r="B685" s="250">
        <f>SUM(Tabla936173055235763909354663447[[#This Row],[Vida]],Tabla936173055235763909354663447[[#This Row],[Gmm]])</f>
        <v>0</v>
      </c>
      <c r="C685" s="113">
        <v>0</v>
      </c>
      <c r="D685" s="272">
        <v>0</v>
      </c>
      <c r="E685" s="109">
        <f>_xlfn.XLOOKUP(Tabla936173055235763909354663447[[#This Row],[Asesor]],Tabla4851[Columna1],Tabla4851[Columna2],0)</f>
        <v>0</v>
      </c>
      <c r="F685" s="271">
        <f>_xlfn.XLOOKUP(Tabla936173055235763909354663447[[#This Row],[Asesor]],Tabla4851[Columna1],Tabla4851[Columna3],0)</f>
        <v>0</v>
      </c>
      <c r="G685" s="254">
        <f>SUM(Tabla936173055235763909354663447[[#This Row],[Prima Pagada vida]],Tabla936173055235763909354663447[[#This Row],[Prima Pagada gmm]])</f>
        <v>0</v>
      </c>
      <c r="H685" s="112"/>
      <c r="I685" s="112"/>
      <c r="J685" s="113"/>
      <c r="K685" s="103"/>
    </row>
    <row r="686" spans="1:14" x14ac:dyDescent="0.15">
      <c r="A686" s="112" t="s">
        <v>31</v>
      </c>
      <c r="B686" s="250">
        <f>SUM(Tabla936173055235763909354663447[[#This Row],[Vida]],Tabla936173055235763909354663447[[#This Row],[Gmm]])</f>
        <v>0</v>
      </c>
      <c r="C686" s="113">
        <v>0</v>
      </c>
      <c r="D686" s="272">
        <v>0</v>
      </c>
      <c r="E686" s="109">
        <f>_xlfn.XLOOKUP(Tabla936173055235763909354663447[[#This Row],[Asesor]],Tabla4851[Columna1],Tabla4851[Columna2],0)</f>
        <v>0</v>
      </c>
      <c r="F686" s="271">
        <f>_xlfn.XLOOKUP(Tabla936173055235763909354663447[[#This Row],[Asesor]],Tabla4851[Columna1],Tabla4851[Columna3],0)</f>
        <v>0</v>
      </c>
      <c r="G686" s="279">
        <f>SUM(Tabla936173055235763909354663447[[#This Row],[Prima Pagada vida]],Tabla936173055235763909354663447[[#This Row],[Prima Pagada gmm]])</f>
        <v>0</v>
      </c>
      <c r="H686" s="112"/>
      <c r="I686" s="112"/>
      <c r="J686" s="113"/>
      <c r="K686" s="103"/>
    </row>
    <row r="687" spans="1:14" ht="13" x14ac:dyDescent="0.15">
      <c r="A687" s="112" t="s">
        <v>20</v>
      </c>
      <c r="B687" s="250">
        <f>SUM(Tabla936173055235763909354663447[[#This Row],[Vida]],Tabla936173055235763909354663447[[#This Row],[Gmm]])</f>
        <v>0</v>
      </c>
      <c r="C687" s="113">
        <v>0</v>
      </c>
      <c r="D687" s="272">
        <v>0</v>
      </c>
      <c r="E687" s="109">
        <f>_xlfn.XLOOKUP(Tabla936173055235763909354663447[[#This Row],[Asesor]],Tabla4851[Columna1],Tabla4851[Columna2],0)</f>
        <v>0</v>
      </c>
      <c r="F687" s="253">
        <f>_xlfn.XLOOKUP(Tabla936173055235763909354663447[[#This Row],[Asesor]],Tabla4851[Columna1],Tabla4851[Columna3],0)</f>
        <v>0</v>
      </c>
      <c r="G687" s="254">
        <f>SUM(Tabla936173055235763909354663447[[#This Row],[Prima Pagada vida]],Tabla936173055235763909354663447[[#This Row],[Prima Pagada gmm]])</f>
        <v>0</v>
      </c>
      <c r="H687" s="112"/>
      <c r="I687" s="112"/>
      <c r="J687" s="113"/>
      <c r="K687" s="103"/>
    </row>
    <row r="688" spans="1:14" ht="13" x14ac:dyDescent="0.15">
      <c r="A688" s="112" t="s">
        <v>124</v>
      </c>
      <c r="B688" s="250">
        <f>SUM(Tabla936173055235763909354663447[[#This Row],[Vida]],Tabla936173055235763909354663447[[#This Row],[Gmm]])</f>
        <v>0</v>
      </c>
      <c r="C688" s="113">
        <v>0</v>
      </c>
      <c r="D688" s="272">
        <v>0</v>
      </c>
      <c r="E688" s="277">
        <f>_xlfn.XLOOKUP(Tabla936173055235763909354663447[[#This Row],[Asesor]],Tabla48[Columna1],Tabla48[Columna2],0)</f>
        <v>0</v>
      </c>
      <c r="F688" s="253">
        <f>_xlfn.XLOOKUP(Tabla936173055235763909354663447[[#This Row],[Asesor]],Tabla4851[Columna1],Tabla4851[Columna3],0)</f>
        <v>0</v>
      </c>
      <c r="G688" s="254">
        <f>SUM(Tabla936173055235763909354663447[[#This Row],[Prima Pagada vida]],Tabla936173055235763909354663447[[#This Row],[Prima Pagada gmm]])</f>
        <v>0</v>
      </c>
      <c r="H688" s="112"/>
      <c r="I688" s="112"/>
      <c r="J688" s="113"/>
      <c r="K688" s="103"/>
    </row>
    <row r="689" spans="1:13" ht="13" x14ac:dyDescent="0.15">
      <c r="A689" s="112" t="s">
        <v>38</v>
      </c>
      <c r="B689" s="250">
        <f>SUM(Tabla936173055235763909354663447[[#This Row],[Vida]],Tabla936173055235763909354663447[[#This Row],[Gmm]])</f>
        <v>0</v>
      </c>
      <c r="C689" s="113">
        <v>0</v>
      </c>
      <c r="D689" s="272">
        <v>0</v>
      </c>
      <c r="E689" s="109">
        <f>_xlfn.XLOOKUP(Tabla936173055235763909354663447[[#This Row],[Asesor]],Tabla4851[Columna1],Tabla4851[Columna2],0)</f>
        <v>0</v>
      </c>
      <c r="F689" s="255">
        <f>_xlfn.XLOOKUP(Tabla936173055235763909354663447[[#This Row],[Asesor]],Tabla4851[Columna1],Tabla4851[Columna3],0)</f>
        <v>0</v>
      </c>
      <c r="G689" s="254">
        <f>SUM(Tabla936173055235763909354663447[[#This Row],[Prima Pagada vida]],Tabla936173055235763909354663447[[#This Row],[Prima Pagada gmm]])</f>
        <v>0</v>
      </c>
      <c r="H689" s="112"/>
      <c r="I689" s="112"/>
      <c r="J689" s="113"/>
      <c r="K689" s="103"/>
    </row>
    <row r="690" spans="1:13" ht="13" x14ac:dyDescent="0.15">
      <c r="A690" s="112" t="s">
        <v>32</v>
      </c>
      <c r="B690" s="250">
        <f>SUM(Tabla936173055235763909354663447[[#This Row],[Vida]],Tabla936173055235763909354663447[[#This Row],[Gmm]])</f>
        <v>0</v>
      </c>
      <c r="C690" s="113">
        <v>0</v>
      </c>
      <c r="D690" s="272">
        <v>0</v>
      </c>
      <c r="E690" s="109">
        <f>_xlfn.XLOOKUP(Tabla936173055235763909354663447[[#This Row],[Asesor]],Tabla4851[Columna1],Tabla4851[Columna2],0)</f>
        <v>0</v>
      </c>
      <c r="F690" s="255">
        <f>_xlfn.XLOOKUP(Tabla936173055235763909354663447[[#This Row],[Asesor]],Tabla4851[Columna1],Tabla4851[Columna3],0)</f>
        <v>0</v>
      </c>
      <c r="G690" s="254">
        <f>SUM(Tabla936173055235763909354663447[[#This Row],[Prima Pagada vida]],Tabla936173055235763909354663447[[#This Row],[Prima Pagada gmm]])</f>
        <v>0</v>
      </c>
      <c r="I690" s="112"/>
      <c r="J690" s="113"/>
      <c r="K690" s="103"/>
    </row>
    <row r="691" spans="1:13" ht="13" x14ac:dyDescent="0.15">
      <c r="A691" s="112" t="s">
        <v>27</v>
      </c>
      <c r="B691" s="250">
        <f>SUM(Tabla936173055235763909354663447[[#This Row],[Vida]],Tabla936173055235763909354663447[[#This Row],[Gmm]])</f>
        <v>0</v>
      </c>
      <c r="C691" s="113">
        <v>0</v>
      </c>
      <c r="D691" s="271">
        <v>0</v>
      </c>
      <c r="E691" s="109">
        <f>_xlfn.XLOOKUP(Tabla936173055235763909354663447[[#This Row],[Asesor]],Tabla4851[Columna1],Tabla4851[Columna2],0)</f>
        <v>0</v>
      </c>
      <c r="F691" s="255">
        <f>_xlfn.XLOOKUP(Tabla936173055235763909354663447[[#This Row],[Asesor]],Tabla4851[Columna1],Tabla4851[Columna3],0)</f>
        <v>0</v>
      </c>
      <c r="G691" s="254">
        <f>SUM(Tabla936173055235763909354663447[[#This Row],[Prima Pagada vida]],Tabla936173055235763909354663447[[#This Row],[Prima Pagada gmm]])</f>
        <v>0</v>
      </c>
      <c r="I691" s="112"/>
      <c r="J691" s="113"/>
      <c r="K691" s="103"/>
    </row>
    <row r="692" spans="1:13" ht="13" x14ac:dyDescent="0.15">
      <c r="A692" s="112" t="s">
        <v>85</v>
      </c>
      <c r="B692" s="250">
        <f>SUM(Tabla936173055235763909354663447[[#This Row],[Vida]],Tabla936173055235763909354663447[[#This Row],[Gmm]])</f>
        <v>0</v>
      </c>
      <c r="C692" s="113">
        <v>0</v>
      </c>
      <c r="D692" s="272">
        <v>0</v>
      </c>
      <c r="E692" s="109">
        <f>_xlfn.XLOOKUP(Tabla936173055235763909354663447[[#This Row],[Asesor]],Tabla4851[Columna1],Tabla4851[Columna2],0)</f>
        <v>0</v>
      </c>
      <c r="F692" s="255">
        <f>_xlfn.XLOOKUP(Tabla936173055235763909354663447[[#This Row],[Asesor]],Tabla4851[Columna1],Tabla4851[Columna3],0)</f>
        <v>0</v>
      </c>
      <c r="G692" s="254">
        <f>SUM(Tabla936173055235763909354663447[[#This Row],[Prima Pagada vida]],Tabla936173055235763909354663447[[#This Row],[Prima Pagada gmm]])</f>
        <v>0</v>
      </c>
      <c r="I692" s="112"/>
      <c r="J692" s="113"/>
      <c r="K692" s="103"/>
    </row>
    <row r="693" spans="1:13" ht="13" x14ac:dyDescent="0.15">
      <c r="A693" s="112" t="s">
        <v>25</v>
      </c>
      <c r="B693" s="250">
        <f>SUM(Tabla936173055235763909354663447[[#This Row],[Vida]],Tabla936173055235763909354663447[[#This Row],[Gmm]])</f>
        <v>0</v>
      </c>
      <c r="C693" s="113">
        <v>0</v>
      </c>
      <c r="D693" s="272">
        <v>0</v>
      </c>
      <c r="E693" s="109">
        <f>_xlfn.XLOOKUP(Tabla936173055235763909354663447[[#This Row],[Asesor]],Tabla4851[Columna1],Tabla4851[Columna2],0)</f>
        <v>0</v>
      </c>
      <c r="F693" s="255">
        <f>_xlfn.XLOOKUP(Tabla936173055235763909354663447[[#This Row],[Asesor]],Tabla4851[Columna1],Tabla4851[Columna3],0)</f>
        <v>0</v>
      </c>
      <c r="G693" s="254">
        <f>SUM(Tabla936173055235763909354663447[[#This Row],[Prima Pagada vida]],Tabla936173055235763909354663447[[#This Row],[Prima Pagada gmm]])</f>
        <v>0</v>
      </c>
      <c r="I693" s="112"/>
      <c r="J693" s="113"/>
      <c r="K693" s="103"/>
    </row>
    <row r="694" spans="1:13" ht="13" x14ac:dyDescent="0.15">
      <c r="A694" s="112" t="s">
        <v>30</v>
      </c>
      <c r="B694" s="250">
        <f>SUM(Tabla936173055235763909354663447[[#This Row],[Vida]],Tabla936173055235763909354663447[[#This Row],[Gmm]])</f>
        <v>0</v>
      </c>
      <c r="C694" s="113">
        <v>0</v>
      </c>
      <c r="D694" s="272">
        <v>0</v>
      </c>
      <c r="E694" s="109">
        <f>_xlfn.XLOOKUP(Tabla936173055235763909354663447[[#This Row],[Asesor]],Tabla4851[Columna1],Tabla4851[Columna2],0)</f>
        <v>0</v>
      </c>
      <c r="F694" s="255">
        <f>_xlfn.XLOOKUP(Tabla936173055235763909354663447[[#This Row],[Asesor]],Tabla4851[Columna1],Tabla4851[Columna3],0)</f>
        <v>0</v>
      </c>
      <c r="G694" s="254">
        <f>SUM(Tabla936173055235763909354663447[[#This Row],[Prima Pagada vida]],Tabla936173055235763909354663447[[#This Row],[Prima Pagada gmm]])</f>
        <v>0</v>
      </c>
      <c r="I694" s="112"/>
      <c r="J694" s="113"/>
      <c r="K694" s="103"/>
    </row>
    <row r="695" spans="1:13" ht="13" x14ac:dyDescent="0.15">
      <c r="A695" s="112" t="s">
        <v>41</v>
      </c>
      <c r="B695" s="250">
        <f>SUM(Tabla936173055235763909354663447[[#This Row],[Vida]],Tabla936173055235763909354663447[[#This Row],[Gmm]])</f>
        <v>0</v>
      </c>
      <c r="C695" s="113">
        <v>0</v>
      </c>
      <c r="D695" s="272">
        <v>0</v>
      </c>
      <c r="E695" s="109">
        <f>_xlfn.XLOOKUP(Tabla936173055235763909354663447[[#This Row],[Asesor]],Tabla4851[Columna1],Tabla4851[Columna2],0)</f>
        <v>0</v>
      </c>
      <c r="F695" s="255">
        <f>_xlfn.XLOOKUP(Tabla936173055235763909354663447[[#This Row],[Asesor]],Tabla4851[Columna1],Tabla4851[Columna3],0)</f>
        <v>0</v>
      </c>
      <c r="G695" s="254">
        <f>SUM(Tabla936173055235763909354663447[[#This Row],[Prima Pagada vida]],Tabla936173055235763909354663447[[#This Row],[Prima Pagada gmm]])</f>
        <v>0</v>
      </c>
    </row>
    <row r="696" spans="1:13" ht="13" x14ac:dyDescent="0.15">
      <c r="A696" s="112" t="s">
        <v>18</v>
      </c>
      <c r="B696" s="250">
        <f>SUM(Tabla936173055235763909354663447[[#This Row],[Vida]],Tabla936173055235763909354663447[[#This Row],[Gmm]])</f>
        <v>0</v>
      </c>
      <c r="C696" s="113">
        <v>0</v>
      </c>
      <c r="D696" s="272">
        <v>0</v>
      </c>
      <c r="E696" s="109">
        <f>_xlfn.XLOOKUP(Tabla936173055235763909354663447[[#This Row],[Asesor]],Tabla4851[Columna1],Tabla4851[Columna2],0)</f>
        <v>0</v>
      </c>
      <c r="F696" s="255">
        <f>_xlfn.XLOOKUP(Tabla936173055235763909354663447[[#This Row],[Asesor]],Tabla4851[Columna1],Tabla4851[Columna3],0)</f>
        <v>0</v>
      </c>
      <c r="G696" s="254">
        <f>SUM(Tabla936173055235763909354663447[[#This Row],[Prima Pagada vida]],Tabla936173055235763909354663447[[#This Row],[Prima Pagada gmm]])</f>
        <v>0</v>
      </c>
      <c r="M696" s="1" t="s">
        <v>212</v>
      </c>
    </row>
    <row r="697" spans="1:13" ht="13" x14ac:dyDescent="0.15">
      <c r="A697" s="112" t="s">
        <v>28</v>
      </c>
      <c r="B697" s="250">
        <f>SUM(Tabla936173055235763909354663447[[#This Row],[Vida]],Tabla936173055235763909354663447[[#This Row],[Gmm]])</f>
        <v>0</v>
      </c>
      <c r="C697" s="113">
        <v>0</v>
      </c>
      <c r="D697" s="272">
        <v>0</v>
      </c>
      <c r="E697" s="109">
        <f>_xlfn.XLOOKUP(Tabla936173055235763909354663447[[#This Row],[Asesor]],Tabla4851[Columna1],Tabla4851[Columna2],0)</f>
        <v>0</v>
      </c>
      <c r="F697" s="255">
        <f>_xlfn.XLOOKUP(Tabla936173055235763909354663447[[#This Row],[Asesor]],Tabla4851[Columna1],Tabla4851[Columna3],0)</f>
        <v>0</v>
      </c>
      <c r="G697" s="254">
        <f>SUM(Tabla936173055235763909354663447[[#This Row],[Prima Pagada vida]],Tabla936173055235763909354663447[[#This Row],[Prima Pagada gmm]])</f>
        <v>0</v>
      </c>
    </row>
    <row r="698" spans="1:13" ht="13" x14ac:dyDescent="0.15">
      <c r="A698" s="112" t="s">
        <v>110</v>
      </c>
      <c r="B698" s="250">
        <f>SUM(Tabla936173055235763909354663447[[#This Row],[Vida]],Tabla936173055235763909354663447[[#This Row],[Gmm]])</f>
        <v>0</v>
      </c>
      <c r="C698" s="113">
        <v>0</v>
      </c>
      <c r="D698" s="272">
        <v>0</v>
      </c>
      <c r="E698" s="109">
        <f>_xlfn.XLOOKUP(Tabla936173055235763909354663447[[#This Row],[Asesor]],Tabla4851[Columna1],Tabla4851[Columna2],0)</f>
        <v>0</v>
      </c>
      <c r="F698" s="255">
        <f>_xlfn.XLOOKUP(Tabla936173055235763909354663447[[#This Row],[Asesor]],Tabla4851[Columna1],Tabla4851[Columna3],0)</f>
        <v>0</v>
      </c>
      <c r="G698" s="254">
        <f>SUM(Tabla936173055235763909354663447[[#This Row],[Prima Pagada vida]],Tabla936173055235763909354663447[[#This Row],[Prima Pagada gmm]])</f>
        <v>0</v>
      </c>
    </row>
    <row r="699" spans="1:13" ht="13" x14ac:dyDescent="0.15">
      <c r="A699" s="112" t="s">
        <v>24</v>
      </c>
      <c r="B699" s="280">
        <f>SUM(Tabla936173055235763909354663447[[#This Row],[Vida]],Tabla936173055235763909354663447[[#This Row],[Gmm]])</f>
        <v>0</v>
      </c>
      <c r="C699" s="113">
        <v>0</v>
      </c>
      <c r="D699" s="272">
        <v>0</v>
      </c>
      <c r="E699" s="109">
        <f>_xlfn.XLOOKUP(Tabla936173055235763909354663447[[#This Row],[Asesor]],Tabla4851[Columna1],Tabla4851[Columna2],0)</f>
        <v>0</v>
      </c>
      <c r="F699" s="255">
        <f>_xlfn.XLOOKUP(Tabla936173055235763909354663447[[#This Row],[Asesor]],Tabla4851[Columna1],Tabla4851[Columna3],0)</f>
        <v>0</v>
      </c>
      <c r="G699" s="254">
        <f>SUM(Tabla936173055235763909354663447[[#This Row],[Prima Pagada vida]],Tabla936173055235763909354663447[[#This Row],[Prima Pagada gmm]])</f>
        <v>0</v>
      </c>
    </row>
    <row r="700" spans="1:13" ht="13" x14ac:dyDescent="0.15">
      <c r="A700" s="112" t="s">
        <v>29</v>
      </c>
      <c r="B700" s="280">
        <f>SUM(Tabla936173055235763909354663447[[#This Row],[Vida]],Tabla936173055235763909354663447[[#This Row],[Gmm]])</f>
        <v>0</v>
      </c>
      <c r="C700" s="113">
        <v>0</v>
      </c>
      <c r="D700" s="272">
        <v>0</v>
      </c>
      <c r="E700" s="109">
        <f>_xlfn.XLOOKUP(Tabla936173055235763909354663447[[#This Row],[Asesor]],Tabla4851[Columna1],Tabla4851[Columna2],0)</f>
        <v>0</v>
      </c>
      <c r="F700" s="255">
        <f>_xlfn.XLOOKUP(Tabla936173055235763909354663447[[#This Row],[Asesor]],Tabla4851[Columna1],Tabla4851[Columna3],0)</f>
        <v>0</v>
      </c>
      <c r="G700" s="254">
        <f>SUM(Tabla936173055235763909354663447[[#This Row],[Prima Pagada vida]],Tabla936173055235763909354663447[[#This Row],[Prima Pagada gmm]])</f>
        <v>0</v>
      </c>
    </row>
    <row r="701" spans="1:13" ht="13" x14ac:dyDescent="0.15">
      <c r="A701" s="112" t="s">
        <v>170</v>
      </c>
      <c r="B701" s="280">
        <f>SUM(Tabla936173055235763909354663447[[#This Row],[Vida]],Tabla936173055235763909354663447[[#This Row],[Gmm]])</f>
        <v>0</v>
      </c>
      <c r="C701" s="113">
        <v>0</v>
      </c>
      <c r="D701" s="272">
        <v>0</v>
      </c>
      <c r="E701" s="277">
        <f>_xlfn.XLOOKUP(Tabla936173055235763909354663447[[#This Row],[Asesor]],Tabla48[Columna1],Tabla48[Columna2],0)</f>
        <v>0</v>
      </c>
      <c r="F701" s="253">
        <f>_xlfn.XLOOKUP(Tabla936173055235763909354663447[[#This Row],[Asesor]],Tabla4851[Columna1],Tabla4851[Columna3],0)</f>
        <v>0</v>
      </c>
      <c r="G701" s="254">
        <f>SUM(Tabla936173055235763909354663447[[#This Row],[Prima Pagada vida]],Tabla936173055235763909354663447[[#This Row],[Prima Pagada gmm]])</f>
        <v>0</v>
      </c>
    </row>
    <row r="702" spans="1:13" ht="13" x14ac:dyDescent="0.15">
      <c r="A702" s="112" t="s">
        <v>116</v>
      </c>
      <c r="B702" s="280">
        <f>SUM(Tabla936173055235763909354663447[[#This Row],[Vida]],Tabla936173055235763909354663447[[#This Row],[Gmm]])</f>
        <v>0</v>
      </c>
      <c r="C702" s="113">
        <v>0</v>
      </c>
      <c r="D702" s="272">
        <v>0</v>
      </c>
      <c r="E702" s="277">
        <v>0</v>
      </c>
      <c r="F702" s="253">
        <f>_xlfn.XLOOKUP(Tabla936173055235763909354663447[[#This Row],[Asesor]],Tabla4851[Columna1],Tabla4851[Columna3],0)</f>
        <v>0</v>
      </c>
      <c r="G702" s="254">
        <f>SUM(Tabla936173055235763909354663447[[#This Row],[Prima Pagada vida]],Tabla936173055235763909354663447[[#This Row],[Prima Pagada gmm]])</f>
        <v>0</v>
      </c>
    </row>
    <row r="703" spans="1:13" ht="13" x14ac:dyDescent="0.15">
      <c r="A703" s="43" t="s">
        <v>50</v>
      </c>
      <c r="B703" s="214">
        <f>SUM(Tabla936173055235763909354663447[[Pólizas ]])</f>
        <v>39.5</v>
      </c>
      <c r="C703" s="215">
        <f>SUM(Tabla936173055235763909354663447[Vida])</f>
        <v>35</v>
      </c>
      <c r="D703" s="216">
        <f>SUM(Tabla936173055235763909354663447[Prima Pagada vida])</f>
        <v>805971.38358861057</v>
      </c>
      <c r="E703" s="217">
        <f>SUM(Tabla936173055235763909354663447[Gmm])</f>
        <v>4.5</v>
      </c>
      <c r="F703" s="216">
        <f>SUM(Tabla936173055235763909354663447[Prima Pagada gmm])</f>
        <v>276428.77999999997</v>
      </c>
      <c r="G703" s="216">
        <f>SUM(Tabla936173055235763909354663447[Prima total])</f>
        <v>1082400.1635886105</v>
      </c>
    </row>
    <row r="709" spans="1:7" x14ac:dyDescent="0.2">
      <c r="A709" s="1" t="s">
        <v>187</v>
      </c>
      <c r="B709" s="1" t="s">
        <v>188</v>
      </c>
      <c r="C709" s="1" t="s">
        <v>189</v>
      </c>
      <c r="D709" s="1" t="s">
        <v>190</v>
      </c>
      <c r="E709" s="1" t="s">
        <v>191</v>
      </c>
    </row>
    <row r="710" spans="1:7" x14ac:dyDescent="0.2">
      <c r="A710" s="273" t="s">
        <v>213</v>
      </c>
      <c r="B710" s="281" t="s">
        <v>199</v>
      </c>
      <c r="C710" s="282" t="s">
        <v>197</v>
      </c>
      <c r="D710" s="283">
        <v>41662.430166686398</v>
      </c>
      <c r="E710" s="230" cm="1">
        <f t="array" ref="E710">D710/_xlfn.IFS(B710="MENSUAL",12,B710="TRIMESTRAL",4,B710="SEMESTRAL",2,B710="ANUAL",1)</f>
        <v>3471.8691805571998</v>
      </c>
      <c r="G710" s="53">
        <f>SUM(E711:E716)</f>
        <v>155969.16486523001</v>
      </c>
    </row>
    <row r="711" spans="1:7" x14ac:dyDescent="0.2">
      <c r="A711" s="273" t="s">
        <v>209</v>
      </c>
      <c r="B711" s="281" t="s">
        <v>199</v>
      </c>
      <c r="C711" s="282" t="s">
        <v>197</v>
      </c>
      <c r="D711" s="283">
        <v>81424.767045599991</v>
      </c>
      <c r="E711" s="230" cm="1">
        <f t="array" ref="E711">D711/_xlfn.IFS(B711="MENSUAL",12,B711="TRIMESTRAL",4,B711="SEMESTRAL",2,B711="ANUAL",1)</f>
        <v>6785.3972537999989</v>
      </c>
    </row>
    <row r="712" spans="1:7" x14ac:dyDescent="0.2">
      <c r="A712" s="273" t="s">
        <v>209</v>
      </c>
      <c r="B712" s="281" t="s">
        <v>193</v>
      </c>
      <c r="C712" s="282" t="s">
        <v>197</v>
      </c>
      <c r="D712" s="283">
        <v>25223.019057599999</v>
      </c>
      <c r="E712" s="230" cm="1">
        <f t="array" ref="E712">D712/_xlfn.IFS(B712="MENSUAL",12,B712="TRIMESTRAL",4,B712="SEMESTRAL",2,B712="ANUAL",1)</f>
        <v>12611.509528799999</v>
      </c>
    </row>
    <row r="713" spans="1:7" x14ac:dyDescent="0.2">
      <c r="A713" s="273" t="s">
        <v>209</v>
      </c>
      <c r="B713" s="281" t="s">
        <v>199</v>
      </c>
      <c r="C713" s="282" t="s">
        <v>194</v>
      </c>
      <c r="D713" s="283">
        <v>28077.48</v>
      </c>
      <c r="E713" s="230" cm="1">
        <f t="array" ref="E713">D713/_xlfn.IFS(B713="MENSUAL",12,B713="TRIMESTRAL",4,B713="SEMESTRAL",2,B713="ANUAL",1)</f>
        <v>2339.79</v>
      </c>
    </row>
    <row r="714" spans="1:7" x14ac:dyDescent="0.2">
      <c r="A714" s="273" t="s">
        <v>209</v>
      </c>
      <c r="B714" s="281" t="s">
        <v>198</v>
      </c>
      <c r="C714" s="282" t="s">
        <v>197</v>
      </c>
      <c r="D714" s="283">
        <v>48537.16074834</v>
      </c>
      <c r="E714" s="230" cm="1">
        <f t="array" ref="E714">D714/_xlfn.IFS(B714="MENSUAL",12,B714="TRIMESTRAL",4,B714="SEMESTRAL",2,B714="ANUAL",1)</f>
        <v>48537.16074834</v>
      </c>
    </row>
    <row r="715" spans="1:7" x14ac:dyDescent="0.2">
      <c r="A715" s="273" t="s">
        <v>209</v>
      </c>
      <c r="B715" s="281" t="s">
        <v>193</v>
      </c>
      <c r="C715" s="282" t="s">
        <v>197</v>
      </c>
      <c r="D715" s="283">
        <v>80500.377280420013</v>
      </c>
      <c r="E715" s="230" cm="1">
        <f t="array" ref="E715">D715/_xlfn.IFS(B715="MENSUAL",12,B715="TRIMESTRAL",4,B715="SEMESTRAL",2,B715="ANUAL",1)</f>
        <v>40250.188640210006</v>
      </c>
    </row>
    <row r="716" spans="1:7" x14ac:dyDescent="0.2">
      <c r="A716" s="273" t="s">
        <v>209</v>
      </c>
      <c r="B716" s="281" t="s">
        <v>198</v>
      </c>
      <c r="C716" s="282" t="s">
        <v>197</v>
      </c>
      <c r="D716" s="283">
        <v>45445.118694079989</v>
      </c>
      <c r="E716" s="230" cm="1">
        <f t="array" ref="E716">D716/_xlfn.IFS(B716="MENSUAL",12,B716="TRIMESTRAL",4,B716="SEMESTRAL",2,B716="ANUAL",1)</f>
        <v>45445.118694079989</v>
      </c>
    </row>
    <row r="717" spans="1:7" x14ac:dyDescent="0.2">
      <c r="A717" s="273" t="s">
        <v>214</v>
      </c>
      <c r="B717" s="281" t="s">
        <v>198</v>
      </c>
      <c r="C717" s="282" t="s">
        <v>197</v>
      </c>
      <c r="D717" s="283">
        <v>26766.657800380002</v>
      </c>
      <c r="E717" s="230" cm="1">
        <f t="array" ref="E717">D717/_xlfn.IFS(B717="MENSUAL",12,B717="TRIMESTRAL",4,B717="SEMESTRAL",2,B717="ANUAL",1)</f>
        <v>26766.657800380002</v>
      </c>
    </row>
    <row r="718" spans="1:7" x14ac:dyDescent="0.2">
      <c r="A718" s="273" t="s">
        <v>214</v>
      </c>
      <c r="B718" s="281" t="s">
        <v>198</v>
      </c>
      <c r="C718" s="282" t="s">
        <v>197</v>
      </c>
      <c r="D718" s="283">
        <v>65355.016539119999</v>
      </c>
      <c r="E718" s="230" cm="1">
        <f t="array" ref="E718">D718/_xlfn.IFS(B718="MENSUAL",12,B718="TRIMESTRAL",4,B718="SEMESTRAL",2,B718="ANUAL",1)</f>
        <v>65355.016539119999</v>
      </c>
    </row>
    <row r="719" spans="1:7" x14ac:dyDescent="0.2">
      <c r="A719" s="273" t="s">
        <v>214</v>
      </c>
      <c r="B719" s="281" t="s">
        <v>193</v>
      </c>
      <c r="C719" s="282" t="s">
        <v>197</v>
      </c>
      <c r="D719" s="283">
        <v>90359.714469260012</v>
      </c>
      <c r="E719" s="230" cm="1">
        <f t="array" ref="E719">D719/_xlfn.IFS(B719="MENSUAL",12,B719="TRIMESTRAL",4,B719="SEMESTRAL",2,B719="ANUAL",1)</f>
        <v>45179.857234630006</v>
      </c>
    </row>
    <row r="720" spans="1:7" x14ac:dyDescent="0.2">
      <c r="A720" s="273" t="s">
        <v>214</v>
      </c>
      <c r="B720" s="281" t="s">
        <v>198</v>
      </c>
      <c r="C720" s="282" t="s">
        <v>197</v>
      </c>
      <c r="D720" s="283">
        <v>30518.186064510002</v>
      </c>
      <c r="E720" s="230" cm="1">
        <f t="array" ref="E720">D720/_xlfn.IFS(B720="MENSUAL",12,B720="TRIMESTRAL",4,B720="SEMESTRAL",2,B720="ANUAL",1)</f>
        <v>30518.186064510002</v>
      </c>
    </row>
    <row r="721" spans="1:5" x14ac:dyDescent="0.2">
      <c r="A721" s="273" t="s">
        <v>214</v>
      </c>
      <c r="B721" s="281" t="s">
        <v>198</v>
      </c>
      <c r="C721" s="282" t="s">
        <v>197</v>
      </c>
      <c r="D721" s="283">
        <v>65219.68143122</v>
      </c>
      <c r="E721" s="230" cm="1">
        <f t="array" ref="E721">D721/_xlfn.IFS(B721="MENSUAL",12,B721="TRIMESTRAL",4,B721="SEMESTRAL",2,B721="ANUAL",1)</f>
        <v>65219.68143122</v>
      </c>
    </row>
    <row r="722" spans="1:5" x14ac:dyDescent="0.2">
      <c r="A722" s="273" t="s">
        <v>214</v>
      </c>
      <c r="B722" s="281" t="s">
        <v>198</v>
      </c>
      <c r="C722" s="282" t="s">
        <v>197</v>
      </c>
      <c r="D722" s="283">
        <v>65224.51023367999</v>
      </c>
      <c r="E722" s="230" cm="1">
        <f t="array" ref="E722">D722/_xlfn.IFS(B722="MENSUAL",12,B722="TRIMESTRAL",4,B722="SEMESTRAL",2,B722="ANUAL",1)</f>
        <v>65224.51023367999</v>
      </c>
    </row>
    <row r="723" spans="1:5" x14ac:dyDescent="0.2">
      <c r="A723" s="273" t="s">
        <v>211</v>
      </c>
      <c r="B723" s="281" t="s">
        <v>198</v>
      </c>
      <c r="C723" s="282" t="s">
        <v>197</v>
      </c>
      <c r="D723" s="283">
        <v>36104.589003279994</v>
      </c>
      <c r="E723" s="230" cm="1">
        <f t="array" ref="E723">D723/_xlfn.IFS(B723="MENSUAL",12,B723="TRIMESTRAL",4,B723="SEMESTRAL",2,B723="ANUAL",1)</f>
        <v>36104.589003279994</v>
      </c>
    </row>
    <row r="724" spans="1:5" x14ac:dyDescent="0.2">
      <c r="A724" s="273" t="s">
        <v>211</v>
      </c>
      <c r="B724" s="281" t="s">
        <v>199</v>
      </c>
      <c r="C724" s="282" t="s">
        <v>197</v>
      </c>
      <c r="D724" s="283">
        <v>24740.709133920001</v>
      </c>
      <c r="E724" s="230" cm="1">
        <f t="array" ref="E724">D724/_xlfn.IFS(B724="MENSUAL",12,B724="TRIMESTRAL",4,B724="SEMESTRAL",2,B724="ANUAL",1)</f>
        <v>2061.7257611600003</v>
      </c>
    </row>
    <row r="725" spans="1:5" x14ac:dyDescent="0.2">
      <c r="A725" s="273" t="s">
        <v>211</v>
      </c>
      <c r="B725" s="281" t="s">
        <v>196</v>
      </c>
      <c r="C725" s="282" t="s">
        <v>197</v>
      </c>
      <c r="D725" s="283">
        <v>30842.46371416</v>
      </c>
      <c r="E725" s="230" cm="1">
        <f t="array" ref="E725">D725/_xlfn.IFS(B725="MENSUAL",12,B725="TRIMESTRAL",4,B725="SEMESTRAL",2,B725="ANUAL",1)</f>
        <v>7710.6159285399999</v>
      </c>
    </row>
    <row r="726" spans="1:5" x14ac:dyDescent="0.2">
      <c r="A726" s="273" t="s">
        <v>211</v>
      </c>
      <c r="B726" s="281" t="s">
        <v>199</v>
      </c>
      <c r="C726" s="282" t="s">
        <v>197</v>
      </c>
      <c r="D726" s="283">
        <v>20004.812362799996</v>
      </c>
      <c r="E726" s="230" cm="1">
        <f t="array" ref="E726">D726/_xlfn.IFS(B726="MENSUAL",12,B726="TRIMESTRAL",4,B726="SEMESTRAL",2,B726="ANUAL",1)</f>
        <v>1667.0676968999996</v>
      </c>
    </row>
    <row r="727" spans="1:5" x14ac:dyDescent="0.2">
      <c r="A727" s="273" t="s">
        <v>208</v>
      </c>
      <c r="B727" s="281" t="s">
        <v>198</v>
      </c>
      <c r="C727" s="282" t="s">
        <v>194</v>
      </c>
      <c r="D727" s="283">
        <v>28021.74</v>
      </c>
      <c r="E727" s="230" cm="1">
        <f t="array" ref="E727">D727/_xlfn.IFS(B727="MENSUAL",12,B727="TRIMESTRAL",4,B727="SEMESTRAL",2,B727="ANUAL",1)</f>
        <v>28021.74</v>
      </c>
    </row>
    <row r="728" spans="1:5" x14ac:dyDescent="0.2">
      <c r="A728" s="273" t="s">
        <v>215</v>
      </c>
      <c r="B728" s="281" t="s">
        <v>199</v>
      </c>
      <c r="C728" s="282" t="s">
        <v>197</v>
      </c>
      <c r="D728" s="283">
        <v>29824.378394616</v>
      </c>
      <c r="E728" s="230" cm="1">
        <f t="array" ref="E728">D728/_xlfn.IFS(B728="MENSUAL",12,B728="TRIMESTRAL",4,B728="SEMESTRAL",2,B728="ANUAL",1)</f>
        <v>2485.3648662179999</v>
      </c>
    </row>
    <row r="729" spans="1:5" x14ac:dyDescent="0.2">
      <c r="A729" s="273" t="s">
        <v>216</v>
      </c>
      <c r="B729" s="281" t="s">
        <v>198</v>
      </c>
      <c r="C729" s="282" t="s">
        <v>197</v>
      </c>
      <c r="D729" s="283">
        <v>61919.196215010001</v>
      </c>
      <c r="E729" s="230" cm="1">
        <f t="array" ref="E729">D729/_xlfn.IFS(B729="MENSUAL",12,B729="TRIMESTRAL",4,B729="SEMESTRAL",2,B729="ANUAL",1)</f>
        <v>61919.196215010001</v>
      </c>
    </row>
    <row r="730" spans="1:5" x14ac:dyDescent="0.2">
      <c r="A730" s="273" t="s">
        <v>216</v>
      </c>
      <c r="B730" s="281" t="s">
        <v>198</v>
      </c>
      <c r="C730" s="282" t="s">
        <v>194</v>
      </c>
      <c r="D730" s="283">
        <v>50795.32</v>
      </c>
      <c r="E730" s="230" cm="1">
        <f t="array" ref="E730">D730/_xlfn.IFS(B730="MENSUAL",12,B730="TRIMESTRAL",4,B730="SEMESTRAL",2,B730="ANUAL",1)</f>
        <v>50795.32</v>
      </c>
    </row>
    <row r="731" spans="1:5" x14ac:dyDescent="0.2">
      <c r="A731" s="273" t="s">
        <v>217</v>
      </c>
      <c r="B731" s="281" t="s">
        <v>199</v>
      </c>
      <c r="C731" s="282" t="s">
        <v>197</v>
      </c>
      <c r="D731" s="283">
        <v>30675.879921904801</v>
      </c>
      <c r="E731" s="230" cm="1">
        <f t="array" ref="E731">D731/_xlfn.IFS(B731="MENSUAL",12,B731="TRIMESTRAL",4,B731="SEMESTRAL",2,B731="ANUAL",1)</f>
        <v>2556.3233268254003</v>
      </c>
    </row>
    <row r="732" spans="1:5" x14ac:dyDescent="0.2">
      <c r="A732" s="273" t="s">
        <v>218</v>
      </c>
      <c r="B732" s="281" t="s">
        <v>199</v>
      </c>
      <c r="C732" s="282" t="s">
        <v>197</v>
      </c>
      <c r="D732" s="283">
        <v>21547.55658348</v>
      </c>
      <c r="E732" s="230" cm="1">
        <f t="array" ref="E732">D732/_xlfn.IFS(B732="MENSUAL",12,B732="TRIMESTRAL",4,B732="SEMESTRAL",2,B732="ANUAL",1)</f>
        <v>1795.6297152899999</v>
      </c>
    </row>
    <row r="733" spans="1:5" x14ac:dyDescent="0.2">
      <c r="A733" s="273" t="s">
        <v>219</v>
      </c>
      <c r="B733" s="281" t="s">
        <v>198</v>
      </c>
      <c r="C733" s="282" t="s">
        <v>194</v>
      </c>
      <c r="D733" s="283">
        <v>34775.11</v>
      </c>
      <c r="E733" s="230" cm="1">
        <f t="array" ref="E733">D733/_xlfn.IFS(B733="MENSUAL",12,B733="TRIMESTRAL",4,B733="SEMESTRAL",2,B733="ANUAL",1)</f>
        <v>34775.11</v>
      </c>
    </row>
    <row r="734" spans="1:5" x14ac:dyDescent="0.2">
      <c r="A734" s="273" t="s">
        <v>219</v>
      </c>
      <c r="B734" s="281" t="s">
        <v>199</v>
      </c>
      <c r="C734" s="282" t="s">
        <v>194</v>
      </c>
      <c r="D734" s="283">
        <v>21936.12</v>
      </c>
      <c r="E734" s="230" cm="1">
        <f t="array" ref="E734">D734/_xlfn.IFS(B734="MENSUAL",12,B734="TRIMESTRAL",4,B734="SEMESTRAL",2,B734="ANUAL",1)</f>
        <v>1828.01</v>
      </c>
    </row>
    <row r="735" spans="1:5" x14ac:dyDescent="0.2">
      <c r="A735" s="273" t="s">
        <v>220</v>
      </c>
      <c r="B735" s="281" t="s">
        <v>199</v>
      </c>
      <c r="C735" s="282" t="s">
        <v>197</v>
      </c>
      <c r="D735" s="283">
        <v>32271.396796183202</v>
      </c>
      <c r="E735" s="230" cm="1">
        <f t="array" ref="E735">D735/_xlfn.IFS(B735="MENSUAL",12,B735="TRIMESTRAL",4,B735="SEMESTRAL",2,B735="ANUAL",1)</f>
        <v>2689.2830663486002</v>
      </c>
    </row>
    <row r="736" spans="1:5" x14ac:dyDescent="0.2">
      <c r="A736" s="273" t="s">
        <v>220</v>
      </c>
      <c r="B736" s="281" t="s">
        <v>198</v>
      </c>
      <c r="C736" s="282" t="s">
        <v>194</v>
      </c>
      <c r="D736" s="283">
        <v>56445.7</v>
      </c>
      <c r="E736" s="230" cm="1">
        <f t="array" ref="E736">D736/_xlfn.IFS(B736="MENSUAL",12,B736="TRIMESTRAL",4,B736="SEMESTRAL",2,B736="ANUAL",1)</f>
        <v>56445.7</v>
      </c>
    </row>
    <row r="737" spans="1:8" x14ac:dyDescent="0.2">
      <c r="A737" s="273" t="s">
        <v>220</v>
      </c>
      <c r="B737" s="281" t="s">
        <v>198</v>
      </c>
      <c r="C737" s="282" t="s">
        <v>197</v>
      </c>
      <c r="D737" s="283">
        <v>27805.860000000004</v>
      </c>
      <c r="E737" s="230" cm="1">
        <f t="array" ref="E737">D737/_xlfn.IFS(B737="MENSUAL",12,B737="TRIMESTRAL",4,B737="SEMESTRAL",2,B737="ANUAL",1)</f>
        <v>27805.860000000004</v>
      </c>
    </row>
    <row r="738" spans="1:8" x14ac:dyDescent="0.2">
      <c r="A738" s="273" t="s">
        <v>220</v>
      </c>
      <c r="B738" s="281" t="s">
        <v>198</v>
      </c>
      <c r="C738" s="282" t="s">
        <v>197</v>
      </c>
      <c r="D738" s="283">
        <v>23845.161624050001</v>
      </c>
      <c r="E738" s="230" cm="1">
        <f t="array" ref="E738">D738/_xlfn.IFS(B738="MENSUAL",12,B738="TRIMESTRAL",4,B738="SEMESTRAL",2,B738="ANUAL",1)</f>
        <v>23845.161624050001</v>
      </c>
    </row>
    <row r="739" spans="1:8" x14ac:dyDescent="0.2">
      <c r="A739" s="273" t="s">
        <v>220</v>
      </c>
      <c r="B739" s="281" t="s">
        <v>199</v>
      </c>
      <c r="C739" s="282" t="s">
        <v>197</v>
      </c>
      <c r="D739" s="283">
        <v>32346.691264752</v>
      </c>
      <c r="E739" s="230" cm="1">
        <f t="array" ref="E739">D739/_xlfn.IFS(B739="MENSUAL",12,B739="TRIMESTRAL",4,B739="SEMESTRAL",2,B739="ANUAL",1)</f>
        <v>2695.5576053959999</v>
      </c>
    </row>
    <row r="740" spans="1:8" x14ac:dyDescent="0.2">
      <c r="A740" s="273" t="s">
        <v>220</v>
      </c>
      <c r="B740" s="281" t="s">
        <v>198</v>
      </c>
      <c r="C740" s="282" t="s">
        <v>197</v>
      </c>
      <c r="D740" s="283">
        <v>76229.796353340003</v>
      </c>
      <c r="E740" s="230" cm="1">
        <f t="array" ref="E740">D740/_xlfn.IFS(B740="MENSUAL",12,B740="TRIMESTRAL",4,B740="SEMESTRAL",2,B740="ANUAL",1)</f>
        <v>76229.796353340003</v>
      </c>
    </row>
    <row r="741" spans="1:8" x14ac:dyDescent="0.2">
      <c r="A741" s="273" t="s">
        <v>186</v>
      </c>
      <c r="B741" s="281" t="s">
        <v>199</v>
      </c>
      <c r="C741" s="282" t="s">
        <v>197</v>
      </c>
      <c r="D741" s="283">
        <v>65152.582709400012</v>
      </c>
      <c r="E741" s="230" cm="1">
        <f t="array" ref="E741">D741/_xlfn.IFS(B741="MENSUAL",12,B741="TRIMESTRAL",4,B741="SEMESTRAL",2,B741="ANUAL",1)</f>
        <v>5429.381892450001</v>
      </c>
    </row>
    <row r="742" spans="1:8" x14ac:dyDescent="0.2">
      <c r="A742" s="273" t="s">
        <v>221</v>
      </c>
      <c r="B742" s="281" t="s">
        <v>193</v>
      </c>
      <c r="C742" s="282" t="s">
        <v>197</v>
      </c>
      <c r="D742" s="283">
        <v>22267.441423199998</v>
      </c>
      <c r="E742" s="230" cm="1">
        <f t="array" ref="E742">D742/_xlfn.IFS(B742="MENSUAL",12,B742="TRIMESTRAL",4,B742="SEMESTRAL",2,B742="ANUAL",1)</f>
        <v>11133.720711599999</v>
      </c>
    </row>
    <row r="743" spans="1:8" x14ac:dyDescent="0.2">
      <c r="A743" s="273" t="s">
        <v>222</v>
      </c>
      <c r="B743" s="281" t="s">
        <v>193</v>
      </c>
      <c r="C743" s="282" t="s">
        <v>197</v>
      </c>
      <c r="D743" s="283">
        <v>31640.810008320001</v>
      </c>
      <c r="E743" s="230" cm="1">
        <f t="array" ref="E743">D743/_xlfn.IFS(B743="MENSUAL",12,B743="TRIMESTRAL",4,B743="SEMESTRAL",2,B743="ANUAL",1)</f>
        <v>15820.40500416</v>
      </c>
    </row>
    <row r="744" spans="1:8" x14ac:dyDescent="0.2">
      <c r="A744" s="266" t="s">
        <v>222</v>
      </c>
      <c r="B744" s="281" t="s">
        <v>199</v>
      </c>
      <c r="C744" s="282" t="s">
        <v>197</v>
      </c>
      <c r="D744" s="283">
        <v>20884.28691336</v>
      </c>
      <c r="E744" s="230" cm="1">
        <f t="array" ref="E744">D744/_xlfn.IFS(B744="MENSUAL",12,B744="TRIMESTRAL",4,B744="SEMESTRAL",2,B744="ANUAL",1)</f>
        <v>1740.35724278</v>
      </c>
    </row>
    <row r="752" spans="1:8" x14ac:dyDescent="0.15">
      <c r="A752" s="320" t="s">
        <v>87</v>
      </c>
      <c r="B752" s="320"/>
      <c r="C752" s="320"/>
      <c r="D752" s="320"/>
      <c r="E752" s="320"/>
      <c r="F752" s="320"/>
      <c r="G752" s="320"/>
      <c r="H752" s="320"/>
    </row>
    <row r="753" spans="1:14" ht="28" x14ac:dyDescent="0.15">
      <c r="A753" s="2" t="s">
        <v>1</v>
      </c>
      <c r="B753" s="3" t="s">
        <v>2</v>
      </c>
      <c r="C753" s="3" t="s">
        <v>3</v>
      </c>
      <c r="D753" s="4" t="s">
        <v>122</v>
      </c>
      <c r="E753" s="5" t="s">
        <v>5</v>
      </c>
      <c r="F753" s="3" t="s">
        <v>123</v>
      </c>
      <c r="G753" s="6" t="s">
        <v>7</v>
      </c>
      <c r="H753" s="112"/>
    </row>
    <row r="754" spans="1:14" ht="13" x14ac:dyDescent="0.15">
      <c r="A754" s="112" t="s">
        <v>10</v>
      </c>
      <c r="B754" s="250">
        <f>SUM(Tabla93617305523576390935466344773[[#This Row],[Vida]],Tabla93617305523576390935466344773[[#This Row],[Gmm]])</f>
        <v>4.5</v>
      </c>
      <c r="C754" s="113">
        <v>4</v>
      </c>
      <c r="D754" s="103">
        <v>41370.92</v>
      </c>
      <c r="E754" s="109">
        <f>_xlfn.XLOOKUP(Tabla93617305523576390935466344773[[#This Row],[Asesor]],Tabla485189[Columna1],Tabla485189[Columna12],0)</f>
        <v>0.5</v>
      </c>
      <c r="F754" s="274">
        <f>_xlfn.XLOOKUP(Tabla93617305523576390935466344773[[#This Row],[Asesor]],Tabla485189[Columna1],Tabla485189[Columna3],0)</f>
        <v>2339.79</v>
      </c>
      <c r="G754" s="254">
        <f>SUM(Tabla93617305523576390935466344773[[#This Row],[Prima Pagada vida]],Tabla93617305523576390935466344773[[#This Row],[Prima Pagada gmm]])</f>
        <v>43710.71</v>
      </c>
      <c r="H754" s="112"/>
      <c r="I754" s="112" t="s">
        <v>177</v>
      </c>
      <c r="J754" s="112" t="s">
        <v>223</v>
      </c>
      <c r="K754" s="113" t="s">
        <v>178</v>
      </c>
      <c r="L754" s="103" t="s">
        <v>179</v>
      </c>
      <c r="N754" s="1" t="s">
        <v>56</v>
      </c>
    </row>
    <row r="755" spans="1:14" ht="13" x14ac:dyDescent="0.15">
      <c r="A755" s="112" t="s">
        <v>11</v>
      </c>
      <c r="B755" s="250">
        <f>SUM(Tabla93617305523576390935466344773[[#This Row],[Vida]],Tabla93617305523576390935466344773[[#This Row],[Gmm]])</f>
        <v>2</v>
      </c>
      <c r="C755" s="113">
        <v>2</v>
      </c>
      <c r="D755" s="103">
        <v>24572.42</v>
      </c>
      <c r="E755" s="109">
        <f>_xlfn.XLOOKUP(Tabla93617305523576390935466344773[[#This Row],[Asesor]],Tabla485189[Columna1],Tabla485189[Columna12],0)</f>
        <v>0</v>
      </c>
      <c r="F755" s="274">
        <f>_xlfn.XLOOKUP(Tabla93617305523576390935466344773[[#This Row],[Asesor]],Tabla485189[Columna1],Tabla485189[Columna3],0)</f>
        <v>0</v>
      </c>
      <c r="G755" s="254">
        <f>SUM(Tabla93617305523576390935466344773[[#This Row],[Prima Pagada vida]],Tabla93617305523576390935466344773[[#This Row],[Prima Pagada gmm]])</f>
        <v>24572.42</v>
      </c>
      <c r="H755" s="112"/>
      <c r="I755" s="112" t="s">
        <v>96</v>
      </c>
      <c r="J755" s="112">
        <f>Tabla485189[[#This Row],[Columna2]]/2</f>
        <v>1.5</v>
      </c>
      <c r="K755" s="113">
        <v>3</v>
      </c>
      <c r="L755" s="103">
        <v>70335.92</v>
      </c>
      <c r="N755" s="106" t="s">
        <v>132</v>
      </c>
    </row>
    <row r="756" spans="1:14" ht="13" x14ac:dyDescent="0.15">
      <c r="A756" s="112" t="s">
        <v>85</v>
      </c>
      <c r="B756" s="250">
        <f>SUM(Tabla93617305523576390935466344773[[#This Row],[Vida]],Tabla93617305523576390935466344773[[#This Row],[Gmm]])</f>
        <v>1.5</v>
      </c>
      <c r="C756" s="113">
        <v>1</v>
      </c>
      <c r="D756" s="103">
        <v>5250.63</v>
      </c>
      <c r="E756" s="109">
        <f>_xlfn.XLOOKUP(Tabla93617305523576390935466344773[[#This Row],[Asesor]],Tabla485189[Columna1],Tabla485189[Columna12],0)</f>
        <v>0.5</v>
      </c>
      <c r="F756" s="274">
        <f>_xlfn.XLOOKUP(Tabla93617305523576390935466344773[[#This Row],[Asesor]],Tabla485189[Columna1],Tabla485189[Columna3],0)</f>
        <v>2724.89</v>
      </c>
      <c r="G756" s="254">
        <f>SUM(Tabla93617305523576390935466344773[[#This Row],[Prima Pagada vida]],Tabla93617305523576390935466344773[[#This Row],[Prima Pagada gmm]])</f>
        <v>7975.52</v>
      </c>
      <c r="H756" s="112"/>
      <c r="I756" s="112" t="s">
        <v>14</v>
      </c>
      <c r="J756" s="112">
        <f>Tabla485189[[#This Row],[Columna2]]/2</f>
        <v>0.5</v>
      </c>
      <c r="K756" s="113">
        <v>1</v>
      </c>
      <c r="L756" s="103">
        <v>56328.79</v>
      </c>
      <c r="N756" s="106" t="s">
        <v>134</v>
      </c>
    </row>
    <row r="757" spans="1:14" ht="13" x14ac:dyDescent="0.15">
      <c r="A757" s="112" t="s">
        <v>76</v>
      </c>
      <c r="B757" s="250">
        <f>SUM(Tabla93617305523576390935466344773[[#This Row],[Vida]],Tabla93617305523576390935466344773[[#This Row],[Gmm]])</f>
        <v>0</v>
      </c>
      <c r="C757" s="113">
        <v>0</v>
      </c>
      <c r="D757" s="103">
        <v>0</v>
      </c>
      <c r="E757" s="109">
        <f>_xlfn.XLOOKUP(Tabla93617305523576390935466344773[[#This Row],[Asesor]],Tabla485189[Columna1],Tabla485189[Columna12],0)</f>
        <v>0</v>
      </c>
      <c r="F757" s="274">
        <f>_xlfn.XLOOKUP(Tabla93617305523576390935466344773[[#This Row],[Asesor]],Tabla485189[Columna1],Tabla485189[Columna3],0)</f>
        <v>0</v>
      </c>
      <c r="G757" s="254">
        <f>SUM(Tabla93617305523576390935466344773[[#This Row],[Prima Pagada vida]],Tabla93617305523576390935466344773[[#This Row],[Prima Pagada gmm]])</f>
        <v>0</v>
      </c>
      <c r="H757" s="112"/>
      <c r="I757" s="112" t="s">
        <v>13</v>
      </c>
      <c r="J757" s="112">
        <f>Tabla485189[[#This Row],[Columna2]]/2</f>
        <v>0.5</v>
      </c>
      <c r="K757" s="113">
        <v>1</v>
      </c>
      <c r="L757" s="103">
        <v>14673.25</v>
      </c>
      <c r="N757" s="106" t="s">
        <v>136</v>
      </c>
    </row>
    <row r="758" spans="1:14" ht="13" x14ac:dyDescent="0.15">
      <c r="A758" s="112" t="s">
        <v>13</v>
      </c>
      <c r="B758" s="250">
        <f>SUM(Tabla93617305523576390935466344773[[#This Row],[Vida]],Tabla93617305523576390935466344773[[#This Row],[Gmm]])</f>
        <v>2.5</v>
      </c>
      <c r="C758" s="113">
        <v>2</v>
      </c>
      <c r="D758" s="103">
        <v>32273.98</v>
      </c>
      <c r="E758" s="109">
        <f>_xlfn.XLOOKUP(Tabla93617305523576390935466344773[[#This Row],[Asesor]],Tabla485189[Columna1],Tabla485189[Columna12],0)</f>
        <v>0.5</v>
      </c>
      <c r="F758" s="274">
        <f>_xlfn.XLOOKUP(Tabla93617305523576390935466344773[[#This Row],[Asesor]],Tabla485189[Columna1],Tabla485189[Columna3],0)</f>
        <v>14673.25</v>
      </c>
      <c r="G758" s="254">
        <f>SUM(Tabla93617305523576390935466344773[[#This Row],[Prima Pagada vida]],Tabla93617305523576390935466344773[[#This Row],[Prima Pagada gmm]])</f>
        <v>46947.229999999996</v>
      </c>
      <c r="H758" s="112"/>
      <c r="I758" s="112" t="s">
        <v>46</v>
      </c>
      <c r="J758" s="112">
        <f>Tabla485189[[#This Row],[Columna2]]/2</f>
        <v>0.5</v>
      </c>
      <c r="K758" s="113">
        <v>1</v>
      </c>
      <c r="L758" s="103">
        <v>19825.63</v>
      </c>
      <c r="N758" s="106" t="s">
        <v>137</v>
      </c>
    </row>
    <row r="759" spans="1:14" ht="13" x14ac:dyDescent="0.15">
      <c r="A759" s="112" t="s">
        <v>12</v>
      </c>
      <c r="B759" s="250">
        <f>SUM(Tabla93617305523576390935466344773[[#This Row],[Vida]],Tabla93617305523576390935466344773[[#This Row],[Gmm]])</f>
        <v>1</v>
      </c>
      <c r="C759" s="113">
        <v>1</v>
      </c>
      <c r="D759" s="103">
        <v>1603.01</v>
      </c>
      <c r="E759" s="109">
        <f>_xlfn.XLOOKUP(Tabla93617305523576390935466344773[[#This Row],[Asesor]],Tabla485189[Columna1],Tabla485189[Columna12],0)</f>
        <v>0</v>
      </c>
      <c r="F759" s="274">
        <f>_xlfn.XLOOKUP(Tabla93617305523576390935466344773[[#This Row],[Asesor]],Tabla485189[Columna1],Tabla485189[Columna3],0)</f>
        <v>0</v>
      </c>
      <c r="G759" s="254">
        <f>SUM(Tabla93617305523576390935466344773[[#This Row],[Prima Pagada vida]],Tabla93617305523576390935466344773[[#This Row],[Prima Pagada gmm]])</f>
        <v>1603.01</v>
      </c>
      <c r="H759" s="112"/>
      <c r="I759" s="112" t="s">
        <v>12</v>
      </c>
      <c r="J759" s="112">
        <f>Tabla485189[[#This Row],[Columna2]]/2</f>
        <v>0</v>
      </c>
      <c r="K759" s="113">
        <v>0</v>
      </c>
      <c r="L759" s="103">
        <v>0</v>
      </c>
      <c r="N759" s="106" t="s">
        <v>138</v>
      </c>
    </row>
    <row r="760" spans="1:14" ht="13" x14ac:dyDescent="0.15">
      <c r="A760" s="112" t="s">
        <v>186</v>
      </c>
      <c r="B760" s="250">
        <f>SUM(Tabla93617305523576390935466344773[[#This Row],[Vida]],Tabla93617305523576390935466344773[[#This Row],[Gmm]])</f>
        <v>1</v>
      </c>
      <c r="C760" s="113">
        <v>1</v>
      </c>
      <c r="D760" s="103">
        <v>1645.53</v>
      </c>
      <c r="E760" s="109">
        <f>_xlfn.XLOOKUP(Tabla93617305523576390935466344773[[#This Row],[Asesor]],Tabla485189[Columna1],Tabla485189[Columna12],0)</f>
        <v>0</v>
      </c>
      <c r="F760" s="274">
        <f>_xlfn.XLOOKUP(Tabla93617305523576390935466344773[[#This Row],[Asesor]],Tabla485189[Columna1],Tabla485189[Columna3],0)</f>
        <v>0</v>
      </c>
      <c r="G760" s="254">
        <f>SUM(Tabla93617305523576390935466344773[[#This Row],[Prima Pagada vida]],Tabla93617305523576390935466344773[[#This Row],[Prima Pagada gmm]])</f>
        <v>1645.53</v>
      </c>
      <c r="H760" s="112"/>
      <c r="I760" s="112" t="s">
        <v>49</v>
      </c>
      <c r="J760" s="112">
        <f>Tabla485189[[#This Row],[Columna2]]/2</f>
        <v>0.5</v>
      </c>
      <c r="K760" s="113">
        <v>1</v>
      </c>
      <c r="L760" s="103">
        <v>6304.46</v>
      </c>
      <c r="N760" s="106" t="s">
        <v>140</v>
      </c>
    </row>
    <row r="761" spans="1:14" ht="13" x14ac:dyDescent="0.15">
      <c r="A761" s="112" t="s">
        <v>224</v>
      </c>
      <c r="B761" s="250">
        <f>SUM(Tabla93617305523576390935466344773[[#This Row],[Vida]],Tabla93617305523576390935466344773[[#This Row],[Gmm]])</f>
        <v>3</v>
      </c>
      <c r="C761" s="113">
        <v>3</v>
      </c>
      <c r="D761" s="103">
        <v>4872.9399999999996</v>
      </c>
      <c r="E761" s="109">
        <f>_xlfn.XLOOKUP(Tabla93617305523576390935466344773[[#This Row],[Asesor]],Tabla485189[Columna1],Tabla485189[Columna12],0)</f>
        <v>0</v>
      </c>
      <c r="F761" s="274">
        <f>_xlfn.XLOOKUP(Tabla93617305523576390935466344773[[#This Row],[Asesor]],Tabla485189[Columna1],Tabla485189[Columna3],0)</f>
        <v>0</v>
      </c>
      <c r="G761" s="254">
        <f>SUM(Tabla93617305523576390935466344773[[#This Row],[Prima Pagada vida]],Tabla93617305523576390935466344773[[#This Row],[Prima Pagada gmm]])</f>
        <v>4872.9399999999996</v>
      </c>
      <c r="H761" s="112"/>
      <c r="I761" s="112" t="s">
        <v>32</v>
      </c>
      <c r="J761" s="112">
        <f>Tabla485189[[#This Row],[Columna2]]/2</f>
        <v>0</v>
      </c>
      <c r="K761" s="113">
        <v>0</v>
      </c>
      <c r="L761" s="103">
        <v>0</v>
      </c>
      <c r="N761" s="106" t="s">
        <v>141</v>
      </c>
    </row>
    <row r="762" spans="1:14" ht="13" x14ac:dyDescent="0.15">
      <c r="A762" s="112" t="s">
        <v>35</v>
      </c>
      <c r="B762" s="250">
        <f>SUM(Tabla93617305523576390935466344773[[#This Row],[Vida]],Tabla93617305523576390935466344773[[#This Row],[Gmm]])</f>
        <v>2</v>
      </c>
      <c r="C762" s="113">
        <v>2</v>
      </c>
      <c r="D762" s="103">
        <v>36647.08</v>
      </c>
      <c r="E762" s="109">
        <f>_xlfn.XLOOKUP(Tabla93617305523576390935466344773[[#This Row],[Asesor]],Tabla485189[Columna1],Tabla485189[Columna12],0)</f>
        <v>0</v>
      </c>
      <c r="F762" s="274">
        <f>_xlfn.XLOOKUP(Tabla93617305523576390935466344773[[#This Row],[Asesor]],Tabla485189[Columna1],Tabla485189[Columna3],0)</f>
        <v>0</v>
      </c>
      <c r="G762" s="254">
        <f>SUM(Tabla93617305523576390935466344773[[#This Row],[Prima Pagada vida]],Tabla93617305523576390935466344773[[#This Row],[Prima Pagada gmm]])</f>
        <v>36647.08</v>
      </c>
      <c r="H762" s="112"/>
      <c r="I762" s="112" t="s">
        <v>76</v>
      </c>
      <c r="J762" s="112">
        <f>Tabla485189[[#This Row],[Columna2]]/2</f>
        <v>0</v>
      </c>
      <c r="K762" s="113">
        <v>0</v>
      </c>
      <c r="L762" s="103">
        <v>0</v>
      </c>
      <c r="N762" s="265" t="s">
        <v>143</v>
      </c>
    </row>
    <row r="763" spans="1:14" ht="13" x14ac:dyDescent="0.15">
      <c r="A763" s="112" t="s">
        <v>110</v>
      </c>
      <c r="B763" s="250">
        <f>SUM(Tabla93617305523576390935466344773[[#This Row],[Vida]],Tabla93617305523576390935466344773[[#This Row],[Gmm]])</f>
        <v>1</v>
      </c>
      <c r="C763" s="113">
        <v>1</v>
      </c>
      <c r="D763" s="103">
        <v>30547.31</v>
      </c>
      <c r="E763" s="109">
        <f>_xlfn.XLOOKUP(Tabla93617305523576390935466344773[[#This Row],[Asesor]],Tabla485189[Columna1],Tabla485189[Columna12],0)</f>
        <v>0</v>
      </c>
      <c r="F763" s="274">
        <f>_xlfn.XLOOKUP(Tabla93617305523576390935466344773[[#This Row],[Asesor]],Tabla485189[Columna1],Tabla485189[Columna3],0)</f>
        <v>0</v>
      </c>
      <c r="G763" s="254">
        <f>SUM(Tabla93617305523576390935466344773[[#This Row],[Prima Pagada vida]],Tabla93617305523576390935466344773[[#This Row],[Prima Pagada gmm]])</f>
        <v>30547.31</v>
      </c>
      <c r="H763" s="112"/>
      <c r="I763" s="112" t="s">
        <v>22</v>
      </c>
      <c r="J763" s="112">
        <f>Tabla485189[[#This Row],[Columna2]]/2</f>
        <v>0</v>
      </c>
      <c r="K763" s="113">
        <v>0</v>
      </c>
      <c r="L763" s="103">
        <v>0</v>
      </c>
    </row>
    <row r="764" spans="1:14" x14ac:dyDescent="0.15">
      <c r="A764" s="112" t="s">
        <v>96</v>
      </c>
      <c r="B764" s="250">
        <f>SUM(Tabla93617305523576390935466344773[[#This Row],[Vida]],Tabla93617305523576390935466344773[[#This Row],[Gmm]])</f>
        <v>4.5</v>
      </c>
      <c r="C764" s="113">
        <v>3</v>
      </c>
      <c r="D764" s="103">
        <v>7065.59</v>
      </c>
      <c r="E764" s="109">
        <f>_xlfn.XLOOKUP(Tabla93617305523576390935466344773[[#This Row],[Asesor]],Tabla485189[Columna1],Tabla485189[Columna12],0)</f>
        <v>1.5</v>
      </c>
      <c r="F764" s="274">
        <f>_xlfn.XLOOKUP(Tabla93617305523576390935466344773[[#This Row],[Asesor]],Tabla485189[Columna1],Tabla485189[Columna3],0)</f>
        <v>70335.92</v>
      </c>
      <c r="G764" s="279">
        <f>SUM(Tabla93617305523576390935466344773[[#This Row],[Prima Pagada vida]],Tabla93617305523576390935466344773[[#This Row],[Prima Pagada gmm]])</f>
        <v>77401.509999999995</v>
      </c>
      <c r="H764" s="112"/>
      <c r="I764" s="112" t="s">
        <v>26</v>
      </c>
      <c r="J764" s="112">
        <f>Tabla485189[[#This Row],[Columna2]]/2</f>
        <v>0</v>
      </c>
      <c r="K764" s="113">
        <v>0</v>
      </c>
      <c r="L764" s="103">
        <v>0</v>
      </c>
    </row>
    <row r="765" spans="1:14" ht="13" x14ac:dyDescent="0.15">
      <c r="A765" s="112" t="s">
        <v>27</v>
      </c>
      <c r="B765" s="250">
        <f>SUM(Tabla93617305523576390935466344773[[#This Row],[Vida]],Tabla93617305523576390935466344773[[#This Row],[Gmm]])</f>
        <v>1</v>
      </c>
      <c r="C765" s="113">
        <v>1</v>
      </c>
      <c r="D765" s="103">
        <v>1633.77</v>
      </c>
      <c r="E765" s="109">
        <f>_xlfn.XLOOKUP(Tabla93617305523576390935466344773[[#This Row],[Asesor]],Tabla485189[Columna1],Tabla485189[Columna12],0)</f>
        <v>0</v>
      </c>
      <c r="F765" s="274">
        <f>_xlfn.XLOOKUP(Tabla93617305523576390935466344773[[#This Row],[Asesor]],Tabla485189[Columna1],Tabla485189[Columna3],0)</f>
        <v>0</v>
      </c>
      <c r="G765" s="254">
        <f>SUM(Tabla93617305523576390935466344773[[#This Row],[Prima Pagada vida]],Tabla93617305523576390935466344773[[#This Row],[Prima Pagada gmm]])</f>
        <v>1633.77</v>
      </c>
      <c r="H765" s="112"/>
      <c r="I765" s="112" t="s">
        <v>116</v>
      </c>
      <c r="J765" s="112">
        <f>Tabla485189[[#This Row],[Columna2]]/2</f>
        <v>0</v>
      </c>
      <c r="K765" s="113">
        <v>0</v>
      </c>
      <c r="L765" s="103">
        <v>0</v>
      </c>
    </row>
    <row r="766" spans="1:14" ht="13" x14ac:dyDescent="0.15">
      <c r="A766" s="112" t="s">
        <v>130</v>
      </c>
      <c r="B766" s="250">
        <f>SUM(Tabla93617305523576390935466344773[[#This Row],[Vida]],Tabla93617305523576390935466344773[[#This Row],[Gmm]])</f>
        <v>2</v>
      </c>
      <c r="C766" s="113">
        <v>2</v>
      </c>
      <c r="D766" s="103">
        <v>29345.32</v>
      </c>
      <c r="E766" s="109">
        <f>_xlfn.XLOOKUP(Tabla93617305523576390935466344773[[#This Row],[Asesor]],Tabla485189[Columna1],Tabla485189[Columna12],0)</f>
        <v>0</v>
      </c>
      <c r="F766" s="274">
        <f>_xlfn.XLOOKUP(Tabla93617305523576390935466344773[[#This Row],[Asesor]],Tabla485189[Columna1],Tabla485189[Columna3],0)</f>
        <v>0</v>
      </c>
      <c r="G766" s="254">
        <f>SUM(Tabla93617305523576390935466344773[[#This Row],[Prima Pagada vida]],Tabla93617305523576390935466344773[[#This Row],[Prima Pagada gmm]])</f>
        <v>29345.32</v>
      </c>
      <c r="H766" s="112"/>
      <c r="I766" s="112" t="s">
        <v>110</v>
      </c>
      <c r="J766" s="112">
        <f>Tabla485189[[#This Row],[Columna2]]/2</f>
        <v>0</v>
      </c>
      <c r="K766" s="113">
        <v>0</v>
      </c>
      <c r="L766" s="103">
        <v>0</v>
      </c>
    </row>
    <row r="767" spans="1:14" ht="13" x14ac:dyDescent="0.15">
      <c r="A767" s="112" t="s">
        <v>32</v>
      </c>
      <c r="B767" s="250">
        <f>SUM(Tabla93617305523576390935466344773[[#This Row],[Vida]],Tabla93617305523576390935466344773[[#This Row],[Gmm]])</f>
        <v>1</v>
      </c>
      <c r="C767" s="113">
        <v>1</v>
      </c>
      <c r="D767" s="103">
        <v>-9562.1200000000008</v>
      </c>
      <c r="E767" s="109">
        <f>_xlfn.XLOOKUP(Tabla93617305523576390935466344773[[#This Row],[Asesor]],Tabla485189[Columna1],Tabla485189[Columna12],0)</f>
        <v>0</v>
      </c>
      <c r="F767" s="274">
        <f>_xlfn.XLOOKUP(Tabla93617305523576390935466344773[[#This Row],[Asesor]],Tabla485189[Columna1],Tabla485189[Columna3],0)</f>
        <v>0</v>
      </c>
      <c r="G767" s="254">
        <f>SUM(Tabla93617305523576390935466344773[[#This Row],[Prima Pagada vida]],Tabla93617305523576390935466344773[[#This Row],[Prima Pagada gmm]])</f>
        <v>-9562.1200000000008</v>
      </c>
      <c r="H767" s="112"/>
      <c r="I767" s="112" t="s">
        <v>47</v>
      </c>
      <c r="J767" s="112">
        <f>Tabla485189[[#This Row],[Columna2]]/2</f>
        <v>0</v>
      </c>
      <c r="K767" s="113">
        <v>0</v>
      </c>
      <c r="L767" s="103">
        <v>0</v>
      </c>
    </row>
    <row r="768" spans="1:14" ht="13" x14ac:dyDescent="0.15">
      <c r="A768" s="112" t="s">
        <v>30</v>
      </c>
      <c r="B768" s="250">
        <f>SUM(Tabla93617305523576390935466344773[[#This Row],[Vida]],Tabla93617305523576390935466344773[[#This Row],[Gmm]])</f>
        <v>1</v>
      </c>
      <c r="C768" s="113">
        <v>1</v>
      </c>
      <c r="D768" s="103">
        <v>22710.080000000002</v>
      </c>
      <c r="E768" s="109">
        <f>_xlfn.XLOOKUP(Tabla93617305523576390935466344773[[#This Row],[Asesor]],Tabla485189[Columna1],Tabla485189[Columna12],0)</f>
        <v>0</v>
      </c>
      <c r="F768" s="274">
        <f>_xlfn.XLOOKUP(Tabla93617305523576390935466344773[[#This Row],[Asesor]],Tabla485189[Columna1],Tabla485189[Columna3],0)</f>
        <v>0</v>
      </c>
      <c r="G768" s="254">
        <f>SUM(Tabla93617305523576390935466344773[[#This Row],[Prima Pagada vida]],Tabla93617305523576390935466344773[[#This Row],[Prima Pagada gmm]])</f>
        <v>22710.080000000002</v>
      </c>
      <c r="H768" s="112"/>
      <c r="I768" s="112" t="s">
        <v>85</v>
      </c>
      <c r="J768" s="112">
        <f>Tabla485189[[#This Row],[Columna2]]/2</f>
        <v>0.5</v>
      </c>
      <c r="K768" s="113">
        <v>1</v>
      </c>
      <c r="L768" s="103">
        <v>2724.89</v>
      </c>
    </row>
    <row r="769" spans="1:13" ht="13" x14ac:dyDescent="0.15">
      <c r="A769" s="112" t="s">
        <v>97</v>
      </c>
      <c r="B769" s="250">
        <f>SUM(Tabla93617305523576390935466344773[[#This Row],[Vida]],Tabla93617305523576390935466344773[[#This Row],[Gmm]])</f>
        <v>1</v>
      </c>
      <c r="C769" s="113">
        <v>1</v>
      </c>
      <c r="D769" s="103">
        <v>2456.67</v>
      </c>
      <c r="E769" s="109">
        <f>_xlfn.XLOOKUP(Tabla93617305523576390935466344773[[#This Row],[Asesor]],Tabla485189[Columna1],Tabla485189[Columna12],0)</f>
        <v>0</v>
      </c>
      <c r="F769" s="274">
        <f>_xlfn.XLOOKUP(Tabla93617305523576390935466344773[[#This Row],[Asesor]],Tabla485189[Columna1],Tabla485189[Columna3],0)</f>
        <v>0</v>
      </c>
      <c r="G769" s="254">
        <f>SUM(Tabla93617305523576390935466344773[[#This Row],[Prima Pagada vida]],Tabla93617305523576390935466344773[[#This Row],[Prima Pagada gmm]])</f>
        <v>2456.67</v>
      </c>
      <c r="H769" s="112"/>
      <c r="I769" s="112" t="s">
        <v>10</v>
      </c>
      <c r="J769" s="112">
        <f>Tabla485189[[#This Row],[Columna2]]/2</f>
        <v>0.5</v>
      </c>
      <c r="K769" s="113">
        <v>1</v>
      </c>
      <c r="L769" s="103">
        <v>2339.79</v>
      </c>
    </row>
    <row r="770" spans="1:13" ht="13" x14ac:dyDescent="0.15">
      <c r="A770" s="112" t="s">
        <v>47</v>
      </c>
      <c r="B770" s="250">
        <f>SUM(Tabla93617305523576390935466344773[[#This Row],[Vida]],Tabla93617305523576390935466344773[[#This Row],[Gmm]])</f>
        <v>2</v>
      </c>
      <c r="C770" s="113">
        <v>2</v>
      </c>
      <c r="D770" s="103">
        <v>2990.53</v>
      </c>
      <c r="E770" s="109">
        <f>_xlfn.XLOOKUP(Tabla93617305523576390935466344773[[#This Row],[Asesor]],Tabla485189[Columna1],Tabla485189[Columna12],0)</f>
        <v>0</v>
      </c>
      <c r="F770" s="274">
        <f>_xlfn.XLOOKUP(Tabla93617305523576390935466344773[[#This Row],[Asesor]],Tabla485189[Columna1],Tabla485189[Columna3],0)</f>
        <v>0</v>
      </c>
      <c r="G770" s="254">
        <f>SUM(Tabla93617305523576390935466344773[[#This Row],[Prima Pagada vida]],Tabla93617305523576390935466344773[[#This Row],[Prima Pagada gmm]])</f>
        <v>2990.53</v>
      </c>
      <c r="H770" s="112"/>
      <c r="I770" s="112" t="s">
        <v>78</v>
      </c>
      <c r="J770" s="112">
        <f>Tabla485189[[#This Row],[Columna2]]/2</f>
        <v>0</v>
      </c>
      <c r="K770" s="113">
        <v>0</v>
      </c>
      <c r="L770" s="103">
        <v>0</v>
      </c>
    </row>
    <row r="771" spans="1:13" x14ac:dyDescent="0.15">
      <c r="A771" s="112" t="s">
        <v>14</v>
      </c>
      <c r="B771" s="250">
        <f>SUM(Tabla93617305523576390935466344773[[#This Row],[Vida]],Tabla93617305523576390935466344773[[#This Row],[Gmm]])</f>
        <v>1.5</v>
      </c>
      <c r="C771" s="113">
        <v>1</v>
      </c>
      <c r="D771" s="103">
        <v>1562.88</v>
      </c>
      <c r="E771" s="109">
        <f>_xlfn.XLOOKUP(Tabla93617305523576390935466344773[[#This Row],[Asesor]],Tabla485189[Columna1],Tabla485189[Columna12],0)</f>
        <v>0.5</v>
      </c>
      <c r="F771" s="274">
        <f>_xlfn.XLOOKUP(Tabla93617305523576390935466344773[[#This Row],[Asesor]],Tabla485189[Columna1],Tabla485189[Columna3],0)</f>
        <v>56328.79</v>
      </c>
      <c r="G771" s="279">
        <f>SUM(Tabla93617305523576390935466344773[[#This Row],[Prima Pagada vida]],Tabla93617305523576390935466344773[[#This Row],[Prima Pagada gmm]])</f>
        <v>57891.67</v>
      </c>
      <c r="H771" s="112"/>
      <c r="I771" s="112" t="s">
        <v>20</v>
      </c>
      <c r="J771" s="112">
        <f>Tabla485189[[#This Row],[Columna2]]/2</f>
        <v>0</v>
      </c>
      <c r="K771" s="113">
        <v>0</v>
      </c>
      <c r="L771" s="103">
        <v>0</v>
      </c>
    </row>
    <row r="772" spans="1:13" ht="13" x14ac:dyDescent="0.15">
      <c r="A772" s="112" t="s">
        <v>170</v>
      </c>
      <c r="B772" s="250">
        <f>SUM(Tabla93617305523576390935466344773[[#This Row],[Vida]],Tabla93617305523576390935466344773[[#This Row],[Gmm]])</f>
        <v>2</v>
      </c>
      <c r="C772" s="113">
        <v>2</v>
      </c>
      <c r="D772" s="103">
        <v>20920.490000000002</v>
      </c>
      <c r="E772" s="109">
        <f>_xlfn.XLOOKUP(Tabla93617305523576390935466344773[[#This Row],[Asesor]],Tabla485189[Columna1],Tabla485189[Columna12],0)</f>
        <v>0</v>
      </c>
      <c r="F772" s="274">
        <f>_xlfn.XLOOKUP(Tabla93617305523576390935466344773[[#This Row],[Asesor]],Tabla485189[Columna1],Tabla485189[Columna3],0)</f>
        <v>0</v>
      </c>
      <c r="G772" s="254">
        <f>SUM(Tabla93617305523576390935466344773[[#This Row],[Prima Pagada vida]],Tabla93617305523576390935466344773[[#This Row],[Prima Pagada gmm]])</f>
        <v>20920.490000000002</v>
      </c>
      <c r="H772" s="112"/>
      <c r="I772" s="112" t="s">
        <v>43</v>
      </c>
      <c r="J772" s="112">
        <f>Tabla485189[[#This Row],[Columna2]]/2</f>
        <v>0</v>
      </c>
      <c r="K772" s="113">
        <v>0</v>
      </c>
      <c r="L772" s="103">
        <v>0</v>
      </c>
    </row>
    <row r="773" spans="1:13" ht="13" x14ac:dyDescent="0.15">
      <c r="A773" s="112" t="s">
        <v>20</v>
      </c>
      <c r="B773" s="250">
        <f>SUM(Tabla93617305523576390935466344773[[#This Row],[Vida]],Tabla93617305523576390935466344773[[#This Row],[Gmm]])</f>
        <v>0</v>
      </c>
      <c r="C773" s="113">
        <v>0</v>
      </c>
      <c r="D773" s="103">
        <v>0</v>
      </c>
      <c r="E773" s="109">
        <f>_xlfn.XLOOKUP(Tabla93617305523576390935466344773[[#This Row],[Asesor]],Tabla485189[Columna1],Tabla485189[Columna12],0)</f>
        <v>0</v>
      </c>
      <c r="F773" s="274">
        <f>_xlfn.XLOOKUP(Tabla93617305523576390935466344773[[#This Row],[Asesor]],Tabla485189[Columna1],Tabla485189[Columna3],0)</f>
        <v>0</v>
      </c>
      <c r="G773" s="254">
        <f>SUM(Tabla93617305523576390935466344773[[#This Row],[Prima Pagada vida]],Tabla93617305523576390935466344773[[#This Row],[Prima Pagada gmm]])</f>
        <v>0</v>
      </c>
      <c r="H773" s="112"/>
      <c r="I773" s="112" t="s">
        <v>29</v>
      </c>
      <c r="J773" s="112">
        <f>Tabla485189[[#This Row],[Columna2]]/2</f>
        <v>0</v>
      </c>
      <c r="K773" s="113">
        <v>0</v>
      </c>
      <c r="L773" s="103">
        <v>0</v>
      </c>
    </row>
    <row r="774" spans="1:13" ht="13" x14ac:dyDescent="0.15">
      <c r="A774" s="112" t="s">
        <v>225</v>
      </c>
      <c r="B774" s="250">
        <f>SUM(Tabla93617305523576390935466344773[[#This Row],[Vida]],Tabla93617305523576390935466344773[[#This Row],[Gmm]])</f>
        <v>1</v>
      </c>
      <c r="C774" s="113">
        <v>1</v>
      </c>
      <c r="D774" s="103">
        <v>19025.79</v>
      </c>
      <c r="E774" s="109">
        <f>_xlfn.XLOOKUP(Tabla93617305523576390935466344773[[#This Row],[Asesor]],Tabla485189[Columna1],Tabla485189[Columna12],0)</f>
        <v>0</v>
      </c>
      <c r="F774" s="274">
        <f>_xlfn.XLOOKUP(Tabla93617305523576390935466344773[[#This Row],[Asesor]],Tabla485189[Columna1],Tabla485189[Columna3],0)</f>
        <v>0</v>
      </c>
      <c r="G774" s="254">
        <f>SUM(Tabla93617305523576390935466344773[[#This Row],[Prima Pagada vida]],Tabla93617305523576390935466344773[[#This Row],[Prima Pagada gmm]])</f>
        <v>19025.79</v>
      </c>
      <c r="H774" s="112"/>
      <c r="I774" s="112" t="s">
        <v>37</v>
      </c>
      <c r="J774" s="112">
        <f>Tabla485189[[#This Row],[Columna2]]/2</f>
        <v>0</v>
      </c>
      <c r="K774" s="113">
        <v>0</v>
      </c>
      <c r="L774" s="103">
        <v>0</v>
      </c>
    </row>
    <row r="775" spans="1:13" ht="13" x14ac:dyDescent="0.15">
      <c r="A775" s="112" t="s">
        <v>48</v>
      </c>
      <c r="B775" s="250">
        <f>SUM(Tabla93617305523576390935466344773[[#This Row],[Vida]],Tabla93617305523576390935466344773[[#This Row],[Gmm]])</f>
        <v>0</v>
      </c>
      <c r="C775" s="113">
        <v>0</v>
      </c>
      <c r="D775" s="103">
        <v>0</v>
      </c>
      <c r="E775" s="109">
        <f>_xlfn.XLOOKUP(Tabla93617305523576390935466344773[[#This Row],[Asesor]],Tabla485189[Columna1],Tabla485189[Columna12],0)</f>
        <v>0</v>
      </c>
      <c r="F775" s="274">
        <f>_xlfn.XLOOKUP(Tabla93617305523576390935466344773[[#This Row],[Asesor]],Tabla485189[Columna1],Tabla485189[Columna3],0)</f>
        <v>0</v>
      </c>
      <c r="G775" s="254">
        <f>SUM(Tabla93617305523576390935466344773[[#This Row],[Prima Pagada vida]],Tabla93617305523576390935466344773[[#This Row],[Prima Pagada gmm]])</f>
        <v>0</v>
      </c>
      <c r="I775" s="112" t="s">
        <v>35</v>
      </c>
      <c r="J775" s="112">
        <f>Tabla485189[[#This Row],[Columna2]]/2</f>
        <v>0</v>
      </c>
      <c r="K775" s="113">
        <v>0</v>
      </c>
      <c r="L775" s="103">
        <v>0</v>
      </c>
    </row>
    <row r="776" spans="1:13" ht="13" x14ac:dyDescent="0.15">
      <c r="A776" s="112" t="s">
        <v>78</v>
      </c>
      <c r="B776" s="250">
        <f>SUM(Tabla93617305523576390935466344773[[#This Row],[Vida]],Tabla93617305523576390935466344773[[#This Row],[Gmm]])</f>
        <v>0</v>
      </c>
      <c r="C776" s="113">
        <v>0</v>
      </c>
      <c r="D776" s="103">
        <v>0</v>
      </c>
      <c r="E776" s="109">
        <f>_xlfn.XLOOKUP(Tabla93617305523576390935466344773[[#This Row],[Asesor]],Tabla485189[Columna1],Tabla485189[Columna12],0)</f>
        <v>0</v>
      </c>
      <c r="F776" s="274">
        <f>_xlfn.XLOOKUP(Tabla93617305523576390935466344773[[#This Row],[Asesor]],Tabla485189[Columna1],Tabla485189[Columna3],0)</f>
        <v>0</v>
      </c>
      <c r="G776" s="254">
        <f>SUM(Tabla93617305523576390935466344773[[#This Row],[Prima Pagada vida]],Tabla93617305523576390935466344773[[#This Row],[Prima Pagada gmm]])</f>
        <v>0</v>
      </c>
      <c r="I776" s="112" t="s">
        <v>18</v>
      </c>
      <c r="J776" s="112">
        <f>Tabla485189[[#This Row],[Columna2]]/2</f>
        <v>0</v>
      </c>
      <c r="K776" s="113">
        <v>0</v>
      </c>
      <c r="L776" s="103">
        <v>0</v>
      </c>
    </row>
    <row r="777" spans="1:13" ht="13" x14ac:dyDescent="0.15">
      <c r="A777" s="112" t="s">
        <v>38</v>
      </c>
      <c r="B777" s="250">
        <f>SUM(Tabla93617305523576390935466344773[[#This Row],[Vida]],Tabla93617305523576390935466344773[[#This Row],[Gmm]])</f>
        <v>0</v>
      </c>
      <c r="C777" s="113">
        <v>0</v>
      </c>
      <c r="D777" s="103">
        <v>0</v>
      </c>
      <c r="E777" s="109">
        <f>_xlfn.XLOOKUP(Tabla93617305523576390935466344773[[#This Row],[Asesor]],Tabla485189[Columna1],Tabla485189[Columna12],0)</f>
        <v>0</v>
      </c>
      <c r="F777" s="274">
        <f>_xlfn.XLOOKUP(Tabla93617305523576390935466344773[[#This Row],[Asesor]],Tabla485189[Columna1],Tabla485189[Columna3],0)</f>
        <v>0</v>
      </c>
      <c r="G777" s="254">
        <f>SUM(Tabla93617305523576390935466344773[[#This Row],[Prima Pagada vida]],Tabla93617305523576390935466344773[[#This Row],[Prima Pagada gmm]])</f>
        <v>0</v>
      </c>
      <c r="I777" s="112" t="s">
        <v>27</v>
      </c>
      <c r="J777" s="112">
        <f>Tabla485189[[#This Row],[Columna2]]/2</f>
        <v>0</v>
      </c>
      <c r="K777" s="113">
        <v>0</v>
      </c>
      <c r="L777" s="103">
        <v>0</v>
      </c>
    </row>
    <row r="778" spans="1:13" ht="13" x14ac:dyDescent="0.15">
      <c r="A778" s="112" t="s">
        <v>18</v>
      </c>
      <c r="B778" s="250">
        <f>SUM(Tabla93617305523576390935466344773[[#This Row],[Vida]],Tabla93617305523576390935466344773[[#This Row],[Gmm]])</f>
        <v>0</v>
      </c>
      <c r="C778" s="113">
        <v>0</v>
      </c>
      <c r="D778" s="103">
        <v>0</v>
      </c>
      <c r="E778" s="109">
        <f>_xlfn.XLOOKUP(Tabla93617305523576390935466344773[[#This Row],[Asesor]],Tabla485189[Columna1],Tabla485189[Columna12],0)</f>
        <v>0</v>
      </c>
      <c r="F778" s="274">
        <f>_xlfn.XLOOKUP(Tabla93617305523576390935466344773[[#This Row],[Asesor]],Tabla485189[Columna1],Tabla485189[Columna3],0)</f>
        <v>0</v>
      </c>
      <c r="G778" s="254">
        <f>SUM(Tabla93617305523576390935466344773[[#This Row],[Prima Pagada vida]],Tabla93617305523576390935466344773[[#This Row],[Prima Pagada gmm]])</f>
        <v>0</v>
      </c>
      <c r="I778" s="112"/>
      <c r="J778" s="112">
        <f>Tabla485189[[#This Row],[Columna2]]/2</f>
        <v>0</v>
      </c>
      <c r="K778" s="113"/>
      <c r="L778" s="103"/>
    </row>
    <row r="779" spans="1:13" ht="13" x14ac:dyDescent="0.15">
      <c r="A779" s="112" t="s">
        <v>124</v>
      </c>
      <c r="B779" s="250">
        <f>SUM(Tabla93617305523576390935466344773[[#This Row],[Vida]],Tabla93617305523576390935466344773[[#This Row],[Gmm]])</f>
        <v>0</v>
      </c>
      <c r="C779" s="113">
        <v>0</v>
      </c>
      <c r="D779" s="103">
        <v>0</v>
      </c>
      <c r="E779" s="109">
        <f>_xlfn.XLOOKUP(Tabla93617305523576390935466344773[[#This Row],[Asesor]],Tabla485189[Columna1],Tabla485189[Columna12],0)</f>
        <v>0</v>
      </c>
      <c r="F779" s="274">
        <f>_xlfn.XLOOKUP(Tabla93617305523576390935466344773[[#This Row],[Asesor]],Tabla485189[Columna1],Tabla485189[Columna3],0)</f>
        <v>0</v>
      </c>
      <c r="G779" s="254">
        <f>SUM(Tabla93617305523576390935466344773[[#This Row],[Prima Pagada vida]],Tabla93617305523576390935466344773[[#This Row],[Prima Pagada gmm]])</f>
        <v>0</v>
      </c>
      <c r="I779" s="112"/>
      <c r="J779" s="112">
        <f>Tabla485189[[#This Row],[Columna2]]/2</f>
        <v>0</v>
      </c>
      <c r="K779" s="113"/>
      <c r="L779" s="103"/>
    </row>
    <row r="780" spans="1:13" ht="13" x14ac:dyDescent="0.15">
      <c r="A780" s="112" t="s">
        <v>98</v>
      </c>
      <c r="B780" s="250">
        <f>SUM(Tabla93617305523576390935466344773[[#This Row],[Vida]],Tabla93617305523576390935466344773[[#This Row],[Gmm]])</f>
        <v>0</v>
      </c>
      <c r="C780" s="113">
        <v>0</v>
      </c>
      <c r="D780" s="103">
        <v>0</v>
      </c>
      <c r="E780" s="109">
        <f>_xlfn.XLOOKUP(Tabla93617305523576390935466344773[[#This Row],[Asesor]],Tabla485189[Columna1],Tabla485189[Columna12],0)</f>
        <v>0</v>
      </c>
      <c r="F780" s="274">
        <f>_xlfn.XLOOKUP(Tabla93617305523576390935466344773[[#This Row],[Asesor]],Tabla485189[Columna1],Tabla485189[Columna3],0)</f>
        <v>0</v>
      </c>
      <c r="G780" s="254">
        <f>SUM(Tabla93617305523576390935466344773[[#This Row],[Prima Pagada vida]],Tabla93617305523576390935466344773[[#This Row],[Prima Pagada gmm]])</f>
        <v>0</v>
      </c>
    </row>
    <row r="781" spans="1:13" ht="13" x14ac:dyDescent="0.15">
      <c r="A781" s="112" t="s">
        <v>17</v>
      </c>
      <c r="B781" s="250">
        <f>SUM(Tabla93617305523576390935466344773[[#This Row],[Vida]],Tabla93617305523576390935466344773[[#This Row],[Gmm]])</f>
        <v>0</v>
      </c>
      <c r="C781" s="113">
        <v>0</v>
      </c>
      <c r="D781" s="103">
        <v>0</v>
      </c>
      <c r="E781" s="109">
        <f>_xlfn.XLOOKUP(Tabla93617305523576390935466344773[[#This Row],[Asesor]],Tabla485189[Columna1],Tabla485189[Columna12],0)</f>
        <v>0</v>
      </c>
      <c r="F781" s="274">
        <f>_xlfn.XLOOKUP(Tabla93617305523576390935466344773[[#This Row],[Asesor]],Tabla485189[Columna1],Tabla485189[Columna3],0)</f>
        <v>0</v>
      </c>
      <c r="G781" s="254">
        <f>SUM(Tabla93617305523576390935466344773[[#This Row],[Prima Pagada vida]],Tabla93617305523576390935466344773[[#This Row],[Prima Pagada gmm]])</f>
        <v>0</v>
      </c>
      <c r="M781" s="1" t="s">
        <v>212</v>
      </c>
    </row>
    <row r="782" spans="1:13" ht="13" x14ac:dyDescent="0.15">
      <c r="A782" s="112" t="s">
        <v>41</v>
      </c>
      <c r="B782" s="250">
        <f>SUM(Tabla93617305523576390935466344773[[#This Row],[Vida]],Tabla93617305523576390935466344773[[#This Row],[Gmm]])</f>
        <v>0</v>
      </c>
      <c r="C782" s="113">
        <v>0</v>
      </c>
      <c r="D782" s="103">
        <v>0</v>
      </c>
      <c r="E782" s="109">
        <f>_xlfn.XLOOKUP(Tabla93617305523576390935466344773[[#This Row],[Asesor]],Tabla485189[Columna1],Tabla485189[Columna12],0)</f>
        <v>0</v>
      </c>
      <c r="F782" s="274">
        <f>_xlfn.XLOOKUP(Tabla93617305523576390935466344773[[#This Row],[Asesor]],Tabla485189[Columna1],Tabla485189[Columna3],0)</f>
        <v>0</v>
      </c>
      <c r="G782" s="254">
        <f>SUM(Tabla93617305523576390935466344773[[#This Row],[Prima Pagada vida]],Tabla93617305523576390935466344773[[#This Row],[Prima Pagada gmm]])</f>
        <v>0</v>
      </c>
    </row>
    <row r="783" spans="1:13" ht="13" x14ac:dyDescent="0.15">
      <c r="A783" s="112" t="s">
        <v>37</v>
      </c>
      <c r="B783" s="250">
        <f>SUM(Tabla93617305523576390935466344773[[#This Row],[Vida]],Tabla93617305523576390935466344773[[#This Row],[Gmm]])</f>
        <v>0</v>
      </c>
      <c r="C783" s="113">
        <v>0</v>
      </c>
      <c r="D783" s="103">
        <v>0</v>
      </c>
      <c r="E783" s="109">
        <f>_xlfn.XLOOKUP(Tabla93617305523576390935466344773[[#This Row],[Asesor]],Tabla485189[Columna1],Tabla485189[Columna12],0)</f>
        <v>0</v>
      </c>
      <c r="F783" s="274">
        <f>_xlfn.XLOOKUP(Tabla93617305523576390935466344773[[#This Row],[Asesor]],Tabla485189[Columna1],Tabla485189[Columna3],0)</f>
        <v>0</v>
      </c>
      <c r="G783" s="254">
        <f>SUM(Tabla93617305523576390935466344773[[#This Row],[Prima Pagada vida]],Tabla93617305523576390935466344773[[#This Row],[Prima Pagada gmm]])</f>
        <v>0</v>
      </c>
    </row>
    <row r="784" spans="1:13" ht="13" x14ac:dyDescent="0.15">
      <c r="A784" s="112" t="s">
        <v>25</v>
      </c>
      <c r="B784" s="280">
        <f>SUM(Tabla93617305523576390935466344773[[#This Row],[Vida]],Tabla93617305523576390935466344773[[#This Row],[Gmm]])</f>
        <v>0</v>
      </c>
      <c r="C784" s="113">
        <v>0</v>
      </c>
      <c r="D784" s="103">
        <v>0</v>
      </c>
      <c r="E784" s="109">
        <f>_xlfn.XLOOKUP(Tabla93617305523576390935466344773[[#This Row],[Asesor]],Tabla485189[Columna1],Tabla485189[Columna12],0)</f>
        <v>0</v>
      </c>
      <c r="F784" s="274">
        <f>_xlfn.XLOOKUP(Tabla93617305523576390935466344773[[#This Row],[Asesor]],Tabla485189[Columna1],Tabla485189[Columna3],0)</f>
        <v>0</v>
      </c>
      <c r="G784" s="254">
        <f>SUM(Tabla93617305523576390935466344773[[#This Row],[Prima Pagada vida]],Tabla93617305523576390935466344773[[#This Row],[Prima Pagada gmm]])</f>
        <v>0</v>
      </c>
    </row>
    <row r="785" spans="1:7" ht="13" x14ac:dyDescent="0.15">
      <c r="A785" s="112" t="s">
        <v>28</v>
      </c>
      <c r="B785" s="280">
        <f>SUM(Tabla93617305523576390935466344773[[#This Row],[Vida]],Tabla93617305523576390935466344773[[#This Row],[Gmm]])</f>
        <v>0</v>
      </c>
      <c r="C785" s="113">
        <v>0</v>
      </c>
      <c r="D785" s="103">
        <v>0</v>
      </c>
      <c r="E785" s="109">
        <f>_xlfn.XLOOKUP(Tabla93617305523576390935466344773[[#This Row],[Asesor]],Tabla485189[Columna1],Tabla485189[Columna12],0)</f>
        <v>0</v>
      </c>
      <c r="F785" s="274">
        <f>_xlfn.XLOOKUP(Tabla93617305523576390935466344773[[#This Row],[Asesor]],Tabla485189[Columna1],Tabla485189[Columna3],0)</f>
        <v>0</v>
      </c>
      <c r="G785" s="254">
        <f>SUM(Tabla93617305523576390935466344773[[#This Row],[Prima Pagada vida]],Tabla93617305523576390935466344773[[#This Row],[Prima Pagada gmm]])</f>
        <v>0</v>
      </c>
    </row>
    <row r="786" spans="1:7" ht="13" x14ac:dyDescent="0.15">
      <c r="A786" s="112" t="s">
        <v>71</v>
      </c>
      <c r="B786" s="280">
        <f>SUM(Tabla93617305523576390935466344773[[#This Row],[Vida]],Tabla93617305523576390935466344773[[#This Row],[Gmm]])</f>
        <v>0</v>
      </c>
      <c r="C786" s="113">
        <v>0</v>
      </c>
      <c r="D786" s="103">
        <v>0</v>
      </c>
      <c r="E786" s="109">
        <f>_xlfn.XLOOKUP(Tabla93617305523576390935466344773[[#This Row],[Asesor]],Tabla485189[Columna1],Tabla485189[Columna12],0)</f>
        <v>0</v>
      </c>
      <c r="F786" s="274">
        <f>_xlfn.XLOOKUP(Tabla93617305523576390935466344773[[#This Row],[Asesor]],Tabla485189[Columna1],Tabla485189[Columna3],0)</f>
        <v>0</v>
      </c>
      <c r="G786" s="254">
        <f>SUM(Tabla93617305523576390935466344773[[#This Row],[Prima Pagada vida]],Tabla93617305523576390935466344773[[#This Row],[Prima Pagada gmm]])</f>
        <v>0</v>
      </c>
    </row>
    <row r="787" spans="1:7" ht="13" x14ac:dyDescent="0.15">
      <c r="A787" s="112" t="s">
        <v>29</v>
      </c>
      <c r="B787" s="280">
        <f>SUM(Tabla93617305523576390935466344773[[#This Row],[Vida]],Tabla93617305523576390935466344773[[#This Row],[Gmm]])</f>
        <v>0</v>
      </c>
      <c r="C787" s="113">
        <v>0</v>
      </c>
      <c r="D787" s="103">
        <v>0</v>
      </c>
      <c r="E787" s="109">
        <f>_xlfn.XLOOKUP(Tabla93617305523576390935466344773[[#This Row],[Asesor]],Tabla485189[Columna1],Tabla485189[Columna12],0)</f>
        <v>0</v>
      </c>
      <c r="F787" s="274">
        <f>_xlfn.XLOOKUP(Tabla93617305523576390935466344773[[#This Row],[Asesor]],Tabla485189[Columna1],Tabla485189[Columna3],0)</f>
        <v>0</v>
      </c>
      <c r="G787" s="254">
        <f>SUM(Tabla93617305523576390935466344773[[#This Row],[Prima Pagada vida]],Tabla93617305523576390935466344773[[#This Row],[Prima Pagada gmm]])</f>
        <v>0</v>
      </c>
    </row>
    <row r="788" spans="1:7" ht="13" x14ac:dyDescent="0.15">
      <c r="A788" s="112" t="s">
        <v>22</v>
      </c>
      <c r="B788" s="280">
        <f>SUM(Tabla93617305523576390935466344773[[#This Row],[Vida]],Tabla93617305523576390935466344773[[#This Row],[Gmm]])</f>
        <v>0</v>
      </c>
      <c r="C788" s="113">
        <v>0</v>
      </c>
      <c r="D788" s="103">
        <v>0</v>
      </c>
      <c r="E788" s="277">
        <f>_xlfn.XLOOKUP(Tabla93617305523576390935466344773[[#This Row],[Asesor]],Tabla485189[Columna1],Tabla485189[Columna12],0)</f>
        <v>0</v>
      </c>
      <c r="F788" s="253">
        <f>_xlfn.XLOOKUP(Tabla93617305523576390935466344773[[#This Row],[Asesor]],Tabla485189[Columna1],Tabla485189[Columna3],0)</f>
        <v>0</v>
      </c>
      <c r="G788" s="254">
        <f>SUM(Tabla93617305523576390935466344773[[#This Row],[Prima Pagada vida]],Tabla93617305523576390935466344773[[#This Row],[Prima Pagada gmm]])</f>
        <v>0</v>
      </c>
    </row>
    <row r="789" spans="1:7" ht="13" x14ac:dyDescent="0.15">
      <c r="A789" s="112" t="s">
        <v>105</v>
      </c>
      <c r="B789" s="280">
        <f>SUM(Tabla93617305523576390935466344773[[#This Row],[Vida]],Tabla93617305523576390935466344773[[#This Row],[Gmm]])</f>
        <v>0</v>
      </c>
      <c r="C789" s="113">
        <v>0</v>
      </c>
      <c r="D789" s="103">
        <v>0</v>
      </c>
      <c r="E789" s="277">
        <f>_xlfn.XLOOKUP(Tabla93617305523576390935466344773[[#This Row],[Asesor]],Tabla485189[Columna1],Tabla485189[Columna12],0)</f>
        <v>0</v>
      </c>
      <c r="F789" s="253">
        <f>_xlfn.XLOOKUP(Tabla93617305523576390935466344773[[#This Row],[Asesor]],Tabla485189[Columna1],Tabla485189[Columna3],0)</f>
        <v>0</v>
      </c>
      <c r="G789" s="254">
        <f>SUM(Tabla93617305523576390935466344773[[#This Row],[Prima Pagada vida]],Tabla93617305523576390935466344773[[#This Row],[Prima Pagada gmm]])</f>
        <v>0</v>
      </c>
    </row>
    <row r="790" spans="1:7" ht="13" x14ac:dyDescent="0.15">
      <c r="A790" s="112" t="s">
        <v>24</v>
      </c>
      <c r="B790" s="280">
        <f>SUM(Tabla93617305523576390935466344773[[#This Row],[Vida]],Tabla93617305523576390935466344773[[#This Row],[Gmm]])</f>
        <v>0</v>
      </c>
      <c r="C790" s="113">
        <v>0</v>
      </c>
      <c r="D790" s="103">
        <v>0</v>
      </c>
      <c r="E790" s="277">
        <f>_xlfn.XLOOKUP(Tabla93617305523576390935466344773[[#This Row],[Asesor]],Tabla485189[Columna1],Tabla485189[Columna12],0)</f>
        <v>0</v>
      </c>
      <c r="F790" s="253">
        <f>_xlfn.XLOOKUP(Tabla93617305523576390935466344773[[#This Row],[Asesor]],Tabla485189[Columna1],Tabla485189[Columna3],0)</f>
        <v>0</v>
      </c>
      <c r="G790" s="254">
        <f>SUM(Tabla93617305523576390935466344773[[#This Row],[Prima Pagada vida]],Tabla93617305523576390935466344773[[#This Row],[Prima Pagada gmm]])</f>
        <v>0</v>
      </c>
    </row>
    <row r="791" spans="1:7" ht="13" x14ac:dyDescent="0.15">
      <c r="A791" s="112" t="s">
        <v>46</v>
      </c>
      <c r="B791" s="280">
        <f>SUM(Tabla93617305523576390935466344773[[#This Row],[Vida]],Tabla93617305523576390935466344773[[#This Row],[Gmm]])</f>
        <v>0.5</v>
      </c>
      <c r="C791" s="113">
        <v>0</v>
      </c>
      <c r="D791" s="103">
        <v>0</v>
      </c>
      <c r="E791" s="277">
        <f>_xlfn.XLOOKUP(Tabla93617305523576390935466344773[[#This Row],[Asesor]],Tabla485189[Columna1],Tabla485189[Columna12],0)</f>
        <v>0.5</v>
      </c>
      <c r="F791" s="253">
        <f>_xlfn.XLOOKUP(Tabla93617305523576390935466344773[[#This Row],[Asesor]],Tabla485189[Columna1],Tabla485189[Columna3],0)</f>
        <v>19825.63</v>
      </c>
      <c r="G791" s="254">
        <f>SUM(Tabla93617305523576390935466344773[[#This Row],[Prima Pagada vida]],Tabla93617305523576390935466344773[[#This Row],[Prima Pagada gmm]])</f>
        <v>19825.63</v>
      </c>
    </row>
    <row r="792" spans="1:7" ht="13" x14ac:dyDescent="0.15">
      <c r="A792" s="112" t="s">
        <v>116</v>
      </c>
      <c r="B792" s="280">
        <f>SUM(Tabla93617305523576390935466344773[[#This Row],[Vida]],Tabla93617305523576390935466344773[[#This Row],[Gmm]])</f>
        <v>0</v>
      </c>
      <c r="C792" s="113">
        <v>0</v>
      </c>
      <c r="D792" s="103">
        <v>0</v>
      </c>
      <c r="E792" s="277">
        <f>_xlfn.XLOOKUP(Tabla93617305523576390935466344773[[#This Row],[Asesor]],Tabla485189[Columna1],Tabla485189[Columna12],0)</f>
        <v>0</v>
      </c>
      <c r="F792" s="253">
        <f>_xlfn.XLOOKUP(Tabla93617305523576390935466344773[[#This Row],[Asesor]],Tabla485189[Columna1],Tabla485189[Columna3],0)</f>
        <v>0</v>
      </c>
      <c r="G792" s="254">
        <f>SUM(Tabla93617305523576390935466344773[[#This Row],[Prima Pagada vida]],Tabla93617305523576390935466344773[[#This Row],[Prima Pagada gmm]])</f>
        <v>0</v>
      </c>
    </row>
    <row r="793" spans="1:7" ht="13" x14ac:dyDescent="0.15">
      <c r="A793" s="112" t="s">
        <v>43</v>
      </c>
      <c r="B793" s="280">
        <f>SUM(Tabla93617305523576390935466344773[[#This Row],[Vida]],Tabla93617305523576390935466344773[[#This Row],[Gmm]])</f>
        <v>0</v>
      </c>
      <c r="C793" s="113">
        <v>0</v>
      </c>
      <c r="D793" s="103">
        <v>0</v>
      </c>
      <c r="E793" s="277">
        <f>_xlfn.XLOOKUP(Tabla93617305523576390935466344773[[#This Row],[Asesor]],Tabla485189[Columna1],Tabla485189[Columna12],0)</f>
        <v>0</v>
      </c>
      <c r="F793" s="253">
        <f>_xlfn.XLOOKUP(Tabla93617305523576390935466344773[[#This Row],[Asesor]],Tabla485189[Columna1],Tabla485189[Columna3],0)</f>
        <v>0</v>
      </c>
      <c r="G793" s="254">
        <f>SUM(Tabla93617305523576390935466344773[[#This Row],[Prima Pagada vida]],Tabla93617305523576390935466344773[[#This Row],[Prima Pagada gmm]])</f>
        <v>0</v>
      </c>
    </row>
    <row r="794" spans="1:7" ht="13" x14ac:dyDescent="0.15">
      <c r="A794" s="112" t="s">
        <v>19</v>
      </c>
      <c r="B794" s="280">
        <f>SUM(Tabla93617305523576390935466344773[[#This Row],[Vida]],Tabla93617305523576390935466344773[[#This Row],[Gmm]])</f>
        <v>0</v>
      </c>
      <c r="C794" s="113">
        <v>0</v>
      </c>
      <c r="D794" s="103">
        <v>0</v>
      </c>
      <c r="E794" s="277">
        <f>_xlfn.XLOOKUP(Tabla93617305523576390935466344773[[#This Row],[Asesor]],Tabla485189[Columna1],Tabla485189[Columna12],0)</f>
        <v>0</v>
      </c>
      <c r="F794" s="253">
        <f>_xlfn.XLOOKUP(Tabla93617305523576390935466344773[[#This Row],[Asesor]],Tabla485189[Columna1],Tabla485189[Columna3],0)</f>
        <v>0</v>
      </c>
      <c r="G794" s="254">
        <f>SUM(Tabla93617305523576390935466344773[[#This Row],[Prima Pagada vida]],Tabla93617305523576390935466344773[[#This Row],[Prima Pagada gmm]])</f>
        <v>0</v>
      </c>
    </row>
    <row r="795" spans="1:7" ht="13" x14ac:dyDescent="0.15">
      <c r="A795" s="112" t="s">
        <v>72</v>
      </c>
      <c r="B795" s="280">
        <f>SUM(Tabla93617305523576390935466344773[[#This Row],[Vida]],Tabla93617305523576390935466344773[[#This Row],[Gmm]])</f>
        <v>0</v>
      </c>
      <c r="C795" s="113">
        <v>0</v>
      </c>
      <c r="D795" s="103">
        <v>0</v>
      </c>
      <c r="E795" s="277">
        <f>_xlfn.XLOOKUP(Tabla93617305523576390935466344773[[#This Row],[Asesor]],Tabla485189[Columna1],Tabla485189[Columna12],0)</f>
        <v>0</v>
      </c>
      <c r="F795" s="253">
        <f>_xlfn.XLOOKUP(Tabla93617305523576390935466344773[[#This Row],[Asesor]],Tabla485189[Columna1],Tabla485189[Columna3],0)</f>
        <v>0</v>
      </c>
      <c r="G795" s="254">
        <f>SUM(Tabla93617305523576390935466344773[[#This Row],[Prima Pagada vida]],Tabla93617305523576390935466344773[[#This Row],[Prima Pagada gmm]])</f>
        <v>0</v>
      </c>
    </row>
    <row r="796" spans="1:7" ht="13" x14ac:dyDescent="0.15">
      <c r="A796" s="112" t="s">
        <v>131</v>
      </c>
      <c r="B796" s="280">
        <f>SUM(Tabla93617305523576390935466344773[[#This Row],[Vida]],Tabla93617305523576390935466344773[[#This Row],[Gmm]])</f>
        <v>0</v>
      </c>
      <c r="C796" s="113">
        <v>0</v>
      </c>
      <c r="D796" s="103">
        <v>0</v>
      </c>
      <c r="E796" s="277">
        <f>_xlfn.XLOOKUP(Tabla93617305523576390935466344773[[#This Row],[Asesor]],Tabla485189[Columna1],Tabla485189[Columna12],0)</f>
        <v>0</v>
      </c>
      <c r="F796" s="253">
        <f>_xlfn.XLOOKUP(Tabla93617305523576390935466344773[[#This Row],[Asesor]],Tabla485189[Columna1],Tabla485189[Columna3],0)</f>
        <v>0</v>
      </c>
      <c r="G796" s="254">
        <f>SUM(Tabla93617305523576390935466344773[[#This Row],[Prima Pagada vida]],Tabla93617305523576390935466344773[[#This Row],[Prima Pagada gmm]])</f>
        <v>0</v>
      </c>
    </row>
    <row r="797" spans="1:7" ht="13" x14ac:dyDescent="0.15">
      <c r="A797" s="112" t="s">
        <v>26</v>
      </c>
      <c r="B797" s="280">
        <f>SUM(Tabla93617305523576390935466344773[[#This Row],[Vida]],Tabla93617305523576390935466344773[[#This Row],[Gmm]])</f>
        <v>0</v>
      </c>
      <c r="C797" s="113">
        <v>0</v>
      </c>
      <c r="D797" s="103">
        <v>0</v>
      </c>
      <c r="E797" s="277">
        <f>_xlfn.XLOOKUP(Tabla93617305523576390935466344773[[#This Row],[Asesor]],Tabla485189[Columna1],Tabla485189[Columna12],0)</f>
        <v>0</v>
      </c>
      <c r="F797" s="253">
        <f>_xlfn.XLOOKUP(Tabla93617305523576390935466344773[[#This Row],[Asesor]],Tabla485189[Columna1],Tabla485189[Columna3],0)</f>
        <v>0</v>
      </c>
      <c r="G797" s="254">
        <f>SUM(Tabla93617305523576390935466344773[[#This Row],[Prima Pagada vida]],Tabla93617305523576390935466344773[[#This Row],[Prima Pagada gmm]])</f>
        <v>0</v>
      </c>
    </row>
    <row r="798" spans="1:7" ht="13" x14ac:dyDescent="0.15">
      <c r="A798" s="112" t="s">
        <v>31</v>
      </c>
      <c r="B798" s="280">
        <f>SUM(Tabla93617305523576390935466344773[[#This Row],[Vida]],Tabla93617305523576390935466344773[[#This Row],[Gmm]])</f>
        <v>0</v>
      </c>
      <c r="C798" s="113">
        <v>0</v>
      </c>
      <c r="D798" s="103">
        <v>0</v>
      </c>
      <c r="E798" s="277">
        <f>_xlfn.XLOOKUP(Tabla93617305523576390935466344773[[#This Row],[Asesor]],Tabla485189[Columna1],Tabla485189[Columna12],0)</f>
        <v>0</v>
      </c>
      <c r="F798" s="253">
        <f>_xlfn.XLOOKUP(Tabla93617305523576390935466344773[[#This Row],[Asesor]],Tabla485189[Columna1],Tabla485189[Columna3],0)</f>
        <v>0</v>
      </c>
      <c r="G798" s="254">
        <f>SUM(Tabla93617305523576390935466344773[[#This Row],[Prima Pagada vida]],Tabla93617305523576390935466344773[[#This Row],[Prima Pagada gmm]])</f>
        <v>0</v>
      </c>
    </row>
    <row r="799" spans="1:7" ht="13" x14ac:dyDescent="0.15">
      <c r="A799" s="112" t="s">
        <v>49</v>
      </c>
      <c r="B799" s="284">
        <f>SUM(Tabla93617305523576390935466344773[[#This Row],[Vida]],Tabla93617305523576390935466344773[[#This Row],[Gmm]])</f>
        <v>0.5</v>
      </c>
      <c r="C799" s="285"/>
      <c r="D799" s="286"/>
      <c r="E799" s="287">
        <f>_xlfn.XLOOKUP(Tabla93617305523576390935466344773[[#This Row],[Asesor]],Tabla485189[Columna1],Tabla485189[Columna12],0)</f>
        <v>0.5</v>
      </c>
      <c r="F799" s="288">
        <f>_xlfn.XLOOKUP(Tabla93617305523576390935466344773[[#This Row],[Asesor]],Tabla485189[Columna1],Tabla485189[Columna3],0)</f>
        <v>6304.46</v>
      </c>
      <c r="G799" s="289">
        <f>SUM(Tabla93617305523576390935466344773[[#This Row],[Prima Pagada vida]],Tabla93617305523576390935466344773[[#This Row],[Prima Pagada gmm]])</f>
        <v>6304.46</v>
      </c>
    </row>
    <row r="800" spans="1:7" ht="13" x14ac:dyDescent="0.15">
      <c r="A800" s="43" t="s">
        <v>50</v>
      </c>
      <c r="B800" s="214">
        <f>SUM(Tabla93617305523576390935466344773[[Pólizas ]])</f>
        <v>36.5</v>
      </c>
      <c r="C800" s="215">
        <f>SUM(Tabla93617305523576390935466344773[Vida])</f>
        <v>32</v>
      </c>
      <c r="D800" s="216">
        <f>SUM(Tabla93617305523576390935466344773[Prima Pagada vida])</f>
        <v>276932.82</v>
      </c>
      <c r="E800" s="290">
        <f>SUM(Tabla93617305523576390935466344773[Gmm])</f>
        <v>4.5</v>
      </c>
      <c r="F800" s="216">
        <f>SUM(Tabla93617305523576390935466344773[Prima Pagada gmm])</f>
        <v>172532.73</v>
      </c>
      <c r="G800" s="216">
        <f>SUM(Tabla93617305523576390935466344773[Prima total])</f>
        <v>449465.55000000005</v>
      </c>
    </row>
    <row r="806" spans="1:11" ht="13" x14ac:dyDescent="0.15">
      <c r="A806" s="1" t="s">
        <v>187</v>
      </c>
      <c r="B806" s="1" t="s">
        <v>188</v>
      </c>
      <c r="C806" s="1" t="s">
        <v>189</v>
      </c>
      <c r="D806" s="1" t="s">
        <v>190</v>
      </c>
      <c r="E806" s="1" t="s">
        <v>191</v>
      </c>
      <c r="G806" s="119" t="s">
        <v>187</v>
      </c>
      <c r="H806" s="119" t="s">
        <v>188</v>
      </c>
      <c r="I806" s="119" t="s">
        <v>189</v>
      </c>
      <c r="J806" s="119" t="s">
        <v>190</v>
      </c>
      <c r="K806" s="119" t="s">
        <v>191</v>
      </c>
    </row>
    <row r="807" spans="1:11" ht="15" x14ac:dyDescent="0.15">
      <c r="A807" s="273" t="s">
        <v>159</v>
      </c>
      <c r="B807" s="281" t="s">
        <v>196</v>
      </c>
      <c r="C807" s="282" t="s">
        <v>197</v>
      </c>
      <c r="D807" s="283">
        <v>90665.657698529991</v>
      </c>
      <c r="E807" s="230" cm="1">
        <f t="array" ref="E807">D807/_xlfn.IFS(B807="MENSUAL",12,B807="TRIMESTRAL",4,B807="SEMESTRAL",2,B807="ANUAL",1)</f>
        <v>22666.414424632498</v>
      </c>
      <c r="G807" s="291" t="s">
        <v>226</v>
      </c>
      <c r="H807" s="292" t="s">
        <v>198</v>
      </c>
      <c r="I807" s="293" t="s">
        <v>194</v>
      </c>
      <c r="J807" s="294">
        <v>31379.52454658</v>
      </c>
      <c r="K807" s="230">
        <v>31379.52454658</v>
      </c>
    </row>
    <row r="808" spans="1:11" ht="15" x14ac:dyDescent="0.15">
      <c r="A808" s="273" t="s">
        <v>159</v>
      </c>
      <c r="B808" s="281" t="s">
        <v>199</v>
      </c>
      <c r="C808" s="282" t="s">
        <v>194</v>
      </c>
      <c r="D808" s="283">
        <v>32698.68</v>
      </c>
      <c r="E808" s="230" cm="1">
        <f t="array" ref="E808">D808/_xlfn.IFS(B808="MENSUAL",12,B808="TRIMESTRAL",4,B808="SEMESTRAL",2,B808="ANUAL",1)</f>
        <v>2724.89</v>
      </c>
      <c r="G808" s="291" t="s">
        <v>227</v>
      </c>
      <c r="H808" s="292" t="s">
        <v>198</v>
      </c>
      <c r="I808" s="293" t="s">
        <v>194</v>
      </c>
      <c r="J808" s="294">
        <v>31691.71</v>
      </c>
      <c r="K808" s="230">
        <v>31691.71</v>
      </c>
    </row>
    <row r="809" spans="1:11" ht="15" x14ac:dyDescent="0.15">
      <c r="A809" s="273" t="s">
        <v>226</v>
      </c>
      <c r="B809" s="281" t="s">
        <v>193</v>
      </c>
      <c r="C809" s="282" t="s">
        <v>197</v>
      </c>
      <c r="D809" s="283">
        <v>67289.549364539998</v>
      </c>
      <c r="E809" s="230" cm="1">
        <f t="array" ref="E809">D809/_xlfn.IFS(B809="MENSUAL",12,B809="TRIMESTRAL",4,B809="SEMESTRAL",2,B809="ANUAL",1)</f>
        <v>33644.774682269999</v>
      </c>
      <c r="G809" s="291" t="s">
        <v>153</v>
      </c>
      <c r="H809" s="292" t="s">
        <v>198</v>
      </c>
      <c r="I809" s="293" t="s">
        <v>194</v>
      </c>
      <c r="J809" s="294">
        <v>22712.349998100002</v>
      </c>
      <c r="K809" s="230">
        <v>22712.349998100002</v>
      </c>
    </row>
    <row r="810" spans="1:11" ht="15" x14ac:dyDescent="0.15">
      <c r="A810" s="273" t="s">
        <v>226</v>
      </c>
      <c r="B810" s="281" t="s">
        <v>198</v>
      </c>
      <c r="C810" s="282" t="s">
        <v>197</v>
      </c>
      <c r="D810" s="283">
        <v>31379.52454658</v>
      </c>
      <c r="E810" s="230" cm="1">
        <f t="array" ref="E810">D810/_xlfn.IFS(B810="MENSUAL",12,B810="TRIMESTRAL",4,B810="SEMESTRAL",2,B810="ANUAL",1)</f>
        <v>31379.52454658</v>
      </c>
      <c r="G810" s="291" t="s">
        <v>167</v>
      </c>
      <c r="H810" s="292" t="s">
        <v>198</v>
      </c>
      <c r="I810" s="293" t="s">
        <v>194</v>
      </c>
      <c r="J810" s="294">
        <v>56328.79</v>
      </c>
      <c r="K810" s="230">
        <v>56328.79</v>
      </c>
    </row>
    <row r="811" spans="1:11" ht="15" x14ac:dyDescent="0.15">
      <c r="A811" s="273" t="s">
        <v>226</v>
      </c>
      <c r="B811" s="281" t="s">
        <v>198</v>
      </c>
      <c r="C811" s="282" t="s">
        <v>197</v>
      </c>
      <c r="D811" s="283">
        <v>70991.247426389993</v>
      </c>
      <c r="E811" s="230" cm="1">
        <f t="array" ref="E811">D811/_xlfn.IFS(B811="MENSUAL",12,B811="TRIMESTRAL",4,B811="SEMESTRAL",2,B811="ANUAL",1)</f>
        <v>70991.247426389993</v>
      </c>
      <c r="G811" s="291" t="s">
        <v>167</v>
      </c>
      <c r="H811" s="292" t="s">
        <v>193</v>
      </c>
      <c r="I811" s="293" t="s">
        <v>194</v>
      </c>
      <c r="J811" s="294">
        <v>22474.102847279999</v>
      </c>
      <c r="K811" s="230">
        <v>11237.051423639999</v>
      </c>
    </row>
    <row r="812" spans="1:11" ht="15" x14ac:dyDescent="0.15">
      <c r="A812" s="273" t="s">
        <v>226</v>
      </c>
      <c r="B812" s="281" t="s">
        <v>198</v>
      </c>
      <c r="C812" s="282" t="s">
        <v>197</v>
      </c>
      <c r="D812" s="283">
        <v>38453.740114980006</v>
      </c>
      <c r="E812" s="230" cm="1">
        <f t="array" ref="E812">D812/_xlfn.IFS(B812="MENSUAL",12,B812="TRIMESTRAL",4,B812="SEMESTRAL",2,B812="ANUAL",1)</f>
        <v>38453.740114980006</v>
      </c>
      <c r="G812" s="291" t="s">
        <v>205</v>
      </c>
      <c r="H812" s="292" t="s">
        <v>198</v>
      </c>
      <c r="I812" s="293" t="s">
        <v>194</v>
      </c>
      <c r="J812" s="294">
        <v>14673.25</v>
      </c>
      <c r="K812" s="230">
        <v>14673.25</v>
      </c>
    </row>
    <row r="813" spans="1:11" x14ac:dyDescent="0.2">
      <c r="A813" s="273" t="s">
        <v>195</v>
      </c>
      <c r="B813" s="281" t="s">
        <v>198</v>
      </c>
      <c r="C813" s="282" t="s">
        <v>197</v>
      </c>
      <c r="D813" s="283">
        <v>48509.038984500003</v>
      </c>
      <c r="E813" s="230" cm="1">
        <f t="array" ref="E813">D813/_xlfn.IFS(B813="MENSUAL",12,B813="TRIMESTRAL",4,B813="SEMESTRAL",2,B813="ANUAL",1)</f>
        <v>48509.038984500003</v>
      </c>
    </row>
    <row r="814" spans="1:11" x14ac:dyDescent="0.2">
      <c r="A814" s="273" t="s">
        <v>195</v>
      </c>
      <c r="B814" s="281" t="s">
        <v>198</v>
      </c>
      <c r="C814" s="282" t="s">
        <v>197</v>
      </c>
      <c r="D814" s="283">
        <v>22599.204939399999</v>
      </c>
      <c r="E814" s="230" cm="1">
        <f t="array" ref="E814">D814/_xlfn.IFS(B814="MENSUAL",12,B814="TRIMESTRAL",4,B814="SEMESTRAL",2,B814="ANUAL",1)</f>
        <v>22599.204939399999</v>
      </c>
    </row>
    <row r="815" spans="1:11" x14ac:dyDescent="0.2">
      <c r="A815" s="273" t="s">
        <v>147</v>
      </c>
      <c r="B815" s="281" t="s">
        <v>198</v>
      </c>
      <c r="C815" s="282" t="s">
        <v>197</v>
      </c>
      <c r="D815" s="283">
        <v>24320.317863540004</v>
      </c>
      <c r="E815" s="230" cm="1">
        <f t="array" ref="E815">D815/_xlfn.IFS(B815="MENSUAL",12,B815="TRIMESTRAL",4,B815="SEMESTRAL",2,B815="ANUAL",1)</f>
        <v>24320.317863540004</v>
      </c>
    </row>
    <row r="816" spans="1:11" x14ac:dyDescent="0.2">
      <c r="A816" s="273" t="s">
        <v>147</v>
      </c>
      <c r="B816" s="281" t="s">
        <v>193</v>
      </c>
      <c r="C816" s="282" t="s">
        <v>197</v>
      </c>
      <c r="D816" s="283">
        <v>24684.439499999997</v>
      </c>
      <c r="E816" s="230" cm="1">
        <f t="array" ref="E816">D816/_xlfn.IFS(B816="MENSUAL",12,B816="TRIMESTRAL",4,B816="SEMESTRAL",2,B816="ANUAL",1)</f>
        <v>12342.219749999998</v>
      </c>
    </row>
    <row r="817" spans="1:5" x14ac:dyDescent="0.2">
      <c r="A817" s="273" t="s">
        <v>228</v>
      </c>
      <c r="B817" s="281" t="s">
        <v>199</v>
      </c>
      <c r="C817" s="282" t="s">
        <v>194</v>
      </c>
      <c r="D817" s="283">
        <v>75653.52</v>
      </c>
      <c r="E817" s="230" cm="1">
        <f t="array" ref="E817">D817/_xlfn.IFS(B817="MENSUAL",12,B817="TRIMESTRAL",4,B817="SEMESTRAL",2,B817="ANUAL",1)</f>
        <v>6304.46</v>
      </c>
    </row>
    <row r="818" spans="1:5" x14ac:dyDescent="0.2">
      <c r="A818" s="273" t="s">
        <v>229</v>
      </c>
      <c r="B818" s="281" t="s">
        <v>198</v>
      </c>
      <c r="C818" s="282" t="s">
        <v>197</v>
      </c>
      <c r="D818" s="283">
        <v>19035.93761868</v>
      </c>
      <c r="E818" s="230" cm="1">
        <f t="array" ref="E818">D818/_xlfn.IFS(B818="MENSUAL",12,B818="TRIMESTRAL",4,B818="SEMESTRAL",2,B818="ANUAL",1)</f>
        <v>19035.93761868</v>
      </c>
    </row>
    <row r="819" spans="1:5" x14ac:dyDescent="0.2">
      <c r="A819" s="273" t="s">
        <v>230</v>
      </c>
      <c r="B819" s="281" t="s">
        <v>199</v>
      </c>
      <c r="C819" s="282" t="s">
        <v>197</v>
      </c>
      <c r="D819" s="283">
        <v>30271.357859047199</v>
      </c>
      <c r="E819" s="230" cm="1">
        <f t="array" ref="E819">D819/_xlfn.IFS(B819="MENSUAL",12,B819="TRIMESTRAL",4,B819="SEMESTRAL",2,B819="ANUAL",1)</f>
        <v>2522.6131549205998</v>
      </c>
    </row>
    <row r="820" spans="1:5" x14ac:dyDescent="0.2">
      <c r="A820" s="273" t="s">
        <v>231</v>
      </c>
      <c r="B820" s="281" t="s">
        <v>199</v>
      </c>
      <c r="C820" s="282" t="s">
        <v>197</v>
      </c>
      <c r="D820" s="283">
        <v>65652.284352959992</v>
      </c>
      <c r="E820" s="230" cm="1">
        <f t="array" ref="E820">D820/_xlfn.IFS(B820="MENSUAL",12,B820="TRIMESTRAL",4,B820="SEMESTRAL",2,B820="ANUAL",1)</f>
        <v>5471.0236960799994</v>
      </c>
    </row>
    <row r="821" spans="1:5" x14ac:dyDescent="0.2">
      <c r="A821" s="273" t="s">
        <v>227</v>
      </c>
      <c r="B821" s="281" t="s">
        <v>199</v>
      </c>
      <c r="C821" s="282" t="s">
        <v>194</v>
      </c>
      <c r="D821" s="283">
        <v>46685.04</v>
      </c>
      <c r="E821" s="230" cm="1">
        <f t="array" ref="E821">D821/_xlfn.IFS(B821="MENSUAL",12,B821="TRIMESTRAL",4,B821="SEMESTRAL",2,B821="ANUAL",1)</f>
        <v>3890.42</v>
      </c>
    </row>
    <row r="822" spans="1:5" x14ac:dyDescent="0.2">
      <c r="A822" s="273" t="s">
        <v>227</v>
      </c>
      <c r="B822" s="281" t="s">
        <v>199</v>
      </c>
      <c r="C822" s="282" t="s">
        <v>197</v>
      </c>
      <c r="D822" s="283">
        <v>43200.194830027205</v>
      </c>
      <c r="E822" s="230" cm="1">
        <f t="array" ref="E822">D822/_xlfn.IFS(B822="MENSUAL",12,B822="TRIMESTRAL",4,B822="SEMESTRAL",2,B822="ANUAL",1)</f>
        <v>3600.0162358356006</v>
      </c>
    </row>
    <row r="823" spans="1:5" x14ac:dyDescent="0.2">
      <c r="A823" s="273" t="s">
        <v>227</v>
      </c>
      <c r="B823" s="281" t="s">
        <v>198</v>
      </c>
      <c r="C823" s="282" t="s">
        <v>194</v>
      </c>
      <c r="D823" s="283">
        <v>34753.79</v>
      </c>
      <c r="E823" s="230" cm="1">
        <f t="array" ref="E823">D823/_xlfn.IFS(B823="MENSUAL",12,B823="TRIMESTRAL",4,B823="SEMESTRAL",2,B823="ANUAL",1)</f>
        <v>34753.79</v>
      </c>
    </row>
    <row r="824" spans="1:5" x14ac:dyDescent="0.2">
      <c r="A824" s="273" t="s">
        <v>227</v>
      </c>
      <c r="B824" s="281" t="s">
        <v>198</v>
      </c>
      <c r="C824" s="282" t="s">
        <v>194</v>
      </c>
      <c r="D824" s="283">
        <v>31691.71</v>
      </c>
      <c r="E824" s="230" cm="1">
        <f t="array" ref="E824">D824/_xlfn.IFS(B824="MENSUAL",12,B824="TRIMESTRAL",4,B824="SEMESTRAL",2,B824="ANUAL",1)</f>
        <v>31691.71</v>
      </c>
    </row>
    <row r="825" spans="1:5" x14ac:dyDescent="0.2">
      <c r="A825" s="273" t="s">
        <v>227</v>
      </c>
      <c r="B825" s="281" t="s">
        <v>198</v>
      </c>
      <c r="C825" s="282" t="s">
        <v>197</v>
      </c>
      <c r="D825" s="283">
        <v>32969.950608779996</v>
      </c>
      <c r="E825" s="230" cm="1">
        <f t="array" ref="E825">D825/_xlfn.IFS(B825="MENSUAL",12,B825="TRIMESTRAL",4,B825="SEMESTRAL",2,B825="ANUAL",1)</f>
        <v>32969.950608779996</v>
      </c>
    </row>
    <row r="826" spans="1:5" x14ac:dyDescent="0.2">
      <c r="A826" s="273" t="s">
        <v>227</v>
      </c>
      <c r="B826" s="281" t="s">
        <v>199</v>
      </c>
      <c r="C826" s="282" t="s">
        <v>197</v>
      </c>
      <c r="D826" s="283">
        <v>73001.256379019993</v>
      </c>
      <c r="E826" s="230" cm="1">
        <f t="array" ref="E826">D826/_xlfn.IFS(B826="MENSUAL",12,B826="TRIMESTRAL",4,B826="SEMESTRAL",2,B826="ANUAL",1)</f>
        <v>6083.4380315849994</v>
      </c>
    </row>
    <row r="827" spans="1:5" x14ac:dyDescent="0.2">
      <c r="A827" s="273" t="s">
        <v>153</v>
      </c>
      <c r="B827" s="281" t="s">
        <v>198</v>
      </c>
      <c r="C827" s="282" t="s">
        <v>197</v>
      </c>
      <c r="D827" s="283">
        <v>22712.349998100002</v>
      </c>
      <c r="E827" s="230" cm="1">
        <f t="array" ref="E827">D827/_xlfn.IFS(B827="MENSUAL",12,B827="TRIMESTRAL",4,B827="SEMESTRAL",2,B827="ANUAL",1)</f>
        <v>22712.349998100002</v>
      </c>
    </row>
    <row r="828" spans="1:5" x14ac:dyDescent="0.2">
      <c r="A828" s="273" t="s">
        <v>153</v>
      </c>
      <c r="B828" s="281" t="s">
        <v>199</v>
      </c>
      <c r="C828" s="282" t="s">
        <v>197</v>
      </c>
      <c r="D828" s="283">
        <v>35992.750654080002</v>
      </c>
      <c r="E828" s="230" cm="1">
        <f t="array" ref="E828">D828/_xlfn.IFS(B828="MENSUAL",12,B828="TRIMESTRAL",4,B828="SEMESTRAL",2,B828="ANUAL",1)</f>
        <v>2999.3958878400003</v>
      </c>
    </row>
    <row r="829" spans="1:5" x14ac:dyDescent="0.2">
      <c r="A829" s="273" t="s">
        <v>203</v>
      </c>
      <c r="B829" s="281" t="s">
        <v>198</v>
      </c>
      <c r="C829" s="282" t="s">
        <v>197</v>
      </c>
      <c r="D829" s="283">
        <v>35728.187603849998</v>
      </c>
      <c r="E829" s="230" cm="1">
        <f t="array" ref="E829">D829/_xlfn.IFS(B829="MENSUAL",12,B829="TRIMESTRAL",4,B829="SEMESTRAL",2,B829="ANUAL",1)</f>
        <v>35728.187603849998</v>
      </c>
    </row>
    <row r="830" spans="1:5" x14ac:dyDescent="0.2">
      <c r="A830" s="273" t="s">
        <v>167</v>
      </c>
      <c r="B830" s="281" t="s">
        <v>198</v>
      </c>
      <c r="C830" s="282" t="s">
        <v>194</v>
      </c>
      <c r="D830" s="283">
        <v>56328.79</v>
      </c>
      <c r="E830" s="230" cm="1">
        <f t="array" ref="E830">D830/_xlfn.IFS(B830="MENSUAL",12,B830="TRIMESTRAL",4,B830="SEMESTRAL",2,B830="ANUAL",1)</f>
        <v>56328.79</v>
      </c>
    </row>
    <row r="831" spans="1:5" x14ac:dyDescent="0.2">
      <c r="A831" s="273" t="s">
        <v>167</v>
      </c>
      <c r="B831" s="281" t="s">
        <v>193</v>
      </c>
      <c r="C831" s="282" t="s">
        <v>197</v>
      </c>
      <c r="D831" s="283">
        <v>22474.102847279999</v>
      </c>
      <c r="E831" s="230" cm="1">
        <f t="array" ref="E831">D831/_xlfn.IFS(B831="MENSUAL",12,B831="TRIMESTRAL",4,B831="SEMESTRAL",2,B831="ANUAL",1)</f>
        <v>11237.051423639999</v>
      </c>
    </row>
    <row r="832" spans="1:5" x14ac:dyDescent="0.2">
      <c r="A832" s="273" t="s">
        <v>204</v>
      </c>
      <c r="B832" s="281" t="s">
        <v>198</v>
      </c>
      <c r="C832" s="282" t="s">
        <v>194</v>
      </c>
      <c r="D832" s="283">
        <v>19825.63</v>
      </c>
      <c r="E832" s="230" cm="1">
        <f t="array" ref="E832">D832/_xlfn.IFS(B832="MENSUAL",12,B832="TRIMESTRAL",4,B832="SEMESTRAL",2,B832="ANUAL",1)</f>
        <v>19825.63</v>
      </c>
    </row>
    <row r="833" spans="1:5" x14ac:dyDescent="0.2">
      <c r="A833" s="273" t="s">
        <v>205</v>
      </c>
      <c r="B833" s="281" t="s">
        <v>198</v>
      </c>
      <c r="C833" s="282" t="s">
        <v>194</v>
      </c>
      <c r="D833" s="283">
        <v>14673.25</v>
      </c>
      <c r="E833" s="230" cm="1">
        <f t="array" ref="E833">D833/_xlfn.IFS(B833="MENSUAL",12,B833="TRIMESTRAL",4,B833="SEMESTRAL",2,B833="ANUAL",1)</f>
        <v>14673.25</v>
      </c>
    </row>
    <row r="834" spans="1:5" x14ac:dyDescent="0.2">
      <c r="A834" s="273" t="s">
        <v>205</v>
      </c>
      <c r="B834" s="281" t="s">
        <v>198</v>
      </c>
      <c r="C834" s="282" t="s">
        <v>197</v>
      </c>
      <c r="D834" s="283">
        <v>30508.596767910003</v>
      </c>
      <c r="E834" s="230" cm="1">
        <f t="array" ref="E834">D834/_xlfn.IFS(B834="MENSUAL",12,B834="TRIMESTRAL",4,B834="SEMESTRAL",2,B834="ANUAL",1)</f>
        <v>30508.596767910003</v>
      </c>
    </row>
    <row r="835" spans="1:5" x14ac:dyDescent="0.2">
      <c r="A835" s="273" t="s">
        <v>205</v>
      </c>
      <c r="B835" s="281" t="s">
        <v>193</v>
      </c>
      <c r="C835" s="282" t="s">
        <v>197</v>
      </c>
      <c r="D835" s="283">
        <v>30131.183277600001</v>
      </c>
      <c r="E835" s="230" cm="1">
        <f t="array" ref="E835">D835/_xlfn.IFS(B835="MENSUAL",12,B835="TRIMESTRAL",4,B835="SEMESTRAL",2,B835="ANUAL",1)</f>
        <v>15065.591638800001</v>
      </c>
    </row>
    <row r="836" spans="1:5" x14ac:dyDescent="0.2">
      <c r="A836" s="273" t="s">
        <v>171</v>
      </c>
      <c r="B836" s="281" t="s">
        <v>193</v>
      </c>
      <c r="C836" s="282" t="s">
        <v>197</v>
      </c>
      <c r="D836" s="283">
        <v>35158.811999999998</v>
      </c>
      <c r="E836" s="230" cm="1">
        <f t="array" ref="E836">D836/_xlfn.IFS(B836="MENSUAL",12,B836="TRIMESTRAL",4,B836="SEMESTRAL",2,B836="ANUAL",1)</f>
        <v>17579.405999999999</v>
      </c>
    </row>
    <row r="837" spans="1:5" x14ac:dyDescent="0.2">
      <c r="A837" s="273"/>
      <c r="B837" s="281"/>
      <c r="C837" s="282"/>
      <c r="D837" s="283"/>
      <c r="E837" s="230"/>
    </row>
    <row r="838" spans="1:5" x14ac:dyDescent="0.2">
      <c r="A838" s="273"/>
      <c r="B838" s="281"/>
      <c r="C838" s="282"/>
      <c r="D838" s="283"/>
      <c r="E838" s="230"/>
    </row>
    <row r="839" spans="1:5" x14ac:dyDescent="0.2">
      <c r="A839" s="273"/>
      <c r="B839" s="281"/>
      <c r="C839" s="282"/>
      <c r="D839" s="283"/>
      <c r="E839" s="230"/>
    </row>
    <row r="840" spans="1:5" x14ac:dyDescent="0.2">
      <c r="A840" s="273"/>
      <c r="B840" s="281"/>
      <c r="C840" s="282"/>
      <c r="D840" s="283"/>
      <c r="E840" s="230"/>
    </row>
    <row r="841" spans="1:5" x14ac:dyDescent="0.2">
      <c r="A841" s="266"/>
      <c r="B841" s="281"/>
      <c r="C841" s="282"/>
      <c r="D841" s="283"/>
      <c r="E841" s="230"/>
    </row>
  </sheetData>
  <mergeCells count="16">
    <mergeCell ref="A1:H1"/>
    <mergeCell ref="A48:H48"/>
    <mergeCell ref="A94:H94"/>
    <mergeCell ref="A134:H134"/>
    <mergeCell ref="I144:I147"/>
    <mergeCell ref="A172:H172"/>
    <mergeCell ref="A528:H528"/>
    <mergeCell ref="A585:H585"/>
    <mergeCell ref="A667:H667"/>
    <mergeCell ref="A752:H752"/>
    <mergeCell ref="A212:H212"/>
    <mergeCell ref="A254:H254"/>
    <mergeCell ref="A302:H302"/>
    <mergeCell ref="A353:H353"/>
    <mergeCell ref="A411:H411"/>
    <mergeCell ref="A463:H463"/>
  </mergeCells>
  <conditionalFormatting sqref="A3">
    <cfRule type="expression" dxfId="1224" priority="950" stopIfTrue="1">
      <formula>#REF!=1</formula>
    </cfRule>
  </conditionalFormatting>
  <conditionalFormatting sqref="A4:A10 C366:D371 E368:F368 E370:F371">
    <cfRule type="expression" dxfId="1223" priority="951" stopIfTrue="1">
      <formula>$Q3=1</formula>
    </cfRule>
  </conditionalFormatting>
  <conditionalFormatting sqref="A10:A42">
    <cfRule type="expression" dxfId="1222" priority="948" stopIfTrue="1">
      <formula>#REF!=1</formula>
    </cfRule>
  </conditionalFormatting>
  <conditionalFormatting sqref="A11:A42 C11:D42 F690:F702 E788:E799 E450:F451">
    <cfRule type="expression" dxfId="1221" priority="952" stopIfTrue="1">
      <formula>#REF!=1</formula>
    </cfRule>
  </conditionalFormatting>
  <conditionalFormatting sqref="A43 C108:D127 A129 C129:D129 C137:D140 C142:D155 K150:K154 N153:N154 C247:D247 A257:A274 C257:D274 A356:A365 C356:D365 E372:F372 A372:A382 C372:D382 A384:A389 C384:D389 K391:K394 A414:A420 C414:D420 L447:L448 C466:D472 A142:A155 E155:F155 C236:D245 A215:A234 C305:D340 C342:D344 A342:A344 A294 L455:L458 L505:L506 L513:L515 H754 I153:J153">
    <cfRule type="expression" dxfId="1220" priority="935" stopIfTrue="1">
      <formula>$T42=1</formula>
    </cfRule>
  </conditionalFormatting>
  <conditionalFormatting sqref="A50 L446 I459:K459 I462:K462">
    <cfRule type="expression" dxfId="1219" priority="898" stopIfTrue="1">
      <formula>$T$34=1</formula>
    </cfRule>
  </conditionalFormatting>
  <conditionalFormatting sqref="A51:A60">
    <cfRule type="expression" dxfId="1218" priority="899" stopIfTrue="1">
      <formula>#REF!=1</formula>
    </cfRule>
  </conditionalFormatting>
  <conditionalFormatting sqref="A51:A61">
    <cfRule type="expression" dxfId="1217" priority="900" stopIfTrue="1">
      <formula>#REF!=1</formula>
    </cfRule>
  </conditionalFormatting>
  <conditionalFormatting sqref="A61:A89 C62:D89 A165 C165:D165 F165">
    <cfRule type="expression" dxfId="1216" priority="896" stopIfTrue="1">
      <formula>$S61=1</formula>
    </cfRule>
  </conditionalFormatting>
  <conditionalFormatting sqref="A62:A86 C62:D86 A88 C88:D88">
    <cfRule type="expression" dxfId="1215" priority="897" stopIfTrue="1">
      <formula>$S61=1</formula>
    </cfRule>
  </conditionalFormatting>
  <conditionalFormatting sqref="A87 C87:D87 A89 C89:D89">
    <cfRule type="expression" dxfId="1214" priority="901" stopIfTrue="1">
      <formula>#REF!=1</formula>
    </cfRule>
  </conditionalFormatting>
  <conditionalFormatting sqref="A96">
    <cfRule type="expression" dxfId="1213" priority="844" stopIfTrue="1">
      <formula>$T$34=1</formula>
    </cfRule>
  </conditionalFormatting>
  <conditionalFormatting sqref="A97:A103">
    <cfRule type="expression" dxfId="1212" priority="848" stopIfTrue="1">
      <formula>$U99=1</formula>
    </cfRule>
    <cfRule type="expression" dxfId="1211" priority="847" stopIfTrue="1">
      <formula>$U100=1</formula>
    </cfRule>
  </conditionalFormatting>
  <conditionalFormatting sqref="A104">
    <cfRule type="expression" dxfId="1210" priority="853" stopIfTrue="1">
      <formula>$U106=1</formula>
    </cfRule>
  </conditionalFormatting>
  <conditionalFormatting sqref="A104:A106">
    <cfRule type="expression" dxfId="1209" priority="849" stopIfTrue="1">
      <formula>#REF!=1</formula>
    </cfRule>
  </conditionalFormatting>
  <conditionalFormatting sqref="A105:A107">
    <cfRule type="expression" dxfId="1208" priority="850" stopIfTrue="1">
      <formula>#REF!=1</formula>
    </cfRule>
  </conditionalFormatting>
  <conditionalFormatting sqref="A107:A129 A166 K390:K394 A43 C108:D127 C129:D129 C137:D154 K150:K154 N154 F166 C166:D167 C247:D247 A257:A274 C257:D274 C347:D347 A356:A364 C356:D364 E371:F372 A371:A389 C371:D389 A414:A419 C414:D419 L447:L448 C466:D471 F698:F702">
    <cfRule type="expression" dxfId="1207" priority="934" stopIfTrue="1">
      <formula>$T43=1</formula>
    </cfRule>
  </conditionalFormatting>
  <conditionalFormatting sqref="A108:A127">
    <cfRule type="expression" dxfId="1206" priority="846" stopIfTrue="1">
      <formula>$T107=1</formula>
    </cfRule>
  </conditionalFormatting>
  <conditionalFormatting sqref="A136">
    <cfRule type="expression" dxfId="1205" priority="783" stopIfTrue="1">
      <formula>$T$34=1</formula>
    </cfRule>
  </conditionalFormatting>
  <conditionalFormatting sqref="A137:A140">
    <cfRule type="expression" dxfId="1204" priority="784" stopIfTrue="1">
      <formula>$T136=1</formula>
    </cfRule>
  </conditionalFormatting>
  <conditionalFormatting sqref="A137:A154">
    <cfRule type="expression" dxfId="1203" priority="845" stopIfTrue="1">
      <formula>$T137=1</formula>
    </cfRule>
  </conditionalFormatting>
  <conditionalFormatting sqref="A160 E156:F156 A156:A158 C156:D158 C160:D160">
    <cfRule type="expression" dxfId="1202" priority="987" stopIfTrue="1">
      <formula>$M155=1</formula>
    </cfRule>
  </conditionalFormatting>
  <conditionalFormatting sqref="A161:A162 A164 C164:D164 C175:C182 D181:D182 A187:A203 C187:C203 C205:D205">
    <cfRule type="expression" dxfId="1201" priority="712" stopIfTrue="1">
      <formula>$L160=1</formula>
    </cfRule>
  </conditionalFormatting>
  <conditionalFormatting sqref="A164 C164:D164 E155:F158 A155:A159 C155:D159 F164">
    <cfRule type="expression" dxfId="1200" priority="767" stopIfTrue="1">
      <formula>$M155=1</formula>
    </cfRule>
  </conditionalFormatting>
  <conditionalFormatting sqref="A166">
    <cfRule type="expression" dxfId="1199" priority="777" stopIfTrue="1">
      <formula>$S165=1</formula>
    </cfRule>
  </conditionalFormatting>
  <conditionalFormatting sqref="A167">
    <cfRule type="expression" dxfId="1198" priority="960" stopIfTrue="1">
      <formula>#REF!=1</formula>
    </cfRule>
    <cfRule type="expression" dxfId="1197" priority="959" stopIfTrue="1">
      <formula>$T166=1</formula>
    </cfRule>
  </conditionalFormatting>
  <conditionalFormatting sqref="A174">
    <cfRule type="expression" dxfId="1196" priority="748" stopIfTrue="1">
      <formula>$T$34=1</formula>
    </cfRule>
  </conditionalFormatting>
  <conditionalFormatting sqref="A175:A182">
    <cfRule type="expression" dxfId="1195" priority="745" stopIfTrue="1">
      <formula>$L175=1</formula>
    </cfRule>
    <cfRule type="expression" dxfId="1194" priority="746" stopIfTrue="1">
      <formula>$L174=1</formula>
    </cfRule>
  </conditionalFormatting>
  <conditionalFormatting sqref="A183 C183:F183">
    <cfRule type="expression" dxfId="1193" priority="1005" stopIfTrue="1">
      <formula>$L182=1</formula>
    </cfRule>
    <cfRule type="expression" dxfId="1192" priority="1004" stopIfTrue="1">
      <formula>#REF!=1</formula>
    </cfRule>
  </conditionalFormatting>
  <conditionalFormatting sqref="A184:A185 C185:F185">
    <cfRule type="expression" dxfId="1191" priority="740" stopIfTrue="1">
      <formula>$I183=1</formula>
    </cfRule>
  </conditionalFormatting>
  <conditionalFormatting sqref="A186:A205">
    <cfRule type="expression" dxfId="1190" priority="729" stopIfTrue="1">
      <formula>$L186=1</formula>
    </cfRule>
  </conditionalFormatting>
  <conditionalFormatting sqref="A204 C204:D204">
    <cfRule type="expression" dxfId="1189" priority="965" stopIfTrue="1">
      <formula>#REF!=1</formula>
    </cfRule>
  </conditionalFormatting>
  <conditionalFormatting sqref="A205">
    <cfRule type="expression" dxfId="1188" priority="730" stopIfTrue="1">
      <formula>$L204=1</formula>
    </cfRule>
  </conditionalFormatting>
  <conditionalFormatting sqref="A206 C206:D206">
    <cfRule type="expression" dxfId="1187" priority="966" stopIfTrue="1">
      <formula>$T206=1</formula>
    </cfRule>
    <cfRule type="expression" dxfId="1186" priority="967" stopIfTrue="1">
      <formula>#REF!=1</formula>
    </cfRule>
  </conditionalFormatting>
  <conditionalFormatting sqref="A214">
    <cfRule type="expression" dxfId="1185" priority="669" stopIfTrue="1">
      <formula>$T$34=1</formula>
    </cfRule>
  </conditionalFormatting>
  <conditionalFormatting sqref="A215:A245">
    <cfRule type="expression" dxfId="1184" priority="657" stopIfTrue="1">
      <formula>$T215=1</formula>
    </cfRule>
  </conditionalFormatting>
  <conditionalFormatting sqref="A236:A245">
    <cfRule type="expression" dxfId="1183" priority="658" stopIfTrue="1">
      <formula>$T235=1</formula>
    </cfRule>
  </conditionalFormatting>
  <conditionalFormatting sqref="A246 C246:D246">
    <cfRule type="expression" dxfId="1182" priority="1008" stopIfTrue="1">
      <formula>$T243=1</formula>
    </cfRule>
    <cfRule type="expression" dxfId="1181" priority="1007" stopIfTrue="1">
      <formula>$T244=1</formula>
    </cfRule>
  </conditionalFormatting>
  <conditionalFormatting sqref="A247">
    <cfRule type="expression" dxfId="1180" priority="649" stopIfTrue="1">
      <formula>$L247=1</formula>
    </cfRule>
    <cfRule type="expression" dxfId="1179" priority="650" stopIfTrue="1">
      <formula>$L246=1</formula>
    </cfRule>
  </conditionalFormatting>
  <conditionalFormatting sqref="A248 C248:D248">
    <cfRule type="expression" dxfId="1178" priority="1010" stopIfTrue="1">
      <formula>#REF!=1</formula>
    </cfRule>
  </conditionalFormatting>
  <conditionalFormatting sqref="A248:A249 C248:D249">
    <cfRule type="expression" dxfId="1177" priority="1009" stopIfTrue="1">
      <formula>$T245=1</formula>
    </cfRule>
  </conditionalFormatting>
  <conditionalFormatting sqref="A249 C249:D249 L518">
    <cfRule type="expression" dxfId="1176" priority="1011" stopIfTrue="1">
      <formula>$T245=1</formula>
    </cfRule>
  </conditionalFormatting>
  <conditionalFormatting sqref="A256">
    <cfRule type="expression" dxfId="1175" priority="617" stopIfTrue="1">
      <formula>$T$34=1</formula>
    </cfRule>
  </conditionalFormatting>
  <conditionalFormatting sqref="A275:A293 A295 C295:D295 C390:D394 E392:F392">
    <cfRule type="expression" dxfId="1174" priority="602" stopIfTrue="1">
      <formula>$T275=1</formula>
    </cfRule>
  </conditionalFormatting>
  <conditionalFormatting sqref="A304">
    <cfRule type="expression" dxfId="1173" priority="552" stopIfTrue="1">
      <formula>$T$34=1</formula>
    </cfRule>
  </conditionalFormatting>
  <conditionalFormatting sqref="A305:A340">
    <cfRule type="expression" dxfId="1172" priority="535" stopIfTrue="1">
      <formula>$T304=1</formula>
    </cfRule>
  </conditionalFormatting>
  <conditionalFormatting sqref="A305:A347">
    <cfRule type="expression" dxfId="1171" priority="534" stopIfTrue="1">
      <formula>$T305=1</formula>
    </cfRule>
  </conditionalFormatting>
  <conditionalFormatting sqref="A355">
    <cfRule type="expression" dxfId="1170" priority="486" stopIfTrue="1">
      <formula>$T$34=1</formula>
    </cfRule>
  </conditionalFormatting>
  <conditionalFormatting sqref="A365:A370">
    <cfRule type="expression" dxfId="1169" priority="487" stopIfTrue="1">
      <formula>$Q365=1</formula>
    </cfRule>
  </conditionalFormatting>
  <conditionalFormatting sqref="A366:A370">
    <cfRule type="expression" dxfId="1168" priority="488" stopIfTrue="1">
      <formula>$Q365=1</formula>
    </cfRule>
  </conditionalFormatting>
  <conditionalFormatting sqref="A371">
    <cfRule type="expression" dxfId="1167" priority="1024" stopIfTrue="1">
      <formula>$Q370=1</formula>
    </cfRule>
  </conditionalFormatting>
  <conditionalFormatting sqref="A390:A394">
    <cfRule type="expression" dxfId="1166" priority="490" stopIfTrue="1">
      <formula>$T390=1</formula>
    </cfRule>
  </conditionalFormatting>
  <conditionalFormatting sqref="A413">
    <cfRule type="expression" dxfId="1165" priority="422" stopIfTrue="1">
      <formula>$T$34=1</formula>
    </cfRule>
  </conditionalFormatting>
  <conditionalFormatting sqref="A420:A422 C420:D422 C472:D474">
    <cfRule type="expression" dxfId="1164" priority="447" stopIfTrue="1">
      <formula>$R420=1</formula>
    </cfRule>
  </conditionalFormatting>
  <conditionalFormatting sqref="A421:A423 C421:D423 C473:D475">
    <cfRule type="expression" dxfId="1163" priority="448" stopIfTrue="1">
      <formula>$R420=1</formula>
    </cfRule>
  </conditionalFormatting>
  <conditionalFormatting sqref="A423:A426 C423:D426 C475:D478">
    <cfRule type="expression" dxfId="1162" priority="423" stopIfTrue="1">
      <formula>$O423=1</formula>
    </cfRule>
  </conditionalFormatting>
  <conditionalFormatting sqref="A424:A426 C424:D426 C476:D478">
    <cfRule type="expression" dxfId="1161" priority="424" stopIfTrue="1">
      <formula>$O423=1</formula>
    </cfRule>
  </conditionalFormatting>
  <conditionalFormatting sqref="A427:A428 C427:D428 C479:D480">
    <cfRule type="expression" dxfId="1160" priority="454" stopIfTrue="1">
      <formula>$O427=1</formula>
    </cfRule>
  </conditionalFormatting>
  <conditionalFormatting sqref="A428:A440 C428:D440 C480:D489 E428:F429 A480:A489 A497:A498 C497:D498 I497:K498 K486:K489 I487:J494">
    <cfRule type="expression" dxfId="1159" priority="1037" stopIfTrue="1">
      <formula>$R429=1</formula>
    </cfRule>
  </conditionalFormatting>
  <conditionalFormatting sqref="A440 C440:D440">
    <cfRule type="expression" dxfId="1158" priority="451" stopIfTrue="1">
      <formula>#REF!=1</formula>
    </cfRule>
  </conditionalFormatting>
  <conditionalFormatting sqref="A441">
    <cfRule type="expression" dxfId="1157" priority="601" stopIfTrue="1">
      <formula>$T442=1</formula>
    </cfRule>
  </conditionalFormatting>
  <conditionalFormatting sqref="A442:A444 C442:D444">
    <cfRule type="expression" dxfId="1156" priority="1034" stopIfTrue="1">
      <formula>$T445=1</formula>
    </cfRule>
  </conditionalFormatting>
  <conditionalFormatting sqref="A445:A446 C445:D446 C503:D504">
    <cfRule type="expression" dxfId="1155" priority="426" stopIfTrue="1">
      <formula>$T448=1</formula>
    </cfRule>
    <cfRule type="expression" dxfId="1154" priority="425" stopIfTrue="1">
      <formula>$T449=1</formula>
    </cfRule>
  </conditionalFormatting>
  <conditionalFormatting sqref="A447 C447:D448 C505:D506 C509:D509 C512:D512 C515:D515 A517 C518:D518 C572:D572 C575:D575 C578:D578">
    <cfRule type="expression" dxfId="1153" priority="1039" stopIfTrue="1">
      <formula>$T454=1</formula>
    </cfRule>
  </conditionalFormatting>
  <conditionalFormatting sqref="A447 C447:F447 C448:D448 C505:F505 C506:D506 C509:D509 C512:D512 C515:D515 A517 C518:D518 C572:D572 C575:D575 C578:D578 C569:D569">
    <cfRule type="expression" dxfId="1152" priority="1040" stopIfTrue="1">
      <formula>$T455=1</formula>
    </cfRule>
  </conditionalFormatting>
  <conditionalFormatting sqref="A448">
    <cfRule type="expression" dxfId="1151" priority="394" stopIfTrue="1">
      <formula>$T453=1</formula>
    </cfRule>
    <cfRule type="expression" dxfId="1150" priority="393" stopIfTrue="1">
      <formula>$T454=1</formula>
    </cfRule>
  </conditionalFormatting>
  <conditionalFormatting sqref="A449 E449:F449 E507:F507 E510:F510 E513:F513 E516:F516 E570:F570 E573:F573 E576:F576">
    <cfRule type="expression" dxfId="1149" priority="406" stopIfTrue="1">
      <formula>$T451=1</formula>
    </cfRule>
    <cfRule type="expression" dxfId="1148" priority="405" stopIfTrue="1">
      <formula>$T453=1</formula>
    </cfRule>
  </conditionalFormatting>
  <conditionalFormatting sqref="A465">
    <cfRule type="expression" dxfId="1147" priority="295" stopIfTrue="1">
      <formula>$T$34=1</formula>
    </cfRule>
  </conditionalFormatting>
  <conditionalFormatting sqref="A466:A471">
    <cfRule type="expression" dxfId="1146" priority="326" stopIfTrue="1">
      <formula>$T466=1</formula>
    </cfRule>
  </conditionalFormatting>
  <conditionalFormatting sqref="A466:A472">
    <cfRule type="expression" dxfId="1145" priority="327" stopIfTrue="1">
      <formula>$T465=1</formula>
    </cfRule>
  </conditionalFormatting>
  <conditionalFormatting sqref="A472:A474">
    <cfRule type="expression" dxfId="1144" priority="315" stopIfTrue="1">
      <formula>$R472=1</formula>
    </cfRule>
  </conditionalFormatting>
  <conditionalFormatting sqref="A473:A475">
    <cfRule type="expression" dxfId="1143" priority="316" stopIfTrue="1">
      <formula>$R472=1</formula>
    </cfRule>
  </conditionalFormatting>
  <conditionalFormatting sqref="A475:A478">
    <cfRule type="expression" dxfId="1142" priority="296" stopIfTrue="1">
      <formula>$O475=1</formula>
    </cfRule>
  </conditionalFormatting>
  <conditionalFormatting sqref="A476:A478">
    <cfRule type="expression" dxfId="1141" priority="297" stopIfTrue="1">
      <formula>$O475=1</formula>
    </cfRule>
  </conditionalFormatting>
  <conditionalFormatting sqref="A479">
    <cfRule type="expression" dxfId="1140" priority="317" stopIfTrue="1">
      <formula>$O480=1</formula>
    </cfRule>
  </conditionalFormatting>
  <conditionalFormatting sqref="A479:A480">
    <cfRule type="expression" dxfId="1139" priority="322" stopIfTrue="1">
      <formula>$O479=1</formula>
    </cfRule>
  </conditionalFormatting>
  <conditionalFormatting sqref="A490:A491 C490:D491 K490:K491">
    <cfRule type="expression" dxfId="1138" priority="1077" stopIfTrue="1">
      <formula>$R497=1</formula>
    </cfRule>
  </conditionalFormatting>
  <conditionalFormatting sqref="A492 C492:D492 K492">
    <cfRule type="expression" dxfId="1137" priority="1075" stopIfTrue="1">
      <formula>$R498=1</formula>
    </cfRule>
  </conditionalFormatting>
  <conditionalFormatting sqref="A493 C493:D493 K493">
    <cfRule type="expression" dxfId="1136" priority="1072" stopIfTrue="1">
      <formula>$R498=1</formula>
    </cfRule>
  </conditionalFormatting>
  <conditionalFormatting sqref="A496 C496:D496 I496:K496 E693:E694">
    <cfRule type="expression" dxfId="1135" priority="1061" stopIfTrue="1">
      <formula>$R498=1</formula>
    </cfRule>
  </conditionalFormatting>
  <conditionalFormatting sqref="A498 C498:D498">
    <cfRule type="expression" dxfId="1134" priority="319" stopIfTrue="1">
      <formula>#REF!=1</formula>
    </cfRule>
  </conditionalFormatting>
  <conditionalFormatting sqref="A499 E429:F429 A429:A439 C429:D439 A441 C441:D441 A481:A497 C481:D497 I495:K498 C499:D499">
    <cfRule type="expression" dxfId="1133" priority="446" stopIfTrue="1">
      <formula>$R429=1</formula>
    </cfRule>
  </conditionalFormatting>
  <conditionalFormatting sqref="A499">
    <cfRule type="expression" dxfId="1132" priority="323" stopIfTrue="1">
      <formula>$T500=1</formula>
    </cfRule>
  </conditionalFormatting>
  <conditionalFormatting sqref="A500:A502 C500:D502">
    <cfRule type="expression" dxfId="1131" priority="336" stopIfTrue="1">
      <formula>$T503=1</formula>
    </cfRule>
    <cfRule type="expression" dxfId="1130" priority="329" stopIfTrue="1">
      <formula>$T502=1</formula>
    </cfRule>
  </conditionalFormatting>
  <conditionalFormatting sqref="A503:A504">
    <cfRule type="expression" dxfId="1129" priority="298" stopIfTrue="1">
      <formula>$T507=1</formula>
    </cfRule>
    <cfRule type="expression" dxfId="1128" priority="299" stopIfTrue="1">
      <formula>$T506=1</formula>
    </cfRule>
  </conditionalFormatting>
  <conditionalFormatting sqref="A505">
    <cfRule type="expression" dxfId="1127" priority="340" stopIfTrue="1">
      <formula>$T513=1</formula>
    </cfRule>
    <cfRule type="expression" dxfId="1126" priority="339" stopIfTrue="1">
      <formula>$T512=1</formula>
    </cfRule>
  </conditionalFormatting>
  <conditionalFormatting sqref="A506">
    <cfRule type="expression" dxfId="1125" priority="270" stopIfTrue="1">
      <formula>$T512=1</formula>
    </cfRule>
    <cfRule type="expression" dxfId="1124" priority="271" stopIfTrue="1">
      <formula>$T511=1</formula>
    </cfRule>
  </conditionalFormatting>
  <conditionalFormatting sqref="A507">
    <cfRule type="expression" dxfId="1123" priority="280" stopIfTrue="1">
      <formula>$T511=1</formula>
    </cfRule>
    <cfRule type="expression" dxfId="1122" priority="281" stopIfTrue="1">
      <formula>$T509=1</formula>
    </cfRule>
  </conditionalFormatting>
  <conditionalFormatting sqref="A509:A515">
    <cfRule type="expression" dxfId="1121" priority="1059" stopIfTrue="1">
      <formula>$T518=1</formula>
    </cfRule>
  </conditionalFormatting>
  <conditionalFormatting sqref="A516">
    <cfRule type="expression" dxfId="1120" priority="1060" stopIfTrue="1">
      <formula>$T525=1</formula>
    </cfRule>
    <cfRule type="expression" dxfId="1119" priority="1057" stopIfTrue="1">
      <formula>$T524=1</formula>
    </cfRule>
  </conditionalFormatting>
  <conditionalFormatting sqref="A530">
    <cfRule type="expression" dxfId="1118" priority="169" stopIfTrue="1">
      <formula>$T$34=1</formula>
    </cfRule>
  </conditionalFormatting>
  <conditionalFormatting sqref="A531:A558 C531:D558 A560:A563 C560:D563 A565:A568 C565:D568">
    <cfRule type="expression" dxfId="1117" priority="168" stopIfTrue="1">
      <formula>$T530=1</formula>
    </cfRule>
  </conditionalFormatting>
  <conditionalFormatting sqref="A531:A568 C531:D568">
    <cfRule type="expression" dxfId="1116" priority="167" stopIfTrue="1">
      <formula>$T531=1</formula>
    </cfRule>
  </conditionalFormatting>
  <conditionalFormatting sqref="A559 C559:D559 A564 C564:D564">
    <cfRule type="expression" dxfId="1115" priority="1078" stopIfTrue="1">
      <formula>#REF!=1</formula>
    </cfRule>
  </conditionalFormatting>
  <conditionalFormatting sqref="A569:A575">
    <cfRule type="expression" dxfId="1114" priority="212" stopIfTrue="1">
      <formula>$T578=1</formula>
    </cfRule>
  </conditionalFormatting>
  <conditionalFormatting sqref="A576">
    <cfRule type="expression" dxfId="1113" priority="213" stopIfTrue="1">
      <formula>$T585=1</formula>
    </cfRule>
    <cfRule type="expression" dxfId="1112" priority="211" stopIfTrue="1">
      <formula>$T584=1</formula>
    </cfRule>
  </conditionalFormatting>
  <conditionalFormatting sqref="A577">
    <cfRule type="expression" dxfId="1111" priority="207" stopIfTrue="1">
      <formula>$T584=1</formula>
    </cfRule>
    <cfRule type="expression" dxfId="1110" priority="208" stopIfTrue="1">
      <formula>$T585=1</formula>
    </cfRule>
  </conditionalFormatting>
  <conditionalFormatting sqref="A578">
    <cfRule type="expression" dxfId="1109" priority="210" stopIfTrue="1">
      <formula>$T585=1</formula>
    </cfRule>
  </conditionalFormatting>
  <conditionalFormatting sqref="A587">
    <cfRule type="expression" dxfId="1108" priority="107" stopIfTrue="1">
      <formula>$S$34=1</formula>
    </cfRule>
  </conditionalFormatting>
  <conditionalFormatting sqref="A588:A602 C588:D602 A604:A607 C604:D607 A609:A610 C609:D610 A612 C612:D612 A615:A616 C615:D616">
    <cfRule type="expression" dxfId="1107" priority="99" stopIfTrue="1">
      <formula>$S587=1</formula>
    </cfRule>
  </conditionalFormatting>
  <conditionalFormatting sqref="A588:A617 C588:D617">
    <cfRule type="expression" dxfId="1106" priority="98" stopIfTrue="1">
      <formula>$S588=1</formula>
    </cfRule>
  </conditionalFormatting>
  <conditionalFormatting sqref="A603 C603:D603 A608 C608:D608 A611 C611:D611 A613:A614 C613:D614 A617 C617:D617">
    <cfRule type="expression" dxfId="1105" priority="1097" stopIfTrue="1">
      <formula>#REF!=1</formula>
    </cfRule>
  </conditionalFormatting>
  <conditionalFormatting sqref="A618">
    <cfRule type="expression" dxfId="1104" priority="143" stopIfTrue="1">
      <formula>$T625=1</formula>
    </cfRule>
    <cfRule type="expression" dxfId="1103" priority="146" stopIfTrue="1">
      <formula>$T624=1</formula>
    </cfRule>
  </conditionalFormatting>
  <conditionalFormatting sqref="A669">
    <cfRule type="expression" dxfId="1102" priority="53" stopIfTrue="1">
      <formula>$S$34=1</formula>
    </cfRule>
  </conditionalFormatting>
  <conditionalFormatting sqref="A670 A672:A673">
    <cfRule type="expression" dxfId="1101" priority="51" stopIfTrue="1">
      <formula>$S670=1</formula>
    </cfRule>
    <cfRule type="expression" dxfId="1100" priority="52" stopIfTrue="1">
      <formula>$S669=1</formula>
    </cfRule>
  </conditionalFormatting>
  <conditionalFormatting sqref="A671">
    <cfRule type="expression" dxfId="1099" priority="44">
      <formula>$F671="TERMINADA"</formula>
    </cfRule>
    <cfRule type="expression" dxfId="1098" priority="45">
      <formula>$F671="ANULADA"</formula>
    </cfRule>
  </conditionalFormatting>
  <conditionalFormatting sqref="A674">
    <cfRule type="expression" dxfId="1097" priority="43">
      <formula>$F674="ANULADA"</formula>
    </cfRule>
    <cfRule type="expression" dxfId="1096" priority="42">
      <formula>$F674="TERMINADA"</formula>
    </cfRule>
  </conditionalFormatting>
  <conditionalFormatting sqref="A695 C695:D695 A698 C698:D698 A700 C700:D700 A702 C702:D702">
    <cfRule type="expression" dxfId="1095" priority="1122" stopIfTrue="1">
      <formula>#REF!=1</formula>
    </cfRule>
  </conditionalFormatting>
  <conditionalFormatting sqref="A754 J754:J755">
    <cfRule type="expression" dxfId="1094" priority="20" stopIfTrue="1">
      <formula>$S$34=1</formula>
    </cfRule>
  </conditionalFormatting>
  <conditionalFormatting sqref="A755:A779 C755:D779 I756:J779">
    <cfRule type="expression" dxfId="1093" priority="14" stopIfTrue="1">
      <formula>$T755=1</formula>
    </cfRule>
    <cfRule type="expression" dxfId="1092" priority="15" stopIfTrue="1">
      <formula>$T754=1</formula>
    </cfRule>
  </conditionalFormatting>
  <conditionalFormatting sqref="A780 C780:D780">
    <cfRule type="expression" dxfId="1091" priority="1133" stopIfTrue="1">
      <formula>$T779=1</formula>
    </cfRule>
  </conditionalFormatting>
  <conditionalFormatting sqref="A780:A798 C780:D799">
    <cfRule type="expression" dxfId="1090" priority="18" stopIfTrue="1">
      <formula>$S780=1</formula>
    </cfRule>
  </conditionalFormatting>
  <conditionalFormatting sqref="A781:A798 C781:D799">
    <cfRule type="expression" dxfId="1089" priority="19" stopIfTrue="1">
      <formula>$S780=1</formula>
    </cfRule>
  </conditionalFormatting>
  <conditionalFormatting sqref="A799">
    <cfRule type="expression" dxfId="1088" priority="1" stopIfTrue="1">
      <formula>$T799=1</formula>
    </cfRule>
    <cfRule type="expression" dxfId="1087" priority="2" stopIfTrue="1">
      <formula>$T798=1</formula>
    </cfRule>
  </conditionalFormatting>
  <conditionalFormatting sqref="A807:A836">
    <cfRule type="expression" dxfId="1086" priority="9">
      <formula>$F807="TERMINADA"</formula>
    </cfRule>
    <cfRule type="expression" dxfId="1085" priority="10">
      <formula>$F807="ANULADA"</formula>
    </cfRule>
  </conditionalFormatting>
  <conditionalFormatting sqref="A710:D711 A713:D717">
    <cfRule type="expression" dxfId="1084" priority="1118">
      <formula>#REF!="TERMINADA"</formula>
    </cfRule>
    <cfRule type="expression" dxfId="1083" priority="1119">
      <formula>#REF!="ANULADA"</formula>
    </cfRule>
  </conditionalFormatting>
  <conditionalFormatting sqref="A712:D712">
    <cfRule type="expression" dxfId="1082" priority="1117">
      <formula>$F702="ANULADA"</formula>
    </cfRule>
    <cfRule type="expression" dxfId="1081" priority="1116">
      <formula>$F702="TERMINADA"</formula>
    </cfRule>
  </conditionalFormatting>
  <conditionalFormatting sqref="A718:D744">
    <cfRule type="expression" dxfId="1080" priority="47">
      <formula>$F703="ANULADA"</formula>
    </cfRule>
    <cfRule type="expression" dxfId="1079" priority="46">
      <formula>$F703="TERMINADA"</formula>
    </cfRule>
  </conditionalFormatting>
  <conditionalFormatting sqref="A837:D841">
    <cfRule type="expression" dxfId="1078" priority="33">
      <formula>$F822="TERMINADA"</formula>
    </cfRule>
    <cfRule type="expression" dxfId="1077" priority="34">
      <formula>$F822="ANULADA"</formula>
    </cfRule>
  </conditionalFormatting>
  <conditionalFormatting sqref="B807:B836">
    <cfRule type="expression" dxfId="1076" priority="8">
      <formula>$F807="ANULADA"</formula>
    </cfRule>
    <cfRule type="expression" dxfId="1075" priority="7">
      <formula>$F807="TERMINADA"</formula>
    </cfRule>
  </conditionalFormatting>
  <conditionalFormatting sqref="C50">
    <cfRule type="expression" dxfId="1074" priority="891" stopIfTrue="1">
      <formula>$T$34=1</formula>
    </cfRule>
  </conditionalFormatting>
  <conditionalFormatting sqref="C51:C60 F249 F294:F295 F347">
    <cfRule type="expression" dxfId="1073" priority="892" stopIfTrue="1">
      <formula>#REF!=1</formula>
    </cfRule>
    <cfRule type="expression" dxfId="1072" priority="893" stopIfTrue="1">
      <formula>#REF!=1</formula>
    </cfRule>
  </conditionalFormatting>
  <conditionalFormatting sqref="C61">
    <cfRule type="expression" dxfId="1071" priority="894" stopIfTrue="1">
      <formula>$S61=1</formula>
    </cfRule>
    <cfRule type="expression" dxfId="1070" priority="895" stopIfTrue="1">
      <formula>#REF!=1</formula>
    </cfRule>
  </conditionalFormatting>
  <conditionalFormatting sqref="C96">
    <cfRule type="expression" dxfId="1069" priority="836" stopIfTrue="1">
      <formula>$T$34=1</formula>
    </cfRule>
  </conditionalFormatting>
  <conditionalFormatting sqref="C97:C103">
    <cfRule type="expression" dxfId="1068" priority="838" stopIfTrue="1">
      <formula>$U99=1</formula>
    </cfRule>
    <cfRule type="expression" dxfId="1067" priority="837" stopIfTrue="1">
      <formula>$U100=1</formula>
    </cfRule>
  </conditionalFormatting>
  <conditionalFormatting sqref="C104">
    <cfRule type="expression" dxfId="1066" priority="843" stopIfTrue="1">
      <formula>$U106=1</formula>
    </cfRule>
  </conditionalFormatting>
  <conditionalFormatting sqref="C104:C106">
    <cfRule type="expression" dxfId="1065" priority="839" stopIfTrue="1">
      <formula>#REF!=1</formula>
    </cfRule>
  </conditionalFormatting>
  <conditionalFormatting sqref="C105:C106">
    <cfRule type="expression" dxfId="1064" priority="840" stopIfTrue="1">
      <formula>#REF!=1</formula>
    </cfRule>
  </conditionalFormatting>
  <conditionalFormatting sqref="C107">
    <cfRule type="expression" dxfId="1063" priority="842" stopIfTrue="1">
      <formula>#REF!=1</formula>
    </cfRule>
    <cfRule type="expression" dxfId="1062" priority="841" stopIfTrue="1">
      <formula>$T107=1</formula>
    </cfRule>
  </conditionalFormatting>
  <conditionalFormatting sqref="C174">
    <cfRule type="expression" dxfId="1061" priority="747" stopIfTrue="1">
      <formula>$T$34=1</formula>
    </cfRule>
  </conditionalFormatting>
  <conditionalFormatting sqref="C186">
    <cfRule type="expression" dxfId="1060" priority="999" stopIfTrue="1">
      <formula>$I184=1</formula>
    </cfRule>
  </conditionalFormatting>
  <conditionalFormatting sqref="C355">
    <cfRule type="expression" dxfId="1059" priority="485" stopIfTrue="1">
      <formula>$T$34=1</formula>
    </cfRule>
  </conditionalFormatting>
  <conditionalFormatting sqref="C413">
    <cfRule type="expression" dxfId="1058" priority="421" stopIfTrue="1">
      <formula>$T$34=1</formula>
    </cfRule>
  </conditionalFormatting>
  <conditionalFormatting sqref="C465">
    <cfRule type="expression" dxfId="1057" priority="294" stopIfTrue="1">
      <formula>$T$34=1</formula>
    </cfRule>
  </conditionalFormatting>
  <conditionalFormatting sqref="C669">
    <cfRule type="expression" dxfId="1056" priority="50" stopIfTrue="1">
      <formula>$S$34=1</formula>
    </cfRule>
  </conditionalFormatting>
  <conditionalFormatting sqref="C670:C694 J671:J675 A675:A694 D678:D694 A696:A697 C696:D697 A699 C699:D699 A701 C701:D701">
    <cfRule type="expression" dxfId="1055" priority="61" stopIfTrue="1">
      <formula>$S669=1</formula>
    </cfRule>
  </conditionalFormatting>
  <conditionalFormatting sqref="C670:C694 J671:J675 A675:A702 D678:D694 C695:D702">
    <cfRule type="expression" dxfId="1054" priority="60" stopIfTrue="1">
      <formula>$S670=1</formula>
    </cfRule>
  </conditionalFormatting>
  <conditionalFormatting sqref="C807:C836">
    <cfRule type="expression" dxfId="1053" priority="6">
      <formula>$F807="ANULADA"</formula>
    </cfRule>
    <cfRule type="expression" dxfId="1052" priority="5">
      <formula>$F807="TERMINADA"</formula>
    </cfRule>
  </conditionalFormatting>
  <conditionalFormatting sqref="C3:D3">
    <cfRule type="expression" dxfId="1051" priority="945" stopIfTrue="1">
      <formula>#REF!=1</formula>
    </cfRule>
  </conditionalFormatting>
  <conditionalFormatting sqref="C4:D9">
    <cfRule type="expression" dxfId="1050" priority="943" stopIfTrue="1">
      <formula>$Q4=1</formula>
    </cfRule>
    <cfRule type="expression" dxfId="1049" priority="944" stopIfTrue="1">
      <formula>$Q3=1</formula>
    </cfRule>
  </conditionalFormatting>
  <conditionalFormatting sqref="C10:D10">
    <cfRule type="expression" dxfId="1048" priority="947" stopIfTrue="1">
      <formula>$Q9=1</formula>
    </cfRule>
  </conditionalFormatting>
  <conditionalFormatting sqref="C10:D42">
    <cfRule type="expression" dxfId="1047" priority="946" stopIfTrue="1">
      <formula>#REF!=1</formula>
    </cfRule>
  </conditionalFormatting>
  <conditionalFormatting sqref="C136:D136">
    <cfRule type="expression" dxfId="1046" priority="785" stopIfTrue="1">
      <formula>$T$34=1</formula>
    </cfRule>
  </conditionalFormatting>
  <conditionalFormatting sqref="C141:D141 C165:D167 A165 A141 A159 C159:D159 C163:D163 A163">
    <cfRule type="expression" dxfId="1045" priority="956" stopIfTrue="1">
      <formula>#REF!=1</formula>
    </cfRule>
  </conditionalFormatting>
  <conditionalFormatting sqref="C160:D163">
    <cfRule type="expression" dxfId="1044" priority="749" stopIfTrue="1">
      <formula>$L160=1</formula>
    </cfRule>
  </conditionalFormatting>
  <conditionalFormatting sqref="C161:D162">
    <cfRule type="expression" dxfId="1043" priority="750" stopIfTrue="1">
      <formula>$L160=1</formula>
    </cfRule>
  </conditionalFormatting>
  <conditionalFormatting sqref="C184:D184 A184">
    <cfRule type="expression" dxfId="1042" priority="1003" stopIfTrue="1">
      <formula>#REF!=1</formula>
    </cfRule>
  </conditionalFormatting>
  <conditionalFormatting sqref="C184:D184">
    <cfRule type="expression" dxfId="1041" priority="1002" stopIfTrue="1">
      <formula>$I183=1</formula>
    </cfRule>
  </conditionalFormatting>
  <conditionalFormatting sqref="C204:D205 A160:A163 F163 F201:F203 C175:C182 D181:D182 C186:C203 E233:F235">
    <cfRule type="expression" dxfId="1040" priority="984" stopIfTrue="1">
      <formula>$L160=1</formula>
    </cfRule>
  </conditionalFormatting>
  <conditionalFormatting sqref="C214:D214">
    <cfRule type="expression" dxfId="1039" priority="666" stopIfTrue="1">
      <formula>$T$34=1</formula>
    </cfRule>
  </conditionalFormatting>
  <conditionalFormatting sqref="C215:D234">
    <cfRule type="expression" dxfId="1038" priority="668" stopIfTrue="1">
      <formula>$T214=1</formula>
    </cfRule>
  </conditionalFormatting>
  <conditionalFormatting sqref="C215:D245">
    <cfRule type="expression" dxfId="1037" priority="667" stopIfTrue="1">
      <formula>$T215=1</formula>
    </cfRule>
  </conditionalFormatting>
  <conditionalFormatting sqref="C235:D235 A235">
    <cfRule type="expression" dxfId="1036" priority="1006" stopIfTrue="1">
      <formula>#REF!=1</formula>
    </cfRule>
  </conditionalFormatting>
  <conditionalFormatting sqref="C256:D256">
    <cfRule type="expression" dxfId="1035" priority="616" stopIfTrue="1">
      <formula>$T$34=1</formula>
    </cfRule>
  </conditionalFormatting>
  <conditionalFormatting sqref="C275:D292">
    <cfRule type="expression" dxfId="1034" priority="621" stopIfTrue="1">
      <formula>$T275=1</formula>
    </cfRule>
    <cfRule type="expression" dxfId="1033" priority="620" stopIfTrue="1">
      <formula>$T276=1</formula>
    </cfRule>
  </conditionalFormatting>
  <conditionalFormatting sqref="C294:D294">
    <cfRule type="expression" dxfId="1032" priority="1012" stopIfTrue="1">
      <formula>$T293=1</formula>
    </cfRule>
  </conditionalFormatting>
  <conditionalFormatting sqref="C304:D304">
    <cfRule type="expression" dxfId="1031" priority="549" stopIfTrue="1">
      <formula>$T$34=1</formula>
    </cfRule>
  </conditionalFormatting>
  <conditionalFormatting sqref="C305:D344">
    <cfRule type="expression" dxfId="1030" priority="540" stopIfTrue="1">
      <formula>$T305=1</formula>
    </cfRule>
  </conditionalFormatting>
  <conditionalFormatting sqref="C341:D341 A341 L516">
    <cfRule type="expression" dxfId="1029" priority="541" stopIfTrue="1">
      <formula>$T339=1</formula>
    </cfRule>
  </conditionalFormatting>
  <conditionalFormatting sqref="C365:D370 A4:A9 E368:F368 E370:F370">
    <cfRule type="expression" dxfId="1028" priority="949" stopIfTrue="1">
      <formula>$Q4=1</formula>
    </cfRule>
  </conditionalFormatting>
  <conditionalFormatting sqref="C441:D441 C499:D499 A275:A295 C294:D295 A390:A394 C390:D394 E392:F394">
    <cfRule type="expression" dxfId="1027" priority="489" stopIfTrue="1">
      <formula>$T276=1</formula>
    </cfRule>
  </conditionalFormatting>
  <conditionalFormatting sqref="C449:D449 A450:A451 C450:F451 C510:D510 C513:D513 C516:D516 A518 C573:D573 C576:D576">
    <cfRule type="expression" dxfId="1026" priority="1054" stopIfTrue="1">
      <formula>$T456=1</formula>
    </cfRule>
  </conditionalFormatting>
  <conditionalFormatting sqref="C507:D507">
    <cfRule type="expression" dxfId="1025" priority="351" stopIfTrue="1">
      <formula>$T514=1</formula>
    </cfRule>
  </conditionalFormatting>
  <conditionalFormatting sqref="C507:D508 A578 C449:D451 A450:A451 A508 C510:D511 C513:D514 C516:D517 A518 C573:D574 C576:D577">
    <cfRule type="expression" dxfId="1024" priority="1053" stopIfTrue="1">
      <formula>$T455=1</formula>
    </cfRule>
  </conditionalFormatting>
  <conditionalFormatting sqref="C530:D530">
    <cfRule type="expression" dxfId="1023" priority="166" stopIfTrue="1">
      <formula>$T$34=1</formula>
    </cfRule>
  </conditionalFormatting>
  <conditionalFormatting sqref="C569:D569">
    <cfRule type="expression" dxfId="1022" priority="202" stopIfTrue="1">
      <formula>$T576=1</formula>
    </cfRule>
  </conditionalFormatting>
  <conditionalFormatting sqref="C570:D570">
    <cfRule type="expression" dxfId="1021" priority="204" stopIfTrue="1">
      <formula>$T577=1</formula>
    </cfRule>
  </conditionalFormatting>
  <conditionalFormatting sqref="C570:D571">
    <cfRule type="expression" dxfId="1020" priority="209" stopIfTrue="1">
      <formula>$T576=1</formula>
    </cfRule>
  </conditionalFormatting>
  <conditionalFormatting sqref="C587:D587">
    <cfRule type="expression" dxfId="1019" priority="106" stopIfTrue="1">
      <formula>$S$34=1</formula>
    </cfRule>
  </conditionalFormatting>
  <conditionalFormatting sqref="C618:D618">
    <cfRule type="expression" dxfId="1018" priority="145" stopIfTrue="1">
      <formula>$T626=1</formula>
    </cfRule>
    <cfRule type="expression" dxfId="1017" priority="144" stopIfTrue="1">
      <formula>$T625=1</formula>
    </cfRule>
  </conditionalFormatting>
  <conditionalFormatting sqref="C754:D754">
    <cfRule type="expression" dxfId="1016" priority="17" stopIfTrue="1">
      <formula>$S$34=1</formula>
    </cfRule>
  </conditionalFormatting>
  <conditionalFormatting sqref="C128:F128 A128">
    <cfRule type="expression" dxfId="1015" priority="852" stopIfTrue="1">
      <formula>#REF!=1</formula>
    </cfRule>
  </conditionalFormatting>
  <conditionalFormatting sqref="C128:F128">
    <cfRule type="expression" dxfId="1014" priority="851" stopIfTrue="1">
      <formula>$T128=1</formula>
    </cfRule>
  </conditionalFormatting>
  <conditionalFormatting sqref="C185:F185 A185:A186">
    <cfRule type="expression" dxfId="1013" priority="741" stopIfTrue="1">
      <formula>$I183=1</formula>
    </cfRule>
  </conditionalFormatting>
  <conditionalFormatting sqref="C293:F293">
    <cfRule type="expression" dxfId="1012" priority="600" stopIfTrue="1">
      <formula>$T293=1</formula>
    </cfRule>
    <cfRule type="expression" dxfId="1011" priority="599" stopIfTrue="1">
      <formula>$T294=1</formula>
    </cfRule>
  </conditionalFormatting>
  <conditionalFormatting sqref="C345:F346 C347:D347 A383 C383:D383 A345:A347">
    <cfRule type="expression" dxfId="1010" priority="1015" stopIfTrue="1">
      <formula>#REF!=1</formula>
    </cfRule>
  </conditionalFormatting>
  <conditionalFormatting sqref="C345:F346">
    <cfRule type="expression" dxfId="1009" priority="1014" stopIfTrue="1">
      <formula>$T345=1</formula>
    </cfRule>
  </conditionalFormatting>
  <conditionalFormatting sqref="C479:F479 A427 C427:F427">
    <cfRule type="expression" dxfId="1008" priority="449" stopIfTrue="1">
      <formula>$O428=1</formula>
    </cfRule>
  </conditionalFormatting>
  <conditionalFormatting sqref="C508:F508 A508:A515 C511:F511 C514:F514 C517:F517 C574:F574 C577:F577 A569:A575 C571:F571">
    <cfRule type="expression" dxfId="1007" priority="1058" stopIfTrue="1">
      <formula>$T518=1</formula>
    </cfRule>
  </conditionalFormatting>
  <conditionalFormatting sqref="D50">
    <cfRule type="expression" dxfId="1006" priority="886" stopIfTrue="1">
      <formula>$T$34=1</formula>
    </cfRule>
  </conditionalFormatting>
  <conditionalFormatting sqref="D51:D60">
    <cfRule type="expression" dxfId="1005" priority="887" stopIfTrue="1">
      <formula>#REF!=1</formula>
    </cfRule>
    <cfRule type="expression" dxfId="1004" priority="888" stopIfTrue="1">
      <formula>#REF!=1</formula>
    </cfRule>
  </conditionalFormatting>
  <conditionalFormatting sqref="D61">
    <cfRule type="expression" dxfId="1003" priority="889" stopIfTrue="1">
      <formula>$S61=1</formula>
    </cfRule>
    <cfRule type="expression" dxfId="1002" priority="890" stopIfTrue="1">
      <formula>#REF!=1</formula>
    </cfRule>
  </conditionalFormatting>
  <conditionalFormatting sqref="D96">
    <cfRule type="expression" dxfId="1001" priority="828" stopIfTrue="1">
      <formula>$T$34=1</formula>
    </cfRule>
  </conditionalFormatting>
  <conditionalFormatting sqref="D97:D103">
    <cfRule type="expression" dxfId="1000" priority="830" stopIfTrue="1">
      <formula>$U99=1</formula>
    </cfRule>
    <cfRule type="expression" dxfId="999" priority="829" stopIfTrue="1">
      <formula>$U100=1</formula>
    </cfRule>
  </conditionalFormatting>
  <conditionalFormatting sqref="D104">
    <cfRule type="expression" dxfId="998" priority="835" stopIfTrue="1">
      <formula>$U106=1</formula>
    </cfRule>
  </conditionalFormatting>
  <conditionalFormatting sqref="D104:D106">
    <cfRule type="expression" dxfId="997" priority="831" stopIfTrue="1">
      <formula>#REF!=1</formula>
    </cfRule>
  </conditionalFormatting>
  <conditionalFormatting sqref="D105:D106">
    <cfRule type="expression" dxfId="996" priority="832" stopIfTrue="1">
      <formula>#REF!=1</formula>
    </cfRule>
  </conditionalFormatting>
  <conditionalFormatting sqref="D107">
    <cfRule type="expression" dxfId="995" priority="834" stopIfTrue="1">
      <formula>#REF!=1</formula>
    </cfRule>
    <cfRule type="expression" dxfId="994" priority="833" stopIfTrue="1">
      <formula>$T107=1</formula>
    </cfRule>
  </conditionalFormatting>
  <conditionalFormatting sqref="D174">
    <cfRule type="expression" dxfId="993" priority="723" stopIfTrue="1">
      <formula>$T$34=1</formula>
    </cfRule>
  </conditionalFormatting>
  <conditionalFormatting sqref="D175:D179">
    <cfRule type="expression" dxfId="992" priority="721" stopIfTrue="1">
      <formula>$L175=1</formula>
    </cfRule>
    <cfRule type="expression" dxfId="991" priority="722" stopIfTrue="1">
      <formula>$L174=1</formula>
    </cfRule>
  </conditionalFormatting>
  <conditionalFormatting sqref="D180">
    <cfRule type="expression" dxfId="990" priority="724" stopIfTrue="1">
      <formula>$B180&gt;0</formula>
    </cfRule>
  </conditionalFormatting>
  <conditionalFormatting sqref="D186:D203">
    <cfRule type="expression" dxfId="989" priority="719" stopIfTrue="1">
      <formula>$L186=1</formula>
    </cfRule>
    <cfRule type="expression" dxfId="988" priority="720" stopIfTrue="1">
      <formula>$L185=1</formula>
    </cfRule>
  </conditionalFormatting>
  <conditionalFormatting sqref="D355">
    <cfRule type="expression" dxfId="987" priority="484" stopIfTrue="1">
      <formula>$T$34=1</formula>
    </cfRule>
  </conditionalFormatting>
  <conditionalFormatting sqref="D413">
    <cfRule type="expression" dxfId="986" priority="420" stopIfTrue="1">
      <formula>$T$34=1</formula>
    </cfRule>
  </conditionalFormatting>
  <conditionalFormatting sqref="D465">
    <cfRule type="expression" dxfId="985" priority="293" stopIfTrue="1">
      <formula>$T$34=1</formula>
    </cfRule>
  </conditionalFormatting>
  <conditionalFormatting sqref="D669">
    <cfRule type="expression" dxfId="984" priority="41" stopIfTrue="1">
      <formula>$S$34=1</formula>
    </cfRule>
  </conditionalFormatting>
  <conditionalFormatting sqref="D670:D676">
    <cfRule type="expression" dxfId="983" priority="48" stopIfTrue="1">
      <formula>$S670=1</formula>
    </cfRule>
    <cfRule type="expression" dxfId="982" priority="49" stopIfTrue="1">
      <formula>$S669=1</formula>
    </cfRule>
  </conditionalFormatting>
  <conditionalFormatting sqref="D807:D836">
    <cfRule type="expression" dxfId="981" priority="4">
      <formula>$F807="ANULADA"</formula>
    </cfRule>
    <cfRule type="expression" dxfId="980" priority="3">
      <formula>$F807="TERMINADA"</formula>
    </cfRule>
  </conditionalFormatting>
  <conditionalFormatting sqref="E97 F120:F121 F129 K145:L149 E247:F247 E509:F509 E512:F512 E515:F515 E518:F518 E572:F572 E575:F575 E578:F578 H587:H602 F598:F602 H604:H607">
    <cfRule type="expression" dxfId="979" priority="805" stopIfTrue="1">
      <formula>$T96=1</formula>
    </cfRule>
  </conditionalFormatting>
  <conditionalFormatting sqref="E97 F120:F121 F129 K145:L149 E247:F247 E509:F509 E512:F512 E515:F515 E518:F518 E572:F572 E575:F575 E578:F578 H587:H607 F598:F602">
    <cfRule type="expression" dxfId="978" priority="804" stopIfTrue="1">
      <formula>$T97=1</formula>
    </cfRule>
  </conditionalFormatting>
  <conditionalFormatting sqref="E101:E102 F788:F799">
    <cfRule type="expression" dxfId="977" priority="807" stopIfTrue="1">
      <formula>$T100=1</formula>
    </cfRule>
  </conditionalFormatting>
  <conditionalFormatting sqref="E113:E118 F780:F799">
    <cfRule type="expression" dxfId="976" priority="800" stopIfTrue="1">
      <formula>$T113=1</formula>
    </cfRule>
  </conditionalFormatting>
  <conditionalFormatting sqref="E113:E118 F781:F799">
    <cfRule type="expression" dxfId="975" priority="801" stopIfTrue="1">
      <formula>$T112=1</formula>
    </cfRule>
  </conditionalFormatting>
  <conditionalFormatting sqref="E120:E121">
    <cfRule type="expression" dxfId="974" priority="803" stopIfTrue="1">
      <formula>$T119=1</formula>
    </cfRule>
    <cfRule type="expression" dxfId="973" priority="802" stopIfTrue="1">
      <formula>$T120=1</formula>
    </cfRule>
  </conditionalFormatting>
  <conditionalFormatting sqref="E152:E154">
    <cfRule type="expression" dxfId="972" priority="786" stopIfTrue="1">
      <formula>$T152=1</formula>
    </cfRule>
    <cfRule type="expression" dxfId="971" priority="787" stopIfTrue="1">
      <formula>$T151=1</formula>
    </cfRule>
  </conditionalFormatting>
  <conditionalFormatting sqref="E160">
    <cfRule type="expression" dxfId="970" priority="980" stopIfTrue="1">
      <formula>$K160=1</formula>
    </cfRule>
    <cfRule type="expression" dxfId="969" priority="981" stopIfTrue="1">
      <formula>$L159=1</formula>
    </cfRule>
  </conditionalFormatting>
  <conditionalFormatting sqref="E192">
    <cfRule type="expression" dxfId="968" priority="753" stopIfTrue="1">
      <formula>$L192=1</formula>
    </cfRule>
    <cfRule type="expression" dxfId="967" priority="754" stopIfTrue="1">
      <formula>$L191=1</formula>
    </cfRule>
  </conditionalFormatting>
  <conditionalFormatting sqref="E198">
    <cfRule type="expression" dxfId="966" priority="761" stopIfTrue="1">
      <formula>$K197=1</formula>
    </cfRule>
    <cfRule type="expression" dxfId="965" priority="760" stopIfTrue="1">
      <formula>$K198=1</formula>
    </cfRule>
  </conditionalFormatting>
  <conditionalFormatting sqref="E232">
    <cfRule type="expression" dxfId="964" priority="688" stopIfTrue="1">
      <formula>$L231=1</formula>
    </cfRule>
    <cfRule type="expression" dxfId="963" priority="687" stopIfTrue="1">
      <formula>$L232=1</formula>
    </cfRule>
  </conditionalFormatting>
  <conditionalFormatting sqref="E237">
    <cfRule type="expression" dxfId="962" priority="692" stopIfTrue="1">
      <formula>$K236=1</formula>
    </cfRule>
    <cfRule type="expression" dxfId="961" priority="691" stopIfTrue="1">
      <formula>$K237=1</formula>
    </cfRule>
  </conditionalFormatting>
  <conditionalFormatting sqref="E274">
    <cfRule type="expression" dxfId="960" priority="635" stopIfTrue="1">
      <formula>$L274=1</formula>
    </cfRule>
    <cfRule type="expression" dxfId="959" priority="636" stopIfTrue="1">
      <formula>$L273=1</formula>
    </cfRule>
  </conditionalFormatting>
  <conditionalFormatting sqref="E322">
    <cfRule type="expression" dxfId="958" priority="579" stopIfTrue="1">
      <formula>$L322=1</formula>
    </cfRule>
    <cfRule type="expression" dxfId="957" priority="580" stopIfTrue="1">
      <formula>$L321=1</formula>
    </cfRule>
  </conditionalFormatting>
  <conditionalFormatting sqref="E413">
    <cfRule type="expression" dxfId="956" priority="386" stopIfTrue="1">
      <formula>$T412=1</formula>
    </cfRule>
    <cfRule type="expression" dxfId="955" priority="385" stopIfTrue="1">
      <formula>$T413=1</formula>
    </cfRule>
  </conditionalFormatting>
  <conditionalFormatting sqref="E420">
    <cfRule type="expression" dxfId="954" priority="374" stopIfTrue="1">
      <formula>$T421=1</formula>
    </cfRule>
    <cfRule type="expression" dxfId="953" priority="373" stopIfTrue="1">
      <formula>$T422=1</formula>
    </cfRule>
  </conditionalFormatting>
  <conditionalFormatting sqref="E422">
    <cfRule type="expression" dxfId="952" priority="365" stopIfTrue="1">
      <formula>$T424=1</formula>
    </cfRule>
    <cfRule type="expression" dxfId="951" priority="366" stopIfTrue="1">
      <formula>$T423=1</formula>
    </cfRule>
  </conditionalFormatting>
  <conditionalFormatting sqref="E424">
    <cfRule type="expression" dxfId="950" priority="382" stopIfTrue="1">
      <formula>$T423=1</formula>
    </cfRule>
    <cfRule type="expression" dxfId="949" priority="381" stopIfTrue="1">
      <formula>$T424=1</formula>
    </cfRule>
  </conditionalFormatting>
  <conditionalFormatting sqref="E430">
    <cfRule type="expression" dxfId="948" priority="395" stopIfTrue="1">
      <formula>$T430=1</formula>
    </cfRule>
    <cfRule type="expression" dxfId="947" priority="396" stopIfTrue="1">
      <formula>$T429=1</formula>
    </cfRule>
  </conditionalFormatting>
  <conditionalFormatting sqref="E441">
    <cfRule type="expression" dxfId="946" priority="371" stopIfTrue="1">
      <formula>#REF!=1</formula>
    </cfRule>
    <cfRule type="expression" dxfId="945" priority="372" stopIfTrue="1">
      <formula>$T442=1</formula>
    </cfRule>
  </conditionalFormatting>
  <conditionalFormatting sqref="E448">
    <cfRule type="expression" dxfId="944" priority="390" stopIfTrue="1">
      <formula>$T451=1</formula>
    </cfRule>
    <cfRule type="expression" dxfId="943" priority="389" stopIfTrue="1">
      <formula>$T452=1</formula>
    </cfRule>
  </conditionalFormatting>
  <conditionalFormatting sqref="E472">
    <cfRule type="expression" dxfId="942" priority="261" stopIfTrue="1">
      <formula>$T473=1</formula>
    </cfRule>
    <cfRule type="expression" dxfId="941" priority="260" stopIfTrue="1">
      <formula>$T474=1</formula>
    </cfRule>
  </conditionalFormatting>
  <conditionalFormatting sqref="E474">
    <cfRule type="expression" dxfId="940" priority="252" stopIfTrue="1">
      <formula>$T476=1</formula>
    </cfRule>
    <cfRule type="expression" dxfId="939" priority="253" stopIfTrue="1">
      <formula>$T475=1</formula>
    </cfRule>
  </conditionalFormatting>
  <conditionalFormatting sqref="E476">
    <cfRule type="expression" dxfId="938" priority="266" stopIfTrue="1">
      <formula>$T476=1</formula>
    </cfRule>
    <cfRule type="expression" dxfId="937" priority="267" stopIfTrue="1">
      <formula>$T475=1</formula>
    </cfRule>
  </conditionalFormatting>
  <conditionalFormatting sqref="E482">
    <cfRule type="expression" dxfId="936" priority="272" stopIfTrue="1">
      <formula>$T482=1</formula>
    </cfRule>
    <cfRule type="expression" dxfId="935" priority="273" stopIfTrue="1">
      <formula>$T481=1</formula>
    </cfRule>
  </conditionalFormatting>
  <conditionalFormatting sqref="E499">
    <cfRule type="expression" dxfId="934" priority="258" stopIfTrue="1">
      <formula>#REF!=1</formula>
    </cfRule>
    <cfRule type="expression" dxfId="933" priority="259" stopIfTrue="1">
      <formula>$T500=1</formula>
    </cfRule>
  </conditionalFormatting>
  <conditionalFormatting sqref="E539">
    <cfRule type="expression" dxfId="932" priority="173" stopIfTrue="1">
      <formula>$T540=1</formula>
    </cfRule>
    <cfRule type="expression" dxfId="931" priority="172" stopIfTrue="1">
      <formula>$T541=1</formula>
    </cfRule>
  </conditionalFormatting>
  <conditionalFormatting sqref="E563">
    <cfRule type="expression" dxfId="930" priority="1079" stopIfTrue="1">
      <formula>#REF!=1</formula>
    </cfRule>
    <cfRule type="expression" dxfId="929" priority="1080" stopIfTrue="1">
      <formula>#REF!=1</formula>
    </cfRule>
  </conditionalFormatting>
  <conditionalFormatting sqref="E596">
    <cfRule type="expression" dxfId="928" priority="124" stopIfTrue="1">
      <formula>$T598=1</formula>
    </cfRule>
    <cfRule type="expression" dxfId="927" priority="125" stopIfTrue="1">
      <formula>$T597=1</formula>
    </cfRule>
  </conditionalFormatting>
  <conditionalFormatting sqref="E600">
    <cfRule type="expression" dxfId="926" priority="128" stopIfTrue="1">
      <formula>$T602=1</formula>
    </cfRule>
    <cfRule type="expression" dxfId="925" priority="129" stopIfTrue="1">
      <formula>$T601=1</formula>
    </cfRule>
  </conditionalFormatting>
  <conditionalFormatting sqref="E601">
    <cfRule type="expression" dxfId="924" priority="137" stopIfTrue="1">
      <formula>$O602=1</formula>
    </cfRule>
  </conditionalFormatting>
  <conditionalFormatting sqref="E601:E602">
    <cfRule type="expression" dxfId="923" priority="138" stopIfTrue="1">
      <formula>$O601=1</formula>
    </cfRule>
  </conditionalFormatting>
  <conditionalFormatting sqref="E602">
    <cfRule type="expression" dxfId="922" priority="1106" stopIfTrue="1">
      <formula>#REF!=1</formula>
    </cfRule>
  </conditionalFormatting>
  <conditionalFormatting sqref="E605 E702">
    <cfRule type="expression" dxfId="921" priority="135" stopIfTrue="1">
      <formula>$R607=1</formula>
    </cfRule>
    <cfRule type="expression" dxfId="920" priority="136" stopIfTrue="1">
      <formula>$R606=1</formula>
    </cfRule>
  </conditionalFormatting>
  <conditionalFormatting sqref="E606:E607">
    <cfRule type="expression" dxfId="919" priority="122" stopIfTrue="1">
      <formula>$T606=1</formula>
    </cfRule>
    <cfRule type="expression" dxfId="918" priority="123" stopIfTrue="1">
      <formula>$T605=1</formula>
    </cfRule>
  </conditionalFormatting>
  <conditionalFormatting sqref="E608">
    <cfRule type="expression" dxfId="917" priority="130" stopIfTrue="1">
      <formula>$T609=1</formula>
    </cfRule>
    <cfRule type="expression" dxfId="916" priority="131" stopIfTrue="1">
      <formula>$T608=1</formula>
    </cfRule>
  </conditionalFormatting>
  <conditionalFormatting sqref="E609">
    <cfRule type="expression" dxfId="915" priority="120" stopIfTrue="1">
      <formula>$T$34=1</formula>
    </cfRule>
  </conditionalFormatting>
  <conditionalFormatting sqref="E610:E611">
    <cfRule type="expression" dxfId="914" priority="1103" stopIfTrue="1">
      <formula>#REF!=1</formula>
    </cfRule>
  </conditionalFormatting>
  <conditionalFormatting sqref="E613">
    <cfRule type="expression" dxfId="913" priority="1098" stopIfTrue="1">
      <formula>$R617=1</formula>
    </cfRule>
    <cfRule type="expression" dxfId="912" priority="1099" stopIfTrue="1">
      <formula>#REF!=1</formula>
    </cfRule>
  </conditionalFormatting>
  <conditionalFormatting sqref="E614:E617">
    <cfRule type="expression" dxfId="911" priority="1089" stopIfTrue="1">
      <formula>#REF!=1</formula>
    </cfRule>
    <cfRule type="expression" dxfId="910" priority="1090" stopIfTrue="1">
      <formula>#REF!=1</formula>
    </cfRule>
  </conditionalFormatting>
  <conditionalFormatting sqref="E669:E693">
    <cfRule type="expression" dxfId="909" priority="92" stopIfTrue="1">
      <formula>#REF!=1</formula>
    </cfRule>
  </conditionalFormatting>
  <conditionalFormatting sqref="E692">
    <cfRule type="expression" dxfId="908" priority="1123" stopIfTrue="1">
      <formula>#REF!=1</formula>
    </cfRule>
  </conditionalFormatting>
  <conditionalFormatting sqref="E694">
    <cfRule type="expression" dxfId="907" priority="87" stopIfTrue="1">
      <formula>$R695=1</formula>
    </cfRule>
  </conditionalFormatting>
  <conditionalFormatting sqref="E695:E697">
    <cfRule type="expression" dxfId="906" priority="89" stopIfTrue="1">
      <formula>#REF!=1</formula>
    </cfRule>
    <cfRule type="expression" dxfId="905" priority="88" stopIfTrue="1">
      <formula>#REF!=1</formula>
    </cfRule>
  </conditionalFormatting>
  <conditionalFormatting sqref="E698">
    <cfRule type="expression" dxfId="904" priority="1121" stopIfTrue="1">
      <formula>#REF!=1</formula>
    </cfRule>
    <cfRule type="expression" dxfId="903" priority="1120" stopIfTrue="1">
      <formula>$R702=1</formula>
    </cfRule>
  </conditionalFormatting>
  <conditionalFormatting sqref="E699">
    <cfRule type="expression" dxfId="902" priority="1114" stopIfTrue="1">
      <formula>$R702=1</formula>
    </cfRule>
  </conditionalFormatting>
  <conditionalFormatting sqref="E699:E701">
    <cfRule type="expression" dxfId="901" priority="1113" stopIfTrue="1">
      <formula>#REF!=1</formula>
    </cfRule>
  </conditionalFormatting>
  <conditionalFormatting sqref="E700:E701">
    <cfRule type="expression" dxfId="900" priority="1115" stopIfTrue="1">
      <formula>#REF!=1</formula>
    </cfRule>
  </conditionalFormatting>
  <conditionalFormatting sqref="E754:E776">
    <cfRule type="expression" dxfId="899" priority="1125" stopIfTrue="1">
      <formula>$S757=1</formula>
    </cfRule>
  </conditionalFormatting>
  <conditionalFormatting sqref="E754:E795">
    <cfRule type="expression" dxfId="898" priority="39" stopIfTrue="1">
      <formula>#REF!=1</formula>
    </cfRule>
  </conditionalFormatting>
  <conditionalFormatting sqref="E777:E795">
    <cfRule type="expression" dxfId="897" priority="40" stopIfTrue="1">
      <formula>$R780=1</formula>
    </cfRule>
  </conditionalFormatting>
  <conditionalFormatting sqref="E788:E795 A495 C495:D495 I495:K495 E669:E691">
    <cfRule type="expression" dxfId="896" priority="1066" stopIfTrue="1">
      <formula>$R498=1</formula>
    </cfRule>
  </conditionalFormatting>
  <conditionalFormatting sqref="E796:E799 A494 C494:D494 K494">
    <cfRule type="expression" dxfId="895" priority="1069" stopIfTrue="1">
      <formula>$R498=1</formula>
    </cfRule>
  </conditionalFormatting>
  <conditionalFormatting sqref="E796:E799">
    <cfRule type="expression" dxfId="894" priority="1134" stopIfTrue="1">
      <formula>#REF!=1</formula>
    </cfRule>
    <cfRule type="expression" dxfId="893" priority="1135" stopIfTrue="1">
      <formula>$R800=1</formula>
    </cfRule>
  </conditionalFormatting>
  <conditionalFormatting sqref="E3:F3">
    <cfRule type="expression" dxfId="892" priority="942" stopIfTrue="1">
      <formula>#REF!=1</formula>
    </cfRule>
  </conditionalFormatting>
  <conditionalFormatting sqref="E7:F7">
    <cfRule type="expression" dxfId="891" priority="924" stopIfTrue="1">
      <formula>$Q7=1</formula>
    </cfRule>
    <cfRule type="expression" dxfId="890" priority="925" stopIfTrue="1">
      <formula>$Q6=1</formula>
    </cfRule>
  </conditionalFormatting>
  <conditionalFormatting sqref="E10:F11">
    <cfRule type="expression" dxfId="889" priority="939" stopIfTrue="1">
      <formula>#REF!=1</formula>
    </cfRule>
    <cfRule type="expression" dxfId="888" priority="938" stopIfTrue="1">
      <formula>#REF!=1</formula>
    </cfRule>
  </conditionalFormatting>
  <conditionalFormatting sqref="E17:F17">
    <cfRule type="expression" dxfId="887" priority="937" stopIfTrue="1">
      <formula>#REF!=1</formula>
    </cfRule>
    <cfRule type="expression" dxfId="886" priority="936" stopIfTrue="1">
      <formula>#REF!=1</formula>
    </cfRule>
  </conditionalFormatting>
  <conditionalFormatting sqref="E18:F18">
    <cfRule type="expression" dxfId="885" priority="926" stopIfTrue="1">
      <formula>$Q18=1</formula>
    </cfRule>
    <cfRule type="expression" dxfId="884" priority="927" stopIfTrue="1">
      <formula>#REF!=1</formula>
    </cfRule>
  </conditionalFormatting>
  <conditionalFormatting sqref="E21:F21">
    <cfRule type="expression" dxfId="883" priority="941" stopIfTrue="1">
      <formula>#REF!=1</formula>
    </cfRule>
    <cfRule type="expression" dxfId="882" priority="940" stopIfTrue="1">
      <formula>#REF!=1</formula>
    </cfRule>
  </conditionalFormatting>
  <conditionalFormatting sqref="E24:F24">
    <cfRule type="expression" dxfId="881" priority="931" stopIfTrue="1">
      <formula>#REF!=1</formula>
    </cfRule>
    <cfRule type="expression" dxfId="880" priority="930" stopIfTrue="1">
      <formula>#REF!=1</formula>
    </cfRule>
  </conditionalFormatting>
  <conditionalFormatting sqref="E28:F28">
    <cfRule type="expression" dxfId="879" priority="928" stopIfTrue="1">
      <formula>#REF!=1</formula>
    </cfRule>
    <cfRule type="expression" dxfId="878" priority="929" stopIfTrue="1">
      <formula>#REF!=1</formula>
    </cfRule>
  </conditionalFormatting>
  <conditionalFormatting sqref="E36:F36">
    <cfRule type="expression" dxfId="877" priority="921" stopIfTrue="1">
      <formula>$Q35=1</formula>
    </cfRule>
    <cfRule type="expression" dxfId="876" priority="920" stopIfTrue="1">
      <formula>$Q36=1</formula>
    </cfRule>
  </conditionalFormatting>
  <conditionalFormatting sqref="E41:F41">
    <cfRule type="expression" dxfId="875" priority="923" stopIfTrue="1">
      <formula>$Q40=1</formula>
    </cfRule>
    <cfRule type="expression" dxfId="874" priority="922" stopIfTrue="1">
      <formula>$Q41=1</formula>
    </cfRule>
  </conditionalFormatting>
  <conditionalFormatting sqref="E43:F43">
    <cfRule type="expression" dxfId="873" priority="932" stopIfTrue="1">
      <formula>$T43=1</formula>
    </cfRule>
    <cfRule type="expression" dxfId="872" priority="933" stopIfTrue="1">
      <formula>$T42=1</formula>
    </cfRule>
  </conditionalFormatting>
  <conditionalFormatting sqref="E50:F50 E106:F106 E123:E124">
    <cfRule type="expression" dxfId="871" priority="882" stopIfTrue="1">
      <formula>$S50=1</formula>
    </cfRule>
    <cfRule type="expression" dxfId="870" priority="883" stopIfTrue="1">
      <formula>$S49=1</formula>
    </cfRule>
  </conditionalFormatting>
  <conditionalFormatting sqref="E53:F53">
    <cfRule type="expression" dxfId="869" priority="871" stopIfTrue="1">
      <formula>$S52=1</formula>
    </cfRule>
    <cfRule type="expression" dxfId="868" priority="870" stopIfTrue="1">
      <formula>$S53=1</formula>
    </cfRule>
  </conditionalFormatting>
  <conditionalFormatting sqref="E54:F54">
    <cfRule type="expression" dxfId="867" priority="905" stopIfTrue="1">
      <formula>$P53=1</formula>
    </cfRule>
    <cfRule type="expression" dxfId="866" priority="904" stopIfTrue="1">
      <formula>$P54=1</formula>
    </cfRule>
  </conditionalFormatting>
  <conditionalFormatting sqref="E56:F56">
    <cfRule type="expression" dxfId="865" priority="881" stopIfTrue="1">
      <formula>$S55=1</formula>
    </cfRule>
    <cfRule type="expression" dxfId="864" priority="880" stopIfTrue="1">
      <formula>$S56=1</formula>
    </cfRule>
  </conditionalFormatting>
  <conditionalFormatting sqref="E57:F57">
    <cfRule type="expression" dxfId="863" priority="919" stopIfTrue="1">
      <formula>#REF!=1</formula>
    </cfRule>
    <cfRule type="expression" dxfId="862" priority="918" stopIfTrue="1">
      <formula>#REF!=1</formula>
    </cfRule>
  </conditionalFormatting>
  <conditionalFormatting sqref="E58:F61">
    <cfRule type="expression" dxfId="861" priority="869" stopIfTrue="1">
      <formula>$S57=1</formula>
    </cfRule>
    <cfRule type="expression" dxfId="860" priority="868" stopIfTrue="1">
      <formula>$S58=1</formula>
    </cfRule>
  </conditionalFormatting>
  <conditionalFormatting sqref="E63:F63">
    <cfRule type="expression" dxfId="859" priority="884" stopIfTrue="1">
      <formula>$S63=1</formula>
    </cfRule>
    <cfRule type="expression" dxfId="858" priority="885" stopIfTrue="1">
      <formula>$S62=1</formula>
    </cfRule>
  </conditionalFormatting>
  <conditionalFormatting sqref="E64:F64">
    <cfRule type="expression" dxfId="857" priority="915" stopIfTrue="1">
      <formula>#REF!=1</formula>
    </cfRule>
    <cfRule type="expression" dxfId="856" priority="914" stopIfTrue="1">
      <formula>#REF!=1</formula>
    </cfRule>
  </conditionalFormatting>
  <conditionalFormatting sqref="E65:F65">
    <cfRule type="expression" dxfId="855" priority="907" stopIfTrue="1">
      <formula>#REF!=1</formula>
    </cfRule>
    <cfRule type="expression" dxfId="854" priority="906" stopIfTrue="1">
      <formula>$P65=1</formula>
    </cfRule>
  </conditionalFormatting>
  <conditionalFormatting sqref="E67:F67">
    <cfRule type="expression" dxfId="853" priority="867" stopIfTrue="1">
      <formula>$S66=1</formula>
    </cfRule>
    <cfRule type="expression" dxfId="852" priority="866" stopIfTrue="1">
      <formula>$S67=1</formula>
    </cfRule>
  </conditionalFormatting>
  <conditionalFormatting sqref="E68:F68">
    <cfRule type="expression" dxfId="851" priority="917" stopIfTrue="1">
      <formula>#REF!=1</formula>
    </cfRule>
    <cfRule type="expression" dxfId="850" priority="916" stopIfTrue="1">
      <formula>#REF!=1</formula>
    </cfRule>
  </conditionalFormatting>
  <conditionalFormatting sqref="E70:F70">
    <cfRule type="expression" dxfId="849" priority="864" stopIfTrue="1">
      <formula>$S70=1</formula>
    </cfRule>
    <cfRule type="expression" dxfId="848" priority="865" stopIfTrue="1">
      <formula>$S69=1</formula>
    </cfRule>
  </conditionalFormatting>
  <conditionalFormatting sqref="E71:F71">
    <cfRule type="expression" dxfId="847" priority="910" stopIfTrue="1">
      <formula>#REF!=1</formula>
    </cfRule>
    <cfRule type="expression" dxfId="846" priority="911" stopIfTrue="1">
      <formula>#REF!=1</formula>
    </cfRule>
  </conditionalFormatting>
  <conditionalFormatting sqref="E72:F72">
    <cfRule type="expression" dxfId="845" priority="873" stopIfTrue="1">
      <formula>$S71=1</formula>
    </cfRule>
    <cfRule type="expression" dxfId="844" priority="872" stopIfTrue="1">
      <formula>$S72=1</formula>
    </cfRule>
  </conditionalFormatting>
  <conditionalFormatting sqref="E74:F74">
    <cfRule type="expression" dxfId="843" priority="879" stopIfTrue="1">
      <formula>$S73=1</formula>
    </cfRule>
    <cfRule type="expression" dxfId="842" priority="878" stopIfTrue="1">
      <formula>$S74=1</formula>
    </cfRule>
  </conditionalFormatting>
  <conditionalFormatting sqref="E75:F75">
    <cfRule type="expression" dxfId="841" priority="908" stopIfTrue="1">
      <formula>#REF!=1</formula>
    </cfRule>
    <cfRule type="expression" dxfId="840" priority="909" stopIfTrue="1">
      <formula>#REF!=1</formula>
    </cfRule>
  </conditionalFormatting>
  <conditionalFormatting sqref="E76:F78">
    <cfRule type="expression" dxfId="839" priority="875" stopIfTrue="1">
      <formula>$S75=1</formula>
    </cfRule>
    <cfRule type="expression" dxfId="838" priority="874" stopIfTrue="1">
      <formula>$S76=1</formula>
    </cfRule>
  </conditionalFormatting>
  <conditionalFormatting sqref="E82:F82">
    <cfRule type="expression" dxfId="837" priority="877" stopIfTrue="1">
      <formula>$S81=1</formula>
    </cfRule>
    <cfRule type="expression" dxfId="836" priority="876" stopIfTrue="1">
      <formula>$S82=1</formula>
    </cfRule>
  </conditionalFormatting>
  <conditionalFormatting sqref="E83:F83">
    <cfRule type="expression" dxfId="835" priority="903" stopIfTrue="1">
      <formula>$P82=1</formula>
    </cfRule>
    <cfRule type="expression" dxfId="834" priority="902" stopIfTrue="1">
      <formula>$P83=1</formula>
    </cfRule>
  </conditionalFormatting>
  <conditionalFormatting sqref="E88:F88">
    <cfRule type="expression" dxfId="833" priority="913" stopIfTrue="1">
      <formula>$S87=1</formula>
    </cfRule>
    <cfRule type="expression" dxfId="832" priority="912" stopIfTrue="1">
      <formula>$S88=1</formula>
    </cfRule>
  </conditionalFormatting>
  <conditionalFormatting sqref="E96:F96">
    <cfRule type="expression" dxfId="831" priority="860" stopIfTrue="1">
      <formula>$S96=1</formula>
    </cfRule>
    <cfRule type="expression" dxfId="830" priority="861" stopIfTrue="1">
      <formula>$S95=1</formula>
    </cfRule>
  </conditionalFormatting>
  <conditionalFormatting sqref="E99:F99">
    <cfRule type="expression" dxfId="829" priority="857" stopIfTrue="1">
      <formula>$S98=1</formula>
    </cfRule>
    <cfRule type="expression" dxfId="828" priority="856" stopIfTrue="1">
      <formula>$S99=1</formula>
    </cfRule>
  </conditionalFormatting>
  <conditionalFormatting sqref="E100:F100">
    <cfRule type="expression" dxfId="827" priority="827" stopIfTrue="1">
      <formula>$T99=1</formula>
    </cfRule>
    <cfRule type="expression" dxfId="826" priority="826" stopIfTrue="1">
      <formula>$T100=1</formula>
    </cfRule>
  </conditionalFormatting>
  <conditionalFormatting sqref="E103:F103">
    <cfRule type="expression" dxfId="825" priority="819" stopIfTrue="1">
      <formula>$T102=1</formula>
    </cfRule>
    <cfRule type="expression" dxfId="824" priority="818" stopIfTrue="1">
      <formula>$T103=1</formula>
    </cfRule>
  </conditionalFormatting>
  <conditionalFormatting sqref="E104:F104">
    <cfRule type="expression" dxfId="823" priority="855" stopIfTrue="1">
      <formula>$S103=1</formula>
    </cfRule>
    <cfRule type="expression" dxfId="822" priority="854" stopIfTrue="1">
      <formula>$S104=1</formula>
    </cfRule>
  </conditionalFormatting>
  <conditionalFormatting sqref="E105:F105">
    <cfRule type="expression" dxfId="821" priority="821" stopIfTrue="1">
      <formula>$T104=1</formula>
    </cfRule>
    <cfRule type="expression" dxfId="820" priority="820" stopIfTrue="1">
      <formula>$T105=1</formula>
    </cfRule>
  </conditionalFormatting>
  <conditionalFormatting sqref="E107:F108">
    <cfRule type="expression" dxfId="819" priority="823" stopIfTrue="1">
      <formula>$T106=1</formula>
    </cfRule>
    <cfRule type="expression" dxfId="818" priority="822" stopIfTrue="1">
      <formula>$T107=1</formula>
    </cfRule>
  </conditionalFormatting>
  <conditionalFormatting sqref="E109:F109">
    <cfRule type="expression" dxfId="817" priority="862" stopIfTrue="1">
      <formula>$S109=1</formula>
    </cfRule>
    <cfRule type="expression" dxfId="816" priority="863" stopIfTrue="1">
      <formula>$S108=1</formula>
    </cfRule>
  </conditionalFormatting>
  <conditionalFormatting sqref="E110:F111">
    <cfRule type="expression" dxfId="815" priority="825" stopIfTrue="1">
      <formula>$T109=1</formula>
    </cfRule>
    <cfRule type="expression" dxfId="814" priority="824" stopIfTrue="1">
      <formula>$T110=1</formula>
    </cfRule>
  </conditionalFormatting>
  <conditionalFormatting sqref="E119:F119">
    <cfRule type="expression" dxfId="813" priority="817" stopIfTrue="1">
      <formula>#REF!=1</formula>
    </cfRule>
    <cfRule type="expression" dxfId="812" priority="816" stopIfTrue="1">
      <formula>$T119=1</formula>
    </cfRule>
  </conditionalFormatting>
  <conditionalFormatting sqref="E122:F122">
    <cfRule type="expression" dxfId="811" priority="859" stopIfTrue="1">
      <formula>$S121=1</formula>
    </cfRule>
    <cfRule type="expression" dxfId="810" priority="858" stopIfTrue="1">
      <formula>$S122=1</formula>
    </cfRule>
  </conditionalFormatting>
  <conditionalFormatting sqref="E136:F137">
    <cfRule type="expression" dxfId="809" priority="769" stopIfTrue="1">
      <formula>$T135=1</formula>
    </cfRule>
    <cfRule type="expression" dxfId="808" priority="768" stopIfTrue="1">
      <formula>$T136=1</formula>
    </cfRule>
  </conditionalFormatting>
  <conditionalFormatting sqref="E139:F139">
    <cfRule type="expression" dxfId="807" priority="796" stopIfTrue="1">
      <formula>$S139=1</formula>
    </cfRule>
    <cfRule type="expression" dxfId="806" priority="797" stopIfTrue="1">
      <formula>$S138=1</formula>
    </cfRule>
  </conditionalFormatting>
  <conditionalFormatting sqref="E140:F140">
    <cfRule type="expression" dxfId="805" priority="793" stopIfTrue="1">
      <formula>$T139=1</formula>
    </cfRule>
  </conditionalFormatting>
  <conditionalFormatting sqref="E140:F143">
    <cfRule type="expression" dxfId="804" priority="765" stopIfTrue="1">
      <formula>$T140=1</formula>
    </cfRule>
  </conditionalFormatting>
  <conditionalFormatting sqref="E142:F143">
    <cfRule type="expression" dxfId="803" priority="766" stopIfTrue="1">
      <formula>$T141=1</formula>
    </cfRule>
  </conditionalFormatting>
  <conditionalFormatting sqref="E144:F144">
    <cfRule type="expression" dxfId="802" priority="794" stopIfTrue="1">
      <formula>$S144=1</formula>
    </cfRule>
    <cfRule type="expression" dxfId="801" priority="795" stopIfTrue="1">
      <formula>$S143=1</formula>
    </cfRule>
  </conditionalFormatting>
  <conditionalFormatting sqref="E145:F146">
    <cfRule type="expression" dxfId="800" priority="791" stopIfTrue="1">
      <formula>$T145=1</formula>
    </cfRule>
    <cfRule type="expression" dxfId="799" priority="792" stopIfTrue="1">
      <formula>$T144=1</formula>
    </cfRule>
  </conditionalFormatting>
  <conditionalFormatting sqref="E147:F147">
    <cfRule type="expression" dxfId="798" priority="798" stopIfTrue="1">
      <formula>$S147=1</formula>
    </cfRule>
    <cfRule type="expression" dxfId="797" priority="799" stopIfTrue="1">
      <formula>$S146=1</formula>
    </cfRule>
  </conditionalFormatting>
  <conditionalFormatting sqref="E148:F149">
    <cfRule type="expression" dxfId="796" priority="774" stopIfTrue="1">
      <formula>$T148=1</formula>
    </cfRule>
    <cfRule type="expression" dxfId="795" priority="775" stopIfTrue="1">
      <formula>$T147=1</formula>
    </cfRule>
  </conditionalFormatting>
  <conditionalFormatting sqref="E151:F151">
    <cfRule type="expression" dxfId="794" priority="771" stopIfTrue="1">
      <formula>$T150=1</formula>
    </cfRule>
    <cfRule type="expression" dxfId="793" priority="770" stopIfTrue="1">
      <formula>$T151=1</formula>
    </cfRule>
  </conditionalFormatting>
  <conditionalFormatting sqref="E157:F158">
    <cfRule type="expression" dxfId="792" priority="790" stopIfTrue="1">
      <formula>#REF!=1</formula>
    </cfRule>
  </conditionalFormatting>
  <conditionalFormatting sqref="E159:F159">
    <cfRule type="expression" dxfId="791" priority="776" stopIfTrue="1">
      <formula>$T$34=1</formula>
    </cfRule>
  </conditionalFormatting>
  <conditionalFormatting sqref="E161:F162">
    <cfRule type="expression" dxfId="790" priority="773" stopIfTrue="1">
      <formula>$L160=1</formula>
    </cfRule>
    <cfRule type="expression" dxfId="789" priority="772" stopIfTrue="1">
      <formula>$L161=1</formula>
    </cfRule>
  </conditionalFormatting>
  <conditionalFormatting sqref="E174:F174">
    <cfRule type="expression" dxfId="788" priority="742" stopIfTrue="1">
      <formula>$T$34=1</formula>
    </cfRule>
  </conditionalFormatting>
  <conditionalFormatting sqref="E175:F175">
    <cfRule type="expression" dxfId="787" priority="744" stopIfTrue="1">
      <formula>$L174=1</formula>
    </cfRule>
    <cfRule type="expression" dxfId="786" priority="743" stopIfTrue="1">
      <formula>$L175=1</formula>
    </cfRule>
  </conditionalFormatting>
  <conditionalFormatting sqref="E177:F177">
    <cfRule type="expression" dxfId="785" priority="759" stopIfTrue="1">
      <formula>$K176=1</formula>
    </cfRule>
    <cfRule type="expression" dxfId="784" priority="758" stopIfTrue="1">
      <formula>$K177=1</formula>
    </cfRule>
  </conditionalFormatting>
  <conditionalFormatting sqref="E178:F178">
    <cfRule type="expression" dxfId="783" priority="734" stopIfTrue="1">
      <formula>$L177=1</formula>
    </cfRule>
  </conditionalFormatting>
  <conditionalFormatting sqref="E178:F182">
    <cfRule type="expression" dxfId="782" priority="733" stopIfTrue="1">
      <formula>$L178=1</formula>
    </cfRule>
  </conditionalFormatting>
  <conditionalFormatting sqref="E179:F179 F201:F203">
    <cfRule type="expression" dxfId="781" priority="764" stopIfTrue="1">
      <formula>#REF!=1</formula>
    </cfRule>
  </conditionalFormatting>
  <conditionalFormatting sqref="E180:F182">
    <cfRule type="expression" dxfId="780" priority="735" stopIfTrue="1">
      <formula>$L179=1</formula>
    </cfRule>
  </conditionalFormatting>
  <conditionalFormatting sqref="E184:F184">
    <cfRule type="expression" dxfId="779" priority="1000" stopIfTrue="1">
      <formula>$I183=1</formula>
    </cfRule>
    <cfRule type="expression" dxfId="778" priority="1001" stopIfTrue="1">
      <formula>#REF!=1</formula>
    </cfRule>
  </conditionalFormatting>
  <conditionalFormatting sqref="E186:F186">
    <cfRule type="expression" dxfId="777" priority="998" stopIfTrue="1">
      <formula>$I184=1</formula>
    </cfRule>
  </conditionalFormatting>
  <conditionalFormatting sqref="E186:F187">
    <cfRule type="expression" dxfId="776" priority="736" stopIfTrue="1">
      <formula>$L186=1</formula>
    </cfRule>
  </conditionalFormatting>
  <conditionalFormatting sqref="E187:F187">
    <cfRule type="expression" dxfId="775" priority="737" stopIfTrue="1">
      <formula>$L186=1</formula>
    </cfRule>
  </conditionalFormatting>
  <conditionalFormatting sqref="E189:F191">
    <cfRule type="expression" dxfId="774" priority="728" stopIfTrue="1">
      <formula>$L188=1</formula>
    </cfRule>
    <cfRule type="expression" dxfId="773" priority="727" stopIfTrue="1">
      <formula>$L189=1</formula>
    </cfRule>
  </conditionalFormatting>
  <conditionalFormatting sqref="E193:F194">
    <cfRule type="expression" dxfId="772" priority="751" stopIfTrue="1">
      <formula>$L192=1</formula>
    </cfRule>
  </conditionalFormatting>
  <conditionalFormatting sqref="E193:F196">
    <cfRule type="expression" dxfId="771" priority="738" stopIfTrue="1">
      <formula>$L193=1</formula>
    </cfRule>
  </conditionalFormatting>
  <conditionalFormatting sqref="E195:F195">
    <cfRule type="expression" dxfId="770" priority="757" stopIfTrue="1">
      <formula>#REF!=1</formula>
    </cfRule>
  </conditionalFormatting>
  <conditionalFormatting sqref="E196:F196">
    <cfRule type="expression" dxfId="769" priority="739" stopIfTrue="1">
      <formula>$L195=1</formula>
    </cfRule>
  </conditionalFormatting>
  <conditionalFormatting sqref="E197:F197">
    <cfRule type="expression" dxfId="768" priority="752" stopIfTrue="1">
      <formula>$T$34=1</formula>
    </cfRule>
  </conditionalFormatting>
  <conditionalFormatting sqref="E199:F200">
    <cfRule type="expression" dxfId="767" priority="725" stopIfTrue="1">
      <formula>$L199=1</formula>
    </cfRule>
    <cfRule type="expression" dxfId="766" priority="726" stopIfTrue="1">
      <formula>$L198=1</formula>
    </cfRule>
  </conditionalFormatting>
  <conditionalFormatting sqref="E205:F205">
    <cfRule type="expression" dxfId="765" priority="732" stopIfTrue="1">
      <formula>$L204=1</formula>
    </cfRule>
    <cfRule type="expression" dxfId="764" priority="731" stopIfTrue="1">
      <formula>$L205=1</formula>
    </cfRule>
  </conditionalFormatting>
  <conditionalFormatting sqref="E214:F214">
    <cfRule type="expression" dxfId="763" priority="681" stopIfTrue="1">
      <formula>$T$34=1</formula>
    </cfRule>
  </conditionalFormatting>
  <conditionalFormatting sqref="E215:F215">
    <cfRule type="expression" dxfId="762" priority="683" stopIfTrue="1">
      <formula>$L214=1</formula>
    </cfRule>
    <cfRule type="expression" dxfId="761" priority="682" stopIfTrue="1">
      <formula>$L215=1</formula>
    </cfRule>
  </conditionalFormatting>
  <conditionalFormatting sqref="E216:F217">
    <cfRule type="expression" dxfId="760" priority="662" stopIfTrue="1">
      <formula>$T215=1</formula>
    </cfRule>
    <cfRule type="expression" dxfId="759" priority="661" stopIfTrue="1">
      <formula>$T216=1</formula>
    </cfRule>
  </conditionalFormatting>
  <conditionalFormatting sqref="E218:F218">
    <cfRule type="expression" dxfId="758" priority="665" stopIfTrue="1">
      <formula>$T$34=1</formula>
    </cfRule>
  </conditionalFormatting>
  <conditionalFormatting sqref="E219:F222">
    <cfRule type="expression" dxfId="757" priority="674" stopIfTrue="1">
      <formula>$L219=1</formula>
    </cfRule>
  </conditionalFormatting>
  <conditionalFormatting sqref="E220:F222">
    <cfRule type="expression" dxfId="756" priority="675" stopIfTrue="1">
      <formula>$L219=1</formula>
    </cfRule>
  </conditionalFormatting>
  <conditionalFormatting sqref="E223:F223">
    <cfRule type="expression" dxfId="755" priority="700" stopIfTrue="1">
      <formula>$L222=1</formula>
    </cfRule>
    <cfRule type="expression" dxfId="754" priority="699" stopIfTrue="1">
      <formula>#REF!=1</formula>
    </cfRule>
  </conditionalFormatting>
  <conditionalFormatting sqref="E224:F224">
    <cfRule type="expression" dxfId="753" priority="698" stopIfTrue="1">
      <formula>#REF!=1</formula>
    </cfRule>
  </conditionalFormatting>
  <conditionalFormatting sqref="E224:F225">
    <cfRule type="expression" dxfId="752" priority="679" stopIfTrue="1">
      <formula>$I223=1</formula>
    </cfRule>
  </conditionalFormatting>
  <conditionalFormatting sqref="E225:F226">
    <cfRule type="expression" dxfId="751" priority="680" stopIfTrue="1">
      <formula>$I223=1</formula>
    </cfRule>
  </conditionalFormatting>
  <conditionalFormatting sqref="E226:F227">
    <cfRule type="expression" dxfId="750" priority="676" stopIfTrue="1">
      <formula>$L226=1</formula>
    </cfRule>
  </conditionalFormatting>
  <conditionalFormatting sqref="E227:F227">
    <cfRule type="expression" dxfId="749" priority="677" stopIfTrue="1">
      <formula>$L226=1</formula>
    </cfRule>
  </conditionalFormatting>
  <conditionalFormatting sqref="E229:F231">
    <cfRule type="expression" dxfId="748" priority="653" stopIfTrue="1">
      <formula>$T229=1</formula>
    </cfRule>
    <cfRule type="expression" dxfId="747" priority="654" stopIfTrue="1">
      <formula>$T228=1</formula>
    </cfRule>
  </conditionalFormatting>
  <conditionalFormatting sqref="E233:F234">
    <cfRule type="expression" dxfId="746" priority="685" stopIfTrue="1">
      <formula>$L232=1</formula>
    </cfRule>
  </conditionalFormatting>
  <conditionalFormatting sqref="E235:F235">
    <cfRule type="expression" dxfId="745" priority="678" stopIfTrue="1">
      <formula>#REF!=1</formula>
    </cfRule>
  </conditionalFormatting>
  <conditionalFormatting sqref="E236:F236">
    <cfRule type="expression" dxfId="744" priority="686" stopIfTrue="1">
      <formula>$T$34=1</formula>
    </cfRule>
  </conditionalFormatting>
  <conditionalFormatting sqref="E238:F239">
    <cfRule type="expression" dxfId="743" priority="671" stopIfTrue="1">
      <formula>$L237=1</formula>
    </cfRule>
    <cfRule type="expression" dxfId="742" priority="670" stopIfTrue="1">
      <formula>$L238=1</formula>
    </cfRule>
  </conditionalFormatting>
  <conditionalFormatting sqref="E240:F240">
    <cfRule type="expression" dxfId="741" priority="664" stopIfTrue="1">
      <formula>$T239=1</formula>
    </cfRule>
    <cfRule type="expression" dxfId="740" priority="663" stopIfTrue="1">
      <formula>$T240=1</formula>
    </cfRule>
  </conditionalFormatting>
  <conditionalFormatting sqref="E244:F245">
    <cfRule type="expression" dxfId="739" priority="659" stopIfTrue="1">
      <formula>$T244=1</formula>
    </cfRule>
    <cfRule type="expression" dxfId="738" priority="660" stopIfTrue="1">
      <formula>$T243=1</formula>
    </cfRule>
  </conditionalFormatting>
  <conditionalFormatting sqref="E246:F246">
    <cfRule type="expression" dxfId="737" priority="673" stopIfTrue="1">
      <formula>$L243=1</formula>
    </cfRule>
    <cfRule type="expression" dxfId="736" priority="672" stopIfTrue="1">
      <formula>$L244=1</formula>
    </cfRule>
  </conditionalFormatting>
  <conditionalFormatting sqref="E248:F248">
    <cfRule type="expression" dxfId="735" priority="656" stopIfTrue="1">
      <formula>$T246=1</formula>
    </cfRule>
    <cfRule type="expression" dxfId="734" priority="655" stopIfTrue="1">
      <formula>$T247=1</formula>
    </cfRule>
  </conditionalFormatting>
  <conditionalFormatting sqref="E256:F256">
    <cfRule type="expression" dxfId="733" priority="615" stopIfTrue="1">
      <formula>$T$34=1</formula>
    </cfRule>
  </conditionalFormatting>
  <conditionalFormatting sqref="E257:F257">
    <cfRule type="expression" dxfId="732" priority="631" stopIfTrue="1">
      <formula>$L257=1</formula>
    </cfRule>
    <cfRule type="expression" dxfId="731" priority="632" stopIfTrue="1">
      <formula>$L256=1</formula>
    </cfRule>
  </conditionalFormatting>
  <conditionalFormatting sqref="E258:F259">
    <cfRule type="expression" dxfId="730" priority="607" stopIfTrue="1">
      <formula>$T258=1</formula>
    </cfRule>
    <cfRule type="expression" dxfId="729" priority="608" stopIfTrue="1">
      <formula>$T257=1</formula>
    </cfRule>
  </conditionalFormatting>
  <conditionalFormatting sqref="E260:F260">
    <cfRule type="expression" dxfId="728" priority="622" stopIfTrue="1">
      <formula>$T$34=1</formula>
    </cfRule>
  </conditionalFormatting>
  <conditionalFormatting sqref="E261:F264">
    <cfRule type="expression" dxfId="727" priority="627" stopIfTrue="1">
      <formula>$L261=1</formula>
    </cfRule>
  </conditionalFormatting>
  <conditionalFormatting sqref="E262:F264">
    <cfRule type="expression" dxfId="726" priority="628" stopIfTrue="1">
      <formula>$L261=1</formula>
    </cfRule>
  </conditionalFormatting>
  <conditionalFormatting sqref="E265:F265">
    <cfRule type="expression" dxfId="725" priority="645" stopIfTrue="1">
      <formula>#REF!=1</formula>
    </cfRule>
    <cfRule type="expression" dxfId="724" priority="646" stopIfTrue="1">
      <formula>$L264=1</formula>
    </cfRule>
  </conditionalFormatting>
  <conditionalFormatting sqref="E266:F266">
    <cfRule type="expression" dxfId="723" priority="643" stopIfTrue="1">
      <formula>$I265=1</formula>
    </cfRule>
    <cfRule type="expression" dxfId="722" priority="644" stopIfTrue="1">
      <formula>#REF!=1</formula>
    </cfRule>
  </conditionalFormatting>
  <conditionalFormatting sqref="E267:F267">
    <cfRule type="expression" dxfId="721" priority="610" stopIfTrue="1">
      <formula>$T266=1</formula>
    </cfRule>
    <cfRule type="expression" dxfId="720" priority="609" stopIfTrue="1">
      <formula>$T267=1</formula>
    </cfRule>
  </conditionalFormatting>
  <conditionalFormatting sqref="E268:F268">
    <cfRule type="expression" dxfId="719" priority="642" stopIfTrue="1">
      <formula>$I266=1</formula>
    </cfRule>
  </conditionalFormatting>
  <conditionalFormatting sqref="E268:F269">
    <cfRule type="expression" dxfId="718" priority="629" stopIfTrue="1">
      <formula>$L268=1</formula>
    </cfRule>
  </conditionalFormatting>
  <conditionalFormatting sqref="E269:F269">
    <cfRule type="expression" dxfId="717" priority="630" stopIfTrue="1">
      <formula>$L268=1</formula>
    </cfRule>
  </conditionalFormatting>
  <conditionalFormatting sqref="E270:F273">
    <cfRule type="expression" dxfId="716" priority="598" stopIfTrue="1">
      <formula>$T269=1</formula>
    </cfRule>
    <cfRule type="expression" dxfId="715" priority="597" stopIfTrue="1">
      <formula>$T270=1</formula>
    </cfRule>
  </conditionalFormatting>
  <conditionalFormatting sqref="E275:F275">
    <cfRule type="expression" dxfId="714" priority="1013" stopIfTrue="1">
      <formula>$L275=1</formula>
    </cfRule>
  </conditionalFormatting>
  <conditionalFormatting sqref="E276:F276">
    <cfRule type="expression" dxfId="713" priority="611" stopIfTrue="1">
      <formula>$T277=1</formula>
    </cfRule>
    <cfRule type="expression" dxfId="712" priority="612" stopIfTrue="1">
      <formula>$T276=1</formula>
    </cfRule>
  </conditionalFormatting>
  <conditionalFormatting sqref="E277:F277">
    <cfRule type="expression" dxfId="711" priority="634" stopIfTrue="1">
      <formula>$T$34=1</formula>
    </cfRule>
  </conditionalFormatting>
  <conditionalFormatting sqref="E278:F278">
    <cfRule type="expression" dxfId="710" priority="605" stopIfTrue="1">
      <formula>$T279=1</formula>
    </cfRule>
    <cfRule type="expression" dxfId="709" priority="606" stopIfTrue="1">
      <formula>$T278=1</formula>
    </cfRule>
  </conditionalFormatting>
  <conditionalFormatting sqref="E279:F280">
    <cfRule type="expression" dxfId="708" priority="623" stopIfTrue="1">
      <formula>$L280=1</formula>
    </cfRule>
    <cfRule type="expression" dxfId="707" priority="624" stopIfTrue="1">
      <formula>$L279=1</formula>
    </cfRule>
  </conditionalFormatting>
  <conditionalFormatting sqref="E281:F282">
    <cfRule type="expression" dxfId="706" priority="596" stopIfTrue="1">
      <formula>$T281=1</formula>
    </cfRule>
    <cfRule type="expression" dxfId="705" priority="595" stopIfTrue="1">
      <formula>$T282=1</formula>
    </cfRule>
  </conditionalFormatting>
  <conditionalFormatting sqref="E285:F286">
    <cfRule type="expression" dxfId="704" priority="618" stopIfTrue="1">
      <formula>$T286=1</formula>
    </cfRule>
    <cfRule type="expression" dxfId="703" priority="619" stopIfTrue="1">
      <formula>$T285=1</formula>
    </cfRule>
  </conditionalFormatting>
  <conditionalFormatting sqref="E287:F287">
    <cfRule type="expression" dxfId="702" priority="625" stopIfTrue="1">
      <formula>$L286=1</formula>
    </cfRule>
    <cfRule type="expression" dxfId="701" priority="626" stopIfTrue="1">
      <formula>$L285=1</formula>
    </cfRule>
  </conditionalFormatting>
  <conditionalFormatting sqref="E288:F289">
    <cfRule type="expression" dxfId="700" priority="614" stopIfTrue="1">
      <formula>$T288=1</formula>
    </cfRule>
    <cfRule type="expression" dxfId="699" priority="613" stopIfTrue="1">
      <formula>$T289=1</formula>
    </cfRule>
  </conditionalFormatting>
  <conditionalFormatting sqref="E304:F304">
    <cfRule type="expression" dxfId="698" priority="565" stopIfTrue="1">
      <formula>$T$34=1</formula>
    </cfRule>
  </conditionalFormatting>
  <conditionalFormatting sqref="E305:F305">
    <cfRule type="expression" dxfId="697" priority="575" stopIfTrue="1">
      <formula>$L305=1</formula>
    </cfRule>
    <cfRule type="expression" dxfId="696" priority="576" stopIfTrue="1">
      <formula>$L304=1</formula>
    </cfRule>
  </conditionalFormatting>
  <conditionalFormatting sqref="E306:F307">
    <cfRule type="expression" dxfId="695" priority="544" stopIfTrue="1">
      <formula>$T306=1</formula>
    </cfRule>
    <cfRule type="expression" dxfId="694" priority="545" stopIfTrue="1">
      <formula>$T305=1</formula>
    </cfRule>
  </conditionalFormatting>
  <conditionalFormatting sqref="E308:F308">
    <cfRule type="expression" dxfId="693" priority="568" stopIfTrue="1">
      <formula>$T$34=1</formula>
    </cfRule>
  </conditionalFormatting>
  <conditionalFormatting sqref="E309:F309 F331">
    <cfRule type="expression" dxfId="692" priority="583" stopIfTrue="1">
      <formula>#REF!=1</formula>
    </cfRule>
  </conditionalFormatting>
  <conditionalFormatting sqref="E309:F311">
    <cfRule type="expression" dxfId="691" priority="573" stopIfTrue="1">
      <formula>$L309=1</formula>
    </cfRule>
  </conditionalFormatting>
  <conditionalFormatting sqref="E310:F311">
    <cfRule type="expression" dxfId="690" priority="574" stopIfTrue="1">
      <formula>$L309=1</formula>
    </cfRule>
  </conditionalFormatting>
  <conditionalFormatting sqref="E312:F312">
    <cfRule type="expression" dxfId="689" priority="546" stopIfTrue="1">
      <formula>$T312=1</formula>
    </cfRule>
    <cfRule type="expression" dxfId="688" priority="547" stopIfTrue="1">
      <formula>$T311=1</formula>
    </cfRule>
  </conditionalFormatting>
  <conditionalFormatting sqref="E313:F313">
    <cfRule type="expression" dxfId="687" priority="587" stopIfTrue="1">
      <formula>$L312=1</formula>
    </cfRule>
    <cfRule type="expression" dxfId="686" priority="586" stopIfTrue="1">
      <formula>#REF!=1</formula>
    </cfRule>
  </conditionalFormatting>
  <conditionalFormatting sqref="E314:F314">
    <cfRule type="expression" dxfId="685" priority="585" stopIfTrue="1">
      <formula>#REF!=1</formula>
    </cfRule>
    <cfRule type="expression" dxfId="684" priority="584" stopIfTrue="1">
      <formula>$I313=1</formula>
    </cfRule>
  </conditionalFormatting>
  <conditionalFormatting sqref="E315:F315">
    <cfRule type="expression" dxfId="683" priority="560" stopIfTrue="1">
      <formula>$T314=1</formula>
    </cfRule>
    <cfRule type="expression" dxfId="682" priority="559" stopIfTrue="1">
      <formula>$T315=1</formula>
    </cfRule>
  </conditionalFormatting>
  <conditionalFormatting sqref="E316:F316">
    <cfRule type="expression" dxfId="681" priority="548" stopIfTrue="1">
      <formula>$T$34=1</formula>
    </cfRule>
  </conditionalFormatting>
  <conditionalFormatting sqref="E317:F321">
    <cfRule type="expression" dxfId="680" priority="531" stopIfTrue="1">
      <formula>$T316=1</formula>
    </cfRule>
    <cfRule type="expression" dxfId="679" priority="530" stopIfTrue="1">
      <formula>$T317=1</formula>
    </cfRule>
  </conditionalFormatting>
  <conditionalFormatting sqref="E323:F323">
    <cfRule type="expression" dxfId="678" priority="592" stopIfTrue="1">
      <formula>$L323=1</formula>
    </cfRule>
    <cfRule type="expression" dxfId="677" priority="577" stopIfTrue="1">
      <formula>$L324=1</formula>
    </cfRule>
  </conditionalFormatting>
  <conditionalFormatting sqref="E324:F324">
    <cfRule type="expression" dxfId="676" priority="562" stopIfTrue="1">
      <formula>$T324=1</formula>
    </cfRule>
    <cfRule type="expression" dxfId="675" priority="561" stopIfTrue="1">
      <formula>$T325=1</formula>
    </cfRule>
  </conditionalFormatting>
  <conditionalFormatting sqref="E325:F325">
    <cfRule type="expression" dxfId="674" priority="578" stopIfTrue="1">
      <formula>$T$34=1</formula>
    </cfRule>
  </conditionalFormatting>
  <conditionalFormatting sqref="E326:F326">
    <cfRule type="expression" dxfId="673" priority="539" stopIfTrue="1">
      <formula>$T325=1</formula>
    </cfRule>
    <cfRule type="expression" dxfId="672" priority="538" stopIfTrue="1">
      <formula>$T326=1</formula>
    </cfRule>
  </conditionalFormatting>
  <conditionalFormatting sqref="E327:F328">
    <cfRule type="expression" dxfId="671" priority="569" stopIfTrue="1">
      <formula>$L328=1</formula>
    </cfRule>
    <cfRule type="expression" dxfId="670" priority="570" stopIfTrue="1">
      <formula>$L327=1</formula>
    </cfRule>
  </conditionalFormatting>
  <conditionalFormatting sqref="E329:F330">
    <cfRule type="expression" dxfId="669" priority="554" stopIfTrue="1">
      <formula>$T329=1</formula>
    </cfRule>
    <cfRule type="expression" dxfId="668" priority="553" stopIfTrue="1">
      <formula>$T330=1</formula>
    </cfRule>
  </conditionalFormatting>
  <conditionalFormatting sqref="E332:F332">
    <cfRule type="expression" dxfId="667" priority="528" stopIfTrue="1">
      <formula>$T332=1</formula>
    </cfRule>
    <cfRule type="expression" dxfId="666" priority="529" stopIfTrue="1">
      <formula>$T331=1</formula>
    </cfRule>
  </conditionalFormatting>
  <conditionalFormatting sqref="E333:F334">
    <cfRule type="expression" dxfId="665" priority="567" stopIfTrue="1">
      <formula>$T333=1</formula>
    </cfRule>
    <cfRule type="expression" dxfId="664" priority="566" stopIfTrue="1">
      <formula>$T334=1</formula>
    </cfRule>
  </conditionalFormatting>
  <conditionalFormatting sqref="E335:F335">
    <cfRule type="expression" dxfId="663" priority="571" stopIfTrue="1">
      <formula>$L334=1</formula>
    </cfRule>
    <cfRule type="expression" dxfId="662" priority="572" stopIfTrue="1">
      <formula>$L333=1</formula>
    </cfRule>
  </conditionalFormatting>
  <conditionalFormatting sqref="E336:F336">
    <cfRule type="expression" dxfId="661" priority="563" stopIfTrue="1">
      <formula>$T337=1</formula>
    </cfRule>
    <cfRule type="expression" dxfId="660" priority="564" stopIfTrue="1">
      <formula>$T336=1</formula>
    </cfRule>
  </conditionalFormatting>
  <conditionalFormatting sqref="E337:F337">
    <cfRule type="expression" dxfId="659" priority="543" stopIfTrue="1">
      <formula>$T336=1</formula>
    </cfRule>
    <cfRule type="expression" dxfId="658" priority="542" stopIfTrue="1">
      <formula>$T337=1</formula>
    </cfRule>
  </conditionalFormatting>
  <conditionalFormatting sqref="E340:F340">
    <cfRule type="expression" dxfId="657" priority="532" stopIfTrue="1">
      <formula>$T340=1</formula>
    </cfRule>
    <cfRule type="expression" dxfId="656" priority="533" stopIfTrue="1">
      <formula>$T339=1</formula>
    </cfRule>
  </conditionalFormatting>
  <conditionalFormatting sqref="E342:F342">
    <cfRule type="expression" dxfId="655" priority="556" stopIfTrue="1">
      <formula>$T342=1</formula>
    </cfRule>
    <cfRule type="expression" dxfId="654" priority="555" stopIfTrue="1">
      <formula>$T343=1</formula>
    </cfRule>
  </conditionalFormatting>
  <conditionalFormatting sqref="E344:F344">
    <cfRule type="expression" dxfId="653" priority="536" stopIfTrue="1">
      <formula>$T344=1</formula>
    </cfRule>
    <cfRule type="expression" dxfId="652" priority="537" stopIfTrue="1">
      <formula>$T343=1</formula>
    </cfRule>
  </conditionalFormatting>
  <conditionalFormatting sqref="E355:F355">
    <cfRule type="expression" dxfId="651" priority="482" stopIfTrue="1">
      <formula>$T$34=1</formula>
    </cfRule>
  </conditionalFormatting>
  <conditionalFormatting sqref="E356:F356">
    <cfRule type="expression" dxfId="650" priority="514" stopIfTrue="1">
      <formula>$L356=1</formula>
    </cfRule>
    <cfRule type="expression" dxfId="649" priority="515" stopIfTrue="1">
      <formula>$L355=1</formula>
    </cfRule>
  </conditionalFormatting>
  <conditionalFormatting sqref="E357:F358">
    <cfRule type="expression" dxfId="648" priority="478" stopIfTrue="1">
      <formula>$T357=1</formula>
    </cfRule>
    <cfRule type="expression" dxfId="647" priority="479" stopIfTrue="1">
      <formula>$T356=1</formula>
    </cfRule>
  </conditionalFormatting>
  <conditionalFormatting sqref="E359:F359">
    <cfRule type="expression" dxfId="646" priority="470" stopIfTrue="1">
      <formula>$T362=1</formula>
    </cfRule>
    <cfRule type="expression" dxfId="645" priority="471" stopIfTrue="1">
      <formula>$T361=1</formula>
    </cfRule>
  </conditionalFormatting>
  <conditionalFormatting sqref="E360:F360">
    <cfRule type="expression" dxfId="644" priority="1018" stopIfTrue="1">
      <formula>#REF!=1</formula>
    </cfRule>
  </conditionalFormatting>
  <conditionalFormatting sqref="E361:F361">
    <cfRule type="expression" dxfId="643" priority="475" stopIfTrue="1">
      <formula>$T363=1</formula>
    </cfRule>
    <cfRule type="expression" dxfId="642" priority="474" stopIfTrue="1">
      <formula>$T364=1</formula>
    </cfRule>
  </conditionalFormatting>
  <conditionalFormatting sqref="E362:F362">
    <cfRule type="expression" dxfId="641" priority="476" stopIfTrue="1">
      <formula>$T363=1</formula>
    </cfRule>
    <cfRule type="expression" dxfId="640" priority="477" stopIfTrue="1">
      <formula>$T362=1</formula>
    </cfRule>
  </conditionalFormatting>
  <conditionalFormatting sqref="E363:F363">
    <cfRule type="expression" dxfId="639" priority="493" stopIfTrue="1">
      <formula>$T363=1</formula>
    </cfRule>
    <cfRule type="expression" dxfId="638" priority="494" stopIfTrue="1">
      <formula>$T362=1</formula>
    </cfRule>
  </conditionalFormatting>
  <conditionalFormatting sqref="E364:F364">
    <cfRule type="expression" dxfId="637" priority="522" stopIfTrue="1">
      <formula>$L360=1</formula>
    </cfRule>
    <cfRule type="expression" dxfId="636" priority="521" stopIfTrue="1">
      <formula>#REF!=1</formula>
    </cfRule>
  </conditionalFormatting>
  <conditionalFormatting sqref="E365:F365">
    <cfRule type="expression" dxfId="635" priority="520" stopIfTrue="1">
      <formula>#REF!=1</formula>
    </cfRule>
    <cfRule type="expression" dxfId="634" priority="519" stopIfTrue="1">
      <formula>$I361=1</formula>
    </cfRule>
  </conditionalFormatting>
  <conditionalFormatting sqref="E366:F366">
    <cfRule type="expression" dxfId="633" priority="502" stopIfTrue="1">
      <formula>$Q366=1</formula>
    </cfRule>
    <cfRule type="expression" dxfId="632" priority="503" stopIfTrue="1">
      <formula>$Q365=1</formula>
    </cfRule>
  </conditionalFormatting>
  <conditionalFormatting sqref="E367:F367">
    <cfRule type="expression" dxfId="631" priority="495" stopIfTrue="1">
      <formula>$T$34=1</formula>
    </cfRule>
  </conditionalFormatting>
  <conditionalFormatting sqref="E369:F369">
    <cfRule type="expression" dxfId="630" priority="465" stopIfTrue="1">
      <formula>$T376=1</formula>
    </cfRule>
    <cfRule type="expression" dxfId="629" priority="464" stopIfTrue="1">
      <formula>$T377=1</formula>
    </cfRule>
  </conditionalFormatting>
  <conditionalFormatting sqref="E373:F373">
    <cfRule type="expression" dxfId="628" priority="467" stopIfTrue="1">
      <formula>$Q375=1</formula>
    </cfRule>
    <cfRule type="expression" dxfId="627" priority="466" stopIfTrue="1">
      <formula>$Q376=1</formula>
    </cfRule>
  </conditionalFormatting>
  <conditionalFormatting sqref="E374:F374">
    <cfRule type="expression" dxfId="626" priority="473" stopIfTrue="1">
      <formula>$T376=1</formula>
    </cfRule>
    <cfRule type="expression" dxfId="625" priority="472" stopIfTrue="1">
      <formula>$T377=1</formula>
    </cfRule>
  </conditionalFormatting>
  <conditionalFormatting sqref="E375:F375">
    <cfRule type="expression" dxfId="624" priority="504" stopIfTrue="1">
      <formula>$T376=1</formula>
    </cfRule>
    <cfRule type="expression" dxfId="623" priority="505" stopIfTrue="1">
      <formula>$T375=1</formula>
    </cfRule>
  </conditionalFormatting>
  <conditionalFormatting sqref="E376:F376">
    <cfRule type="expression" dxfId="622" priority="517" stopIfTrue="1">
      <formula>$T$34=1</formula>
    </cfRule>
  </conditionalFormatting>
  <conditionalFormatting sqref="E377:F377">
    <cfRule type="expression" dxfId="621" priority="491" stopIfTrue="1">
      <formula>$T377=1</formula>
    </cfRule>
    <cfRule type="expression" dxfId="620" priority="492" stopIfTrue="1">
      <formula>$T376=1</formula>
    </cfRule>
  </conditionalFormatting>
  <conditionalFormatting sqref="E378:F378">
    <cfRule type="expression" dxfId="619" priority="1023" stopIfTrue="1">
      <formula>#REF!=1</formula>
    </cfRule>
  </conditionalFormatting>
  <conditionalFormatting sqref="E378:F379">
    <cfRule type="expression" dxfId="618" priority="510" stopIfTrue="1">
      <formula>$L371=1</formula>
    </cfRule>
  </conditionalFormatting>
  <conditionalFormatting sqref="E379:F379">
    <cfRule type="expression" dxfId="617" priority="511" stopIfTrue="1">
      <formula>$L371=1</formula>
    </cfRule>
  </conditionalFormatting>
  <conditionalFormatting sqref="E380:F381">
    <cfRule type="expression" dxfId="616" priority="496" stopIfTrue="1">
      <formula>$T381=1</formula>
    </cfRule>
    <cfRule type="expression" dxfId="615" priority="497" stopIfTrue="1">
      <formula>$T380=1</formula>
    </cfRule>
  </conditionalFormatting>
  <conditionalFormatting sqref="E383:F383">
    <cfRule type="expression" dxfId="614" priority="509" stopIfTrue="1">
      <formula>$T383=1</formula>
    </cfRule>
    <cfRule type="expression" dxfId="613" priority="508" stopIfTrue="1">
      <formula>$T384=1</formula>
    </cfRule>
  </conditionalFormatting>
  <conditionalFormatting sqref="E384:F384">
    <cfRule type="expression" dxfId="612" priority="468" stopIfTrue="1">
      <formula>$Q387=1</formula>
    </cfRule>
    <cfRule type="expression" dxfId="611" priority="469" stopIfTrue="1">
      <formula>$T386=1</formula>
    </cfRule>
  </conditionalFormatting>
  <conditionalFormatting sqref="E385:F385">
    <cfRule type="expression" dxfId="610" priority="513" stopIfTrue="1">
      <formula>$L376=1</formula>
    </cfRule>
    <cfRule type="expression" dxfId="609" priority="512" stopIfTrue="1">
      <formula>$L377=1</formula>
    </cfRule>
  </conditionalFormatting>
  <conditionalFormatting sqref="E386:F386">
    <cfRule type="expression" dxfId="608" priority="507" stopIfTrue="1">
      <formula>$T386=1</formula>
    </cfRule>
    <cfRule type="expression" dxfId="607" priority="506" stopIfTrue="1">
      <formula>$T387=1</formula>
    </cfRule>
  </conditionalFormatting>
  <conditionalFormatting sqref="E387:F388">
    <cfRule type="expression" dxfId="606" priority="480" stopIfTrue="1">
      <formula>$T387=1</formula>
    </cfRule>
    <cfRule type="expression" dxfId="605" priority="481" stopIfTrue="1">
      <formula>$T386=1</formula>
    </cfRule>
  </conditionalFormatting>
  <conditionalFormatting sqref="E390:F390">
    <cfRule type="expression" dxfId="604" priority="498" stopIfTrue="1">
      <formula>$T392=1</formula>
    </cfRule>
    <cfRule type="expression" dxfId="603" priority="499" stopIfTrue="1">
      <formula>$T391=1</formula>
    </cfRule>
  </conditionalFormatting>
  <conditionalFormatting sqref="E393:F394">
    <cfRule type="expression" dxfId="602" priority="527" stopIfTrue="1">
      <formula>#REF!=1</formula>
    </cfRule>
  </conditionalFormatting>
  <conditionalFormatting sqref="E414:F414">
    <cfRule type="expression" dxfId="601" priority="413" stopIfTrue="1">
      <formula>$T$34=1</formula>
    </cfRule>
  </conditionalFormatting>
  <conditionalFormatting sqref="E415:F415">
    <cfRule type="expression" dxfId="600" priority="411" stopIfTrue="1">
      <formula>$T415=1</formula>
    </cfRule>
    <cfRule type="expression" dxfId="599" priority="412" stopIfTrue="1">
      <formula>$T414=1</formula>
    </cfRule>
  </conditionalFormatting>
  <conditionalFormatting sqref="E416:F416">
    <cfRule type="expression" dxfId="598" priority="378" stopIfTrue="1">
      <formula>$T417=1</formula>
    </cfRule>
    <cfRule type="expression" dxfId="597" priority="377" stopIfTrue="1">
      <formula>$T418=1</formula>
    </cfRule>
  </conditionalFormatting>
  <conditionalFormatting sqref="E417:F417">
    <cfRule type="expression" dxfId="596" priority="1028" stopIfTrue="1">
      <formula>$R420=1</formula>
    </cfRule>
    <cfRule type="expression" dxfId="595" priority="1029" stopIfTrue="1">
      <formula>$T419=1</formula>
    </cfRule>
  </conditionalFormatting>
  <conditionalFormatting sqref="E418:F418 F439">
    <cfRule type="expression" dxfId="594" priority="440" stopIfTrue="1">
      <formula>#REF!=1</formula>
    </cfRule>
  </conditionalFormatting>
  <conditionalFormatting sqref="E418:F418">
    <cfRule type="expression" dxfId="593" priority="452" stopIfTrue="1">
      <formula>#REF!=1</formula>
    </cfRule>
  </conditionalFormatting>
  <conditionalFormatting sqref="E419:F419">
    <cfRule type="expression" dxfId="592" priority="402" stopIfTrue="1">
      <formula>$T418=1</formula>
    </cfRule>
    <cfRule type="expression" dxfId="591" priority="401" stopIfTrue="1">
      <formula>$T419=1</formula>
    </cfRule>
  </conditionalFormatting>
  <conditionalFormatting sqref="E421:F421 I441:J441 I499:J499">
    <cfRule type="expression" dxfId="590" priority="430" stopIfTrue="1">
      <formula>$R420=1</formula>
    </cfRule>
    <cfRule type="expression" dxfId="589" priority="429" stopIfTrue="1">
      <formula>$R421=1</formula>
    </cfRule>
  </conditionalFormatting>
  <conditionalFormatting sqref="E423:F423">
    <cfRule type="expression" dxfId="588" priority="399" stopIfTrue="1">
      <formula>$T423=1</formula>
    </cfRule>
    <cfRule type="expression" dxfId="587" priority="400" stopIfTrue="1">
      <formula>$T422=1</formula>
    </cfRule>
  </conditionalFormatting>
  <conditionalFormatting sqref="E425:F425">
    <cfRule type="expression" dxfId="586" priority="431" stopIfTrue="1">
      <formula>$T$34=1</formula>
    </cfRule>
  </conditionalFormatting>
  <conditionalFormatting sqref="E426:F426">
    <cfRule type="expression" dxfId="585" priority="379" stopIfTrue="1">
      <formula>$T428=1</formula>
    </cfRule>
    <cfRule type="expression" dxfId="584" priority="380" stopIfTrue="1">
      <formula>$T427=1</formula>
    </cfRule>
  </conditionalFormatting>
  <conditionalFormatting sqref="E427:F428">
    <cfRule type="expression" dxfId="583" priority="450" stopIfTrue="1">
      <formula>$O427=1</formula>
    </cfRule>
  </conditionalFormatting>
  <conditionalFormatting sqref="E431:F431 E495:F495">
    <cfRule type="expression" dxfId="582" priority="416" stopIfTrue="1">
      <formula>$R435=1</formula>
    </cfRule>
    <cfRule type="expression" dxfId="581" priority="417" stopIfTrue="1">
      <formula>$R434=1</formula>
    </cfRule>
  </conditionalFormatting>
  <conditionalFormatting sqref="E432:F432">
    <cfRule type="expression" dxfId="580" priority="438" stopIfTrue="1">
      <formula>$R434=1</formula>
    </cfRule>
    <cfRule type="expression" dxfId="579" priority="439" stopIfTrue="1">
      <formula>$R433=1</formula>
    </cfRule>
  </conditionalFormatting>
  <conditionalFormatting sqref="E433:F433">
    <cfRule type="expression" dxfId="578" priority="403" stopIfTrue="1">
      <formula>$T433=1</formula>
    </cfRule>
    <cfRule type="expression" dxfId="577" priority="404" stopIfTrue="1">
      <formula>$T432=1</formula>
    </cfRule>
  </conditionalFormatting>
  <conditionalFormatting sqref="E434:F434">
    <cfRule type="expression" dxfId="576" priority="428" stopIfTrue="1">
      <formula>$R434=1</formula>
    </cfRule>
    <cfRule type="expression" dxfId="575" priority="427" stopIfTrue="1">
      <formula>$R435=1</formula>
    </cfRule>
  </conditionalFormatting>
  <conditionalFormatting sqref="E435:F435">
    <cfRule type="expression" dxfId="574" priority="1032" stopIfTrue="1">
      <formula>$I425=1</formula>
    </cfRule>
    <cfRule type="expression" dxfId="573" priority="453" stopIfTrue="1">
      <formula>#REF!=1</formula>
    </cfRule>
  </conditionalFormatting>
  <conditionalFormatting sqref="E436:F436">
    <cfRule type="expression" dxfId="572" priority="410" stopIfTrue="1">
      <formula>$T436=1</formula>
    </cfRule>
    <cfRule type="expression" dxfId="571" priority="409" stopIfTrue="1">
      <formula>$T437=1</formula>
    </cfRule>
  </conditionalFormatting>
  <conditionalFormatting sqref="E437:F438">
    <cfRule type="expression" dxfId="570" priority="433" stopIfTrue="1">
      <formula>$R438=1</formula>
    </cfRule>
    <cfRule type="expression" dxfId="569" priority="432" stopIfTrue="1">
      <formula>$R439=1</formula>
    </cfRule>
  </conditionalFormatting>
  <conditionalFormatting sqref="E440:F440">
    <cfRule type="expression" dxfId="568" priority="1031" stopIfTrue="1">
      <formula>$R441=1</formula>
    </cfRule>
    <cfRule type="expression" dxfId="567" priority="1030" stopIfTrue="1">
      <formula>$T442=1</formula>
    </cfRule>
  </conditionalFormatting>
  <conditionalFormatting sqref="E442:F442">
    <cfRule type="expression" dxfId="566" priority="1056" stopIfTrue="1">
      <formula>$T445=1</formula>
    </cfRule>
    <cfRule type="expression" dxfId="565" priority="1055" stopIfTrue="1">
      <formula>#REF!=1</formula>
    </cfRule>
  </conditionalFormatting>
  <conditionalFormatting sqref="E443:F443">
    <cfRule type="expression" dxfId="564" priority="418" stopIfTrue="1">
      <formula>$T446=1</formula>
    </cfRule>
    <cfRule type="expression" dxfId="563" priority="419" stopIfTrue="1">
      <formula>$T445=1</formula>
    </cfRule>
  </conditionalFormatting>
  <conditionalFormatting sqref="E445:F445">
    <cfRule type="expression" dxfId="562" priority="434" stopIfTrue="1">
      <formula>$T450=1</formula>
    </cfRule>
    <cfRule type="expression" dxfId="561" priority="435" stopIfTrue="1">
      <formula>$T449=1</formula>
    </cfRule>
  </conditionalFormatting>
  <conditionalFormatting sqref="E447:F447">
    <cfRule type="expression" dxfId="560" priority="445" stopIfTrue="1">
      <formula>#REF!=1</formula>
    </cfRule>
  </conditionalFormatting>
  <conditionalFormatting sqref="E465:F465">
    <cfRule type="expression" dxfId="559" priority="239" stopIfTrue="1">
      <formula>$T464=1</formula>
    </cfRule>
    <cfRule type="expression" dxfId="558" priority="238" stopIfTrue="1">
      <formula>$T465=1</formula>
    </cfRule>
  </conditionalFormatting>
  <conditionalFormatting sqref="E466:F466">
    <cfRule type="expression" dxfId="557" priority="286" stopIfTrue="1">
      <formula>$T$34=1</formula>
    </cfRule>
  </conditionalFormatting>
  <conditionalFormatting sqref="E467:F468">
    <cfRule type="expression" dxfId="556" priority="236" stopIfTrue="1">
      <formula>$T467=1</formula>
    </cfRule>
    <cfRule type="expression" dxfId="555" priority="237" stopIfTrue="1">
      <formula>$T466=1</formula>
    </cfRule>
  </conditionalFormatting>
  <conditionalFormatting sqref="E469:F469">
    <cfRule type="expression" dxfId="554" priority="330" stopIfTrue="1">
      <formula>$R472=1</formula>
    </cfRule>
    <cfRule type="expression" dxfId="553" priority="331" stopIfTrue="1">
      <formula>$T471=1</formula>
    </cfRule>
  </conditionalFormatting>
  <conditionalFormatting sqref="E470:F470 F497">
    <cfRule type="expression" dxfId="552" priority="308" stopIfTrue="1">
      <formula>#REF!=1</formula>
    </cfRule>
  </conditionalFormatting>
  <conditionalFormatting sqref="E470:F470">
    <cfRule type="expression" dxfId="551" priority="320" stopIfTrue="1">
      <formula>#REF!=1</formula>
    </cfRule>
  </conditionalFormatting>
  <conditionalFormatting sqref="E471:F471">
    <cfRule type="expression" dxfId="550" priority="278" stopIfTrue="1">
      <formula>$T471=1</formula>
    </cfRule>
    <cfRule type="expression" dxfId="549" priority="279" stopIfTrue="1">
      <formula>$T470=1</formula>
    </cfRule>
  </conditionalFormatting>
  <conditionalFormatting sqref="E473:F473">
    <cfRule type="expression" dxfId="548" priority="300" stopIfTrue="1">
      <formula>$R473=1</formula>
    </cfRule>
    <cfRule type="expression" dxfId="547" priority="301" stopIfTrue="1">
      <formula>$R472=1</formula>
    </cfRule>
  </conditionalFormatting>
  <conditionalFormatting sqref="E475:F475">
    <cfRule type="expression" dxfId="546" priority="277" stopIfTrue="1">
      <formula>$T474=1</formula>
    </cfRule>
    <cfRule type="expression" dxfId="545" priority="276" stopIfTrue="1">
      <formula>$T475=1</formula>
    </cfRule>
  </conditionalFormatting>
  <conditionalFormatting sqref="E477:F477">
    <cfRule type="expression" dxfId="544" priority="232" stopIfTrue="1">
      <formula>$T477=1</formula>
    </cfRule>
    <cfRule type="expression" dxfId="543" priority="233" stopIfTrue="1">
      <formula>$T476=1</formula>
    </cfRule>
  </conditionalFormatting>
  <conditionalFormatting sqref="E478:F478">
    <cfRule type="expression" dxfId="542" priority="265" stopIfTrue="1">
      <formula>$T479=1</formula>
    </cfRule>
    <cfRule type="expression" dxfId="541" priority="264" stopIfTrue="1">
      <formula>$T480=1</formula>
    </cfRule>
  </conditionalFormatting>
  <conditionalFormatting sqref="E479:F480">
    <cfRule type="expression" dxfId="540" priority="318" stopIfTrue="1">
      <formula>$O479=1</formula>
    </cfRule>
  </conditionalFormatting>
  <conditionalFormatting sqref="E480:F481">
    <cfRule type="expression" dxfId="539" priority="337" stopIfTrue="1">
      <formula>$R481=1</formula>
    </cfRule>
  </conditionalFormatting>
  <conditionalFormatting sqref="E481:F481">
    <cfRule type="expression" dxfId="538" priority="314" stopIfTrue="1">
      <formula>$R481=1</formula>
    </cfRule>
  </conditionalFormatting>
  <conditionalFormatting sqref="E483:F483">
    <cfRule type="expression" dxfId="537" priority="289" stopIfTrue="1">
      <formula>$R487=1</formula>
    </cfRule>
    <cfRule type="expression" dxfId="536" priority="290" stopIfTrue="1">
      <formula>$R486=1</formula>
    </cfRule>
  </conditionalFormatting>
  <conditionalFormatting sqref="E484:F484">
    <cfRule type="expression" dxfId="535" priority="306" stopIfTrue="1">
      <formula>$R486=1</formula>
    </cfRule>
    <cfRule type="expression" dxfId="534" priority="307" stopIfTrue="1">
      <formula>$R485=1</formula>
    </cfRule>
  </conditionalFormatting>
  <conditionalFormatting sqref="E485:F486">
    <cfRule type="expression" dxfId="533" priority="240" stopIfTrue="1">
      <formula>$T485=1</formula>
    </cfRule>
    <cfRule type="expression" dxfId="532" priority="241" stopIfTrue="1">
      <formula>$T484=1</formula>
    </cfRule>
  </conditionalFormatting>
  <conditionalFormatting sqref="E487:F487">
    <cfRule type="expression" dxfId="531" priority="334" stopIfTrue="1">
      <formula>$I477=1</formula>
    </cfRule>
    <cfRule type="expression" dxfId="530" priority="321" stopIfTrue="1">
      <formula>#REF!=1</formula>
    </cfRule>
  </conditionalFormatting>
  <conditionalFormatting sqref="E488:F488">
    <cfRule type="expression" dxfId="529" priority="284" stopIfTrue="1">
      <formula>$T489=1</formula>
    </cfRule>
    <cfRule type="expression" dxfId="528" priority="285" stopIfTrue="1">
      <formula>$T488=1</formula>
    </cfRule>
  </conditionalFormatting>
  <conditionalFormatting sqref="E489:F489">
    <cfRule type="expression" dxfId="527" priority="1063" stopIfTrue="1">
      <formula>$R490=1</formula>
    </cfRule>
  </conditionalFormatting>
  <conditionalFormatting sqref="E489:F491">
    <cfRule type="expression" dxfId="526" priority="1062" stopIfTrue="1">
      <formula>$R497=1</formula>
    </cfRule>
  </conditionalFormatting>
  <conditionalFormatting sqref="E490:F491">
    <cfRule type="expression" dxfId="525" priority="1076" stopIfTrue="1">
      <formula>$R497=1</formula>
    </cfRule>
  </conditionalFormatting>
  <conditionalFormatting sqref="E492:F492 E618">
    <cfRule type="expression" dxfId="524" priority="1073" stopIfTrue="1">
      <formula>$R499=1</formula>
    </cfRule>
    <cfRule type="expression" dxfId="523" priority="1074" stopIfTrue="1">
      <formula>$R498=1</formula>
    </cfRule>
  </conditionalFormatting>
  <conditionalFormatting sqref="E493:F493">
    <cfRule type="expression" dxfId="522" priority="1071" stopIfTrue="1">
      <formula>$R498=1</formula>
    </cfRule>
    <cfRule type="expression" dxfId="521" priority="1070" stopIfTrue="1">
      <formula>$R499=1</formula>
    </cfRule>
  </conditionalFormatting>
  <conditionalFormatting sqref="E494:F494">
    <cfRule type="expression" dxfId="520" priority="1068" stopIfTrue="1">
      <formula>$R498=1</formula>
    </cfRule>
    <cfRule type="expression" dxfId="519" priority="1067" stopIfTrue="1">
      <formula>$R499=1</formula>
    </cfRule>
  </conditionalFormatting>
  <conditionalFormatting sqref="E496:F496 E610:E612">
    <cfRule type="expression" dxfId="518" priority="1064" stopIfTrue="1">
      <formula>$R499=1</formula>
    </cfRule>
  </conditionalFormatting>
  <conditionalFormatting sqref="E496:F496 E612">
    <cfRule type="expression" dxfId="517" priority="1065" stopIfTrue="1">
      <formula>$R498=1</formula>
    </cfRule>
  </conditionalFormatting>
  <conditionalFormatting sqref="E498:F498">
    <cfRule type="expression" dxfId="516" priority="333" stopIfTrue="1">
      <formula>$R499=1</formula>
    </cfRule>
    <cfRule type="expression" dxfId="515" priority="332" stopIfTrue="1">
      <formula>$T500=1</formula>
    </cfRule>
  </conditionalFormatting>
  <conditionalFormatting sqref="E500:F500">
    <cfRule type="expression" dxfId="514" priority="353" stopIfTrue="1">
      <formula>$T503=1</formula>
    </cfRule>
    <cfRule type="expression" dxfId="513" priority="352" stopIfTrue="1">
      <formula>#REF!=1</formula>
    </cfRule>
  </conditionalFormatting>
  <conditionalFormatting sqref="E501:F501">
    <cfRule type="expression" dxfId="512" priority="291" stopIfTrue="1">
      <formula>$T504=1</formula>
    </cfRule>
    <cfRule type="expression" dxfId="511" priority="292" stopIfTrue="1">
      <formula>$T503=1</formula>
    </cfRule>
  </conditionalFormatting>
  <conditionalFormatting sqref="E503:F503">
    <cfRule type="expression" dxfId="510" priority="303" stopIfTrue="1">
      <formula>$T507=1</formula>
    </cfRule>
    <cfRule type="expression" dxfId="509" priority="302" stopIfTrue="1">
      <formula>$T508=1</formula>
    </cfRule>
  </conditionalFormatting>
  <conditionalFormatting sqref="E505:F505">
    <cfRule type="expression" dxfId="508" priority="313" stopIfTrue="1">
      <formula>#REF!=1</formula>
    </cfRule>
  </conditionalFormatting>
  <conditionalFormatting sqref="E506:F506">
    <cfRule type="expression" dxfId="507" priority="234" stopIfTrue="1">
      <formula>$T506=1</formula>
    </cfRule>
    <cfRule type="expression" dxfId="506" priority="235" stopIfTrue="1">
      <formula>$T505=1</formula>
    </cfRule>
  </conditionalFormatting>
  <conditionalFormatting sqref="E508:F508 E511:F511 E514:F514 E517:F517">
    <cfRule type="expression" dxfId="505" priority="328" stopIfTrue="1">
      <formula>#REF!=1</formula>
    </cfRule>
  </conditionalFormatting>
  <conditionalFormatting sqref="E530:F530">
    <cfRule type="expression" dxfId="504" priority="158" stopIfTrue="1">
      <formula>$T530=1</formula>
    </cfRule>
    <cfRule type="expression" dxfId="503" priority="159" stopIfTrue="1">
      <formula>$T529=1</formula>
    </cfRule>
  </conditionalFormatting>
  <conditionalFormatting sqref="E531:F531">
    <cfRule type="expression" dxfId="502" priority="180" stopIfTrue="1">
      <formula>$T$34=1</formula>
    </cfRule>
  </conditionalFormatting>
  <conditionalFormatting sqref="E532:F533">
    <cfRule type="expression" dxfId="501" priority="154" stopIfTrue="1">
      <formula>$T532=1</formula>
    </cfRule>
    <cfRule type="expression" dxfId="500" priority="155" stopIfTrue="1">
      <formula>$T531=1</formula>
    </cfRule>
  </conditionalFormatting>
  <conditionalFormatting sqref="E534:F534">
    <cfRule type="expression" dxfId="499" priority="197" stopIfTrue="1">
      <formula>$R537=1</formula>
    </cfRule>
    <cfRule type="expression" dxfId="498" priority="198" stopIfTrue="1">
      <formula>$T536=1</formula>
    </cfRule>
  </conditionalFormatting>
  <conditionalFormatting sqref="E535:F537">
    <cfRule type="expression" dxfId="497" priority="157" stopIfTrue="1">
      <formula>$T534=1</formula>
    </cfRule>
    <cfRule type="expression" dxfId="496" priority="156" stopIfTrue="1">
      <formula>$T535=1</formula>
    </cfRule>
  </conditionalFormatting>
  <conditionalFormatting sqref="E538:F538">
    <cfRule type="expression" dxfId="495" priority="184" stopIfTrue="1">
      <formula>$R537=1</formula>
    </cfRule>
    <cfRule type="expression" dxfId="494" priority="183" stopIfTrue="1">
      <formula>$R538=1</formula>
    </cfRule>
  </conditionalFormatting>
  <conditionalFormatting sqref="E540:F542">
    <cfRule type="expression" dxfId="493" priority="153" stopIfTrue="1">
      <formula>$T539=1</formula>
    </cfRule>
    <cfRule type="expression" dxfId="492" priority="152" stopIfTrue="1">
      <formula>$T540=1</formula>
    </cfRule>
  </conditionalFormatting>
  <conditionalFormatting sqref="E543:F543">
    <cfRule type="expression" dxfId="491" priority="177" stopIfTrue="1">
      <formula>$T544=1</formula>
    </cfRule>
    <cfRule type="expression" dxfId="490" priority="176" stopIfTrue="1">
      <formula>$T545=1</formula>
    </cfRule>
  </conditionalFormatting>
  <conditionalFormatting sqref="E544:F544">
    <cfRule type="expression" dxfId="489" priority="193" stopIfTrue="1">
      <formula>$O545=1</formula>
    </cfRule>
  </conditionalFormatting>
  <conditionalFormatting sqref="E544:F545">
    <cfRule type="expression" dxfId="488" priority="194" stopIfTrue="1">
      <formula>$O544=1</formula>
    </cfRule>
  </conditionalFormatting>
  <conditionalFormatting sqref="E545:F545">
    <cfRule type="expression" dxfId="487" priority="201" stopIfTrue="1">
      <formula>$R546=1</formula>
    </cfRule>
  </conditionalFormatting>
  <conditionalFormatting sqref="E546:F548">
    <cfRule type="expression" dxfId="486" priority="151" stopIfTrue="1">
      <formula>$T545=1</formula>
    </cfRule>
    <cfRule type="expression" dxfId="485" priority="150" stopIfTrue="1">
      <formula>$T546=1</formula>
    </cfRule>
  </conditionalFormatting>
  <conditionalFormatting sqref="E549:F549">
    <cfRule type="expression" dxfId="484" priority="186" stopIfTrue="1">
      <formula>$R550=1</formula>
    </cfRule>
    <cfRule type="expression" dxfId="483" priority="185" stopIfTrue="1">
      <formula>$R551=1</formula>
    </cfRule>
  </conditionalFormatting>
  <conditionalFormatting sqref="E550:F551">
    <cfRule type="expression" dxfId="482" priority="171" stopIfTrue="1">
      <formula>$T549=1</formula>
    </cfRule>
    <cfRule type="expression" dxfId="481" priority="170" stopIfTrue="1">
      <formula>$T550=1</formula>
    </cfRule>
  </conditionalFormatting>
  <conditionalFormatting sqref="E552:F552">
    <cfRule type="expression" dxfId="480" priority="195" stopIfTrue="1">
      <formula>#REF!=1</formula>
    </cfRule>
    <cfRule type="expression" dxfId="479" priority="199" stopIfTrue="1">
      <formula>$I542=1</formula>
    </cfRule>
  </conditionalFormatting>
  <conditionalFormatting sqref="E553:F553">
    <cfRule type="expression" dxfId="478" priority="178" stopIfTrue="1">
      <formula>$T554=1</formula>
    </cfRule>
    <cfRule type="expression" dxfId="477" priority="179" stopIfTrue="1">
      <formula>$T553=1</formula>
    </cfRule>
  </conditionalFormatting>
  <conditionalFormatting sqref="E554:F554">
    <cfRule type="expression" dxfId="476" priority="160" stopIfTrue="1">
      <formula>$T$34=1</formula>
    </cfRule>
  </conditionalFormatting>
  <conditionalFormatting sqref="E555:F556">
    <cfRule type="expression" dxfId="475" priority="214" stopIfTrue="1">
      <formula>$R562=1</formula>
    </cfRule>
    <cfRule type="expression" dxfId="474" priority="221" stopIfTrue="1">
      <formula>$R561=1</formula>
    </cfRule>
  </conditionalFormatting>
  <conditionalFormatting sqref="E557:F557">
    <cfRule type="expression" dxfId="473" priority="219" stopIfTrue="1">
      <formula>$R563=1</formula>
    </cfRule>
    <cfRule type="expression" dxfId="472" priority="220" stopIfTrue="1">
      <formula>$R562=1</formula>
    </cfRule>
  </conditionalFormatting>
  <conditionalFormatting sqref="E558:F558">
    <cfRule type="expression" dxfId="471" priority="217" stopIfTrue="1">
      <formula>$R563=1</formula>
    </cfRule>
    <cfRule type="expression" dxfId="470" priority="218" stopIfTrue="1">
      <formula>$R562=1</formula>
    </cfRule>
  </conditionalFormatting>
  <conditionalFormatting sqref="E559:F559">
    <cfRule type="expression" dxfId="469" priority="206" stopIfTrue="1">
      <formula>$R562=1</formula>
    </cfRule>
    <cfRule type="expression" dxfId="468" priority="205" stopIfTrue="1">
      <formula>$R563=1</formula>
    </cfRule>
  </conditionalFormatting>
  <conditionalFormatting sqref="E560:F560">
    <cfRule type="expression" dxfId="467" priority="215" stopIfTrue="1">
      <formula>$R563=1</formula>
    </cfRule>
    <cfRule type="expression" dxfId="466" priority="216" stopIfTrue="1">
      <formula>$R562=1</formula>
    </cfRule>
  </conditionalFormatting>
  <conditionalFormatting sqref="E562:F562">
    <cfRule type="expression" dxfId="465" priority="1082" stopIfTrue="1">
      <formula>$R563=1</formula>
    </cfRule>
    <cfRule type="expression" dxfId="464" priority="1081" stopIfTrue="1">
      <formula>#REF!=1</formula>
    </cfRule>
  </conditionalFormatting>
  <conditionalFormatting sqref="E564:F564">
    <cfRule type="expression" dxfId="463" priority="181" stopIfTrue="1">
      <formula>$T567=1</formula>
    </cfRule>
    <cfRule type="expression" dxfId="462" priority="182" stopIfTrue="1">
      <formula>$T566=1</formula>
    </cfRule>
  </conditionalFormatting>
  <conditionalFormatting sqref="E566:F566">
    <cfRule type="expression" dxfId="461" priority="1087" stopIfTrue="1">
      <formula>#REF!=1</formula>
    </cfRule>
    <cfRule type="expression" dxfId="460" priority="1088" stopIfTrue="1">
      <formula>#REF!=1</formula>
    </cfRule>
  </conditionalFormatting>
  <conditionalFormatting sqref="E568:F568">
    <cfRule type="expression" dxfId="459" priority="192" stopIfTrue="1">
      <formula>#REF!=1</formula>
    </cfRule>
    <cfRule type="expression" dxfId="458" priority="203" stopIfTrue="1">
      <formula>$T573=1</formula>
    </cfRule>
  </conditionalFormatting>
  <conditionalFormatting sqref="E569:F569">
    <cfRule type="expression" dxfId="457" priority="1085" stopIfTrue="1">
      <formula>$T569=1</formula>
    </cfRule>
    <cfRule type="expression" dxfId="456" priority="1086" stopIfTrue="1">
      <formula>#REF!=1</formula>
    </cfRule>
  </conditionalFormatting>
  <conditionalFormatting sqref="E571:F571 E574:F574 E577:F577">
    <cfRule type="expression" dxfId="455" priority="196" stopIfTrue="1">
      <formula>#REF!=1</formula>
    </cfRule>
  </conditionalFormatting>
  <conditionalFormatting sqref="E587:F587">
    <cfRule type="expression" dxfId="454" priority="119" stopIfTrue="1">
      <formula>$T586=1</formula>
    </cfRule>
    <cfRule type="expression" dxfId="453" priority="118" stopIfTrue="1">
      <formula>$T587=1</formula>
    </cfRule>
  </conditionalFormatting>
  <conditionalFormatting sqref="E588:F588">
    <cfRule type="expression" dxfId="452" priority="132" stopIfTrue="1">
      <formula>$T$34=1</formula>
    </cfRule>
  </conditionalFormatting>
  <conditionalFormatting sqref="E589:F590">
    <cfRule type="expression" dxfId="451" priority="115" stopIfTrue="1">
      <formula>$T588=1</formula>
    </cfRule>
    <cfRule type="expression" dxfId="450" priority="114" stopIfTrue="1">
      <formula>$T589=1</formula>
    </cfRule>
  </conditionalFormatting>
  <conditionalFormatting sqref="E591:F591">
    <cfRule type="expression" dxfId="449" priority="140" stopIfTrue="1">
      <formula>$R594=1</formula>
    </cfRule>
    <cfRule type="expression" dxfId="448" priority="141" stopIfTrue="1">
      <formula>$T593=1</formula>
    </cfRule>
  </conditionalFormatting>
  <conditionalFormatting sqref="E592:F594">
    <cfRule type="expression" dxfId="447" priority="116" stopIfTrue="1">
      <formula>$T592=1</formula>
    </cfRule>
    <cfRule type="expression" dxfId="446" priority="117" stopIfTrue="1">
      <formula>$T591=1</formula>
    </cfRule>
  </conditionalFormatting>
  <conditionalFormatting sqref="E595:F595">
    <cfRule type="expression" dxfId="445" priority="133" stopIfTrue="1">
      <formula>$R595=1</formula>
    </cfRule>
    <cfRule type="expression" dxfId="444" priority="134" stopIfTrue="1">
      <formula>$R594=1</formula>
    </cfRule>
  </conditionalFormatting>
  <conditionalFormatting sqref="E597:F597 E598:E599">
    <cfRule type="expression" dxfId="443" priority="113" stopIfTrue="1">
      <formula>$T596=1</formula>
    </cfRule>
    <cfRule type="expression" dxfId="442" priority="112" stopIfTrue="1">
      <formula>$T597=1</formula>
    </cfRule>
  </conditionalFormatting>
  <conditionalFormatting sqref="E603:F604">
    <cfRule type="expression" dxfId="441" priority="110" stopIfTrue="1">
      <formula>$T603=1</formula>
    </cfRule>
  </conditionalFormatting>
  <conditionalFormatting sqref="E604:F604">
    <cfRule type="expression" dxfId="440" priority="111" stopIfTrue="1">
      <formula>$T603=1</formula>
    </cfRule>
  </conditionalFormatting>
  <conditionalFormatting sqref="F97">
    <cfRule type="expression" dxfId="439" priority="808" stopIfTrue="1">
      <formula>$T97=1</formula>
    </cfRule>
    <cfRule type="expression" dxfId="438" priority="809" stopIfTrue="1">
      <formula>$T96=1</formula>
    </cfRule>
  </conditionalFormatting>
  <conditionalFormatting sqref="F101:F102">
    <cfRule type="expression" dxfId="437" priority="811" stopIfTrue="1">
      <formula>$T100=1</formula>
    </cfRule>
    <cfRule type="expression" dxfId="436" priority="810" stopIfTrue="1">
      <formula>$T101=1</formula>
    </cfRule>
  </conditionalFormatting>
  <conditionalFormatting sqref="F113:F118">
    <cfRule type="expression" dxfId="435" priority="815" stopIfTrue="1">
      <formula>$T112=1</formula>
    </cfRule>
    <cfRule type="expression" dxfId="434" priority="814" stopIfTrue="1">
      <formula>$T113=1</formula>
    </cfRule>
  </conditionalFormatting>
  <conditionalFormatting sqref="F123:F127">
    <cfRule type="expression" dxfId="433" priority="813" stopIfTrue="1">
      <formula>$T122=1</formula>
    </cfRule>
    <cfRule type="expression" dxfId="432" priority="812" stopIfTrue="1">
      <formula>$T123=1</formula>
    </cfRule>
  </conditionalFormatting>
  <conditionalFormatting sqref="F152:F154">
    <cfRule type="expression" dxfId="431" priority="789" stopIfTrue="1">
      <formula>$T151=1</formula>
    </cfRule>
    <cfRule type="expression" dxfId="430" priority="788" stopIfTrue="1">
      <formula>$T152=1</formula>
    </cfRule>
  </conditionalFormatting>
  <conditionalFormatting sqref="F160">
    <cfRule type="expression" dxfId="429" priority="979" stopIfTrue="1">
      <formula>$M159=1</formula>
    </cfRule>
    <cfRule type="expression" dxfId="428" priority="978" stopIfTrue="1">
      <formula>$L160=1</formula>
    </cfRule>
  </conditionalFormatting>
  <conditionalFormatting sqref="F163:F166 E141:F141">
    <cfRule type="expression" dxfId="427" priority="955" stopIfTrue="1">
      <formula>#REF!=1</formula>
    </cfRule>
  </conditionalFormatting>
  <conditionalFormatting sqref="F167">
    <cfRule type="expression" dxfId="426" priority="958" stopIfTrue="1">
      <formula>#REF!=1</formula>
    </cfRule>
    <cfRule type="expression" dxfId="425" priority="957" stopIfTrue="1">
      <formula>$T166=1</formula>
    </cfRule>
  </conditionalFormatting>
  <conditionalFormatting sqref="F192">
    <cfRule type="expression" dxfId="424" priority="755" stopIfTrue="1">
      <formula>$L192=1</formula>
    </cfRule>
    <cfRule type="expression" dxfId="423" priority="756" stopIfTrue="1">
      <formula>$L191=1</formula>
    </cfRule>
  </conditionalFormatting>
  <conditionalFormatting sqref="F198">
    <cfRule type="expression" dxfId="422" priority="762" stopIfTrue="1">
      <formula>$L198=1</formula>
    </cfRule>
    <cfRule type="expression" dxfId="421" priority="763" stopIfTrue="1">
      <formula>$L197=1</formula>
    </cfRule>
  </conditionalFormatting>
  <conditionalFormatting sqref="F204 F206">
    <cfRule type="expression" dxfId="420" priority="964" stopIfTrue="1">
      <formula>#REF!=1</formula>
    </cfRule>
    <cfRule type="expression" dxfId="419" priority="963" stopIfTrue="1">
      <formula>#REF!=1</formula>
    </cfRule>
  </conditionalFormatting>
  <conditionalFormatting sqref="F232">
    <cfRule type="expression" dxfId="418" priority="690" stopIfTrue="1">
      <formula>$L231=1</formula>
    </cfRule>
    <cfRule type="expression" dxfId="417" priority="689" stopIfTrue="1">
      <formula>$L232=1</formula>
    </cfRule>
  </conditionalFormatting>
  <conditionalFormatting sqref="F237">
    <cfRule type="expression" dxfId="416" priority="694" stopIfTrue="1">
      <formula>$L236=1</formula>
    </cfRule>
    <cfRule type="expression" dxfId="415" priority="693" stopIfTrue="1">
      <formula>$L237=1</formula>
    </cfRule>
  </conditionalFormatting>
  <conditionalFormatting sqref="F241:F242 E219:F219">
    <cfRule type="expression" dxfId="414" priority="695" stopIfTrue="1">
      <formula>#REF!=1</formula>
    </cfRule>
  </conditionalFormatting>
  <conditionalFormatting sqref="F241:F242">
    <cfRule type="expression" dxfId="413" priority="684" stopIfTrue="1">
      <formula>$L241=1</formula>
    </cfRule>
  </conditionalFormatting>
  <conditionalFormatting sqref="F243">
    <cfRule type="expression" dxfId="412" priority="697" stopIfTrue="1">
      <formula>#REF!=1</formula>
    </cfRule>
    <cfRule type="expression" dxfId="411" priority="696" stopIfTrue="1">
      <formula>#REF!=1</formula>
    </cfRule>
  </conditionalFormatting>
  <conditionalFormatting sqref="F274">
    <cfRule type="expression" dxfId="410" priority="637" stopIfTrue="1">
      <formula>$L274=1</formula>
    </cfRule>
    <cfRule type="expression" dxfId="409" priority="638" stopIfTrue="1">
      <formula>$L273=1</formula>
    </cfRule>
  </conditionalFormatting>
  <conditionalFormatting sqref="F283 E261:F261">
    <cfRule type="expression" dxfId="408" priority="639" stopIfTrue="1">
      <formula>#REF!=1</formula>
    </cfRule>
  </conditionalFormatting>
  <conditionalFormatting sqref="F284">
    <cfRule type="expression" dxfId="407" priority="641" stopIfTrue="1">
      <formula>#REF!=1</formula>
    </cfRule>
    <cfRule type="expression" dxfId="406" priority="640" stopIfTrue="1">
      <formula>#REF!=1</formula>
    </cfRule>
  </conditionalFormatting>
  <conditionalFormatting sqref="F290:F292">
    <cfRule type="expression" dxfId="405" priority="648" stopIfTrue="1">
      <formula>#REF!=1</formula>
    </cfRule>
    <cfRule type="expression" dxfId="404" priority="647" stopIfTrue="1">
      <formula>#REF!=1</formula>
    </cfRule>
  </conditionalFormatting>
  <conditionalFormatting sqref="F322">
    <cfRule type="expression" dxfId="403" priority="581" stopIfTrue="1">
      <formula>$L322=1</formula>
    </cfRule>
    <cfRule type="expression" dxfId="402" priority="582" stopIfTrue="1">
      <formula>$L321=1</formula>
    </cfRule>
  </conditionalFormatting>
  <conditionalFormatting sqref="F331 E275:F275 F283">
    <cfRule type="expression" dxfId="401" priority="633" stopIfTrue="1">
      <formula>$L276=1</formula>
    </cfRule>
  </conditionalFormatting>
  <conditionalFormatting sqref="F338:F339 F341">
    <cfRule type="expression" dxfId="400" priority="589" stopIfTrue="1">
      <formula>#REF!=1</formula>
    </cfRule>
    <cfRule type="expression" dxfId="399" priority="588" stopIfTrue="1">
      <formula>#REF!=1</formula>
    </cfRule>
  </conditionalFormatting>
  <conditionalFormatting sqref="F343">
    <cfRule type="expression" dxfId="398" priority="591" stopIfTrue="1">
      <formula>#REF!=1</formula>
    </cfRule>
    <cfRule type="expression" dxfId="397" priority="590" stopIfTrue="1">
      <formula>#REF!=1</formula>
    </cfRule>
  </conditionalFormatting>
  <conditionalFormatting sqref="F382 E360:F360">
    <cfRule type="expression" dxfId="396" priority="518" stopIfTrue="1">
      <formula>#REF!=1</formula>
    </cfRule>
  </conditionalFormatting>
  <conditionalFormatting sqref="F382">
    <cfRule type="expression" dxfId="395" priority="516" stopIfTrue="1">
      <formula>$L375=1</formula>
    </cfRule>
  </conditionalFormatting>
  <conditionalFormatting sqref="F389">
    <cfRule type="expression" dxfId="394" priority="523" stopIfTrue="1">
      <formula>#REF!=1</formula>
    </cfRule>
    <cfRule type="expression" dxfId="393" priority="524" stopIfTrue="1">
      <formula>#REF!=1</formula>
    </cfRule>
  </conditionalFormatting>
  <conditionalFormatting sqref="F391">
    <cfRule type="expression" dxfId="392" priority="526" stopIfTrue="1">
      <formula>#REF!=1</formula>
    </cfRule>
    <cfRule type="expression" dxfId="391" priority="525" stopIfTrue="1">
      <formula>#REF!=1</formula>
    </cfRule>
  </conditionalFormatting>
  <conditionalFormatting sqref="F413">
    <cfRule type="expression" dxfId="390" priority="388" stopIfTrue="1">
      <formula>$T414=1</formula>
    </cfRule>
    <cfRule type="expression" dxfId="389" priority="387" stopIfTrue="1">
      <formula>$T415=1</formula>
    </cfRule>
  </conditionalFormatting>
  <conditionalFormatting sqref="F420">
    <cfRule type="expression" dxfId="388" priority="375" stopIfTrue="1">
      <formula>$T421=1</formula>
    </cfRule>
    <cfRule type="expression" dxfId="387" priority="376" stopIfTrue="1">
      <formula>#REF!=1</formula>
    </cfRule>
  </conditionalFormatting>
  <conditionalFormatting sqref="F422">
    <cfRule type="expression" dxfId="386" priority="368" stopIfTrue="1">
      <formula>#REF!=1</formula>
    </cfRule>
    <cfRule type="expression" dxfId="385" priority="367" stopIfTrue="1">
      <formula>$T423=1</formula>
    </cfRule>
  </conditionalFormatting>
  <conditionalFormatting sqref="F424">
    <cfRule type="expression" dxfId="384" priority="384" stopIfTrue="1">
      <formula>$T425=1</formula>
    </cfRule>
    <cfRule type="expression" dxfId="383" priority="383" stopIfTrue="1">
      <formula>$T426=1</formula>
    </cfRule>
  </conditionalFormatting>
  <conditionalFormatting sqref="F430">
    <cfRule type="expression" dxfId="382" priority="398" stopIfTrue="1">
      <formula>$T431=1</formula>
    </cfRule>
    <cfRule type="expression" dxfId="381" priority="397" stopIfTrue="1">
      <formula>$T432=1</formula>
    </cfRule>
  </conditionalFormatting>
  <conditionalFormatting sqref="F439">
    <cfRule type="expression" dxfId="380" priority="1033" stopIfTrue="1">
      <formula>$I427=1</formula>
    </cfRule>
  </conditionalFormatting>
  <conditionalFormatting sqref="F441">
    <cfRule type="expression" dxfId="379" priority="369" stopIfTrue="1">
      <formula>$T442=1</formula>
    </cfRule>
    <cfRule type="expression" dxfId="378" priority="370" stopIfTrue="1">
      <formula>#REF!=1</formula>
    </cfRule>
  </conditionalFormatting>
  <conditionalFormatting sqref="F444">
    <cfRule type="expression" dxfId="377" priority="441" stopIfTrue="1">
      <formula>#REF!=1</formula>
    </cfRule>
    <cfRule type="expression" dxfId="376" priority="442" stopIfTrue="1">
      <formula>#REF!=1</formula>
    </cfRule>
  </conditionalFormatting>
  <conditionalFormatting sqref="F446">
    <cfRule type="expression" dxfId="375" priority="443" stopIfTrue="1">
      <formula>#REF!=1</formula>
    </cfRule>
    <cfRule type="expression" dxfId="374" priority="444" stopIfTrue="1">
      <formula>#REF!=1</formula>
    </cfRule>
  </conditionalFormatting>
  <conditionalFormatting sqref="F448">
    <cfRule type="expression" dxfId="373" priority="391" stopIfTrue="1">
      <formula>$T454=1</formula>
    </cfRule>
    <cfRule type="expression" dxfId="372" priority="392" stopIfTrue="1">
      <formula>$T453=1</formula>
    </cfRule>
  </conditionalFormatting>
  <conditionalFormatting sqref="F472">
    <cfRule type="expression" dxfId="371" priority="262" stopIfTrue="1">
      <formula>$T473=1</formula>
    </cfRule>
    <cfRule type="expression" dxfId="370" priority="263" stopIfTrue="1">
      <formula>#REF!=1</formula>
    </cfRule>
  </conditionalFormatting>
  <conditionalFormatting sqref="F474">
    <cfRule type="expression" dxfId="369" priority="254" stopIfTrue="1">
      <formula>$T475=1</formula>
    </cfRule>
    <cfRule type="expression" dxfId="368" priority="255" stopIfTrue="1">
      <formula>#REF!=1</formula>
    </cfRule>
  </conditionalFormatting>
  <conditionalFormatting sqref="F476">
    <cfRule type="expression" dxfId="367" priority="269" stopIfTrue="1">
      <formula>$T477=1</formula>
    </cfRule>
    <cfRule type="expression" dxfId="366" priority="268" stopIfTrue="1">
      <formula>$T478=1</formula>
    </cfRule>
  </conditionalFormatting>
  <conditionalFormatting sqref="F482">
    <cfRule type="expression" dxfId="365" priority="275" stopIfTrue="1">
      <formula>$T483=1</formula>
    </cfRule>
    <cfRule type="expression" dxfId="364" priority="274" stopIfTrue="1">
      <formula>$T484=1</formula>
    </cfRule>
  </conditionalFormatting>
  <conditionalFormatting sqref="F497">
    <cfRule type="expression" dxfId="363" priority="335" stopIfTrue="1">
      <formula>$I479=1</formula>
    </cfRule>
  </conditionalFormatting>
  <conditionalFormatting sqref="F499">
    <cfRule type="expression" dxfId="362" priority="257" stopIfTrue="1">
      <formula>#REF!=1</formula>
    </cfRule>
    <cfRule type="expression" dxfId="361" priority="256" stopIfTrue="1">
      <formula>$T500=1</formula>
    </cfRule>
  </conditionalFormatting>
  <conditionalFormatting sqref="F502">
    <cfRule type="expression" dxfId="360" priority="309" stopIfTrue="1">
      <formula>#REF!=1</formula>
    </cfRule>
    <cfRule type="expression" dxfId="359" priority="310" stopIfTrue="1">
      <formula>#REF!=1</formula>
    </cfRule>
  </conditionalFormatting>
  <conditionalFormatting sqref="F504">
    <cfRule type="expression" dxfId="358" priority="311" stopIfTrue="1">
      <formula>#REF!=1</formula>
    </cfRule>
    <cfRule type="expression" dxfId="357" priority="312" stopIfTrue="1">
      <formula>#REF!=1</formula>
    </cfRule>
  </conditionalFormatting>
  <conditionalFormatting sqref="F539">
    <cfRule type="expression" dxfId="356" priority="175" stopIfTrue="1">
      <formula>#REF!=1</formula>
    </cfRule>
    <cfRule type="expression" dxfId="355" priority="174" stopIfTrue="1">
      <formula>$T540=1</formula>
    </cfRule>
  </conditionalFormatting>
  <conditionalFormatting sqref="F561">
    <cfRule type="expression" dxfId="354" priority="200" stopIfTrue="1">
      <formula>$I544=1</formula>
    </cfRule>
    <cfRule type="expression" dxfId="353" priority="187" stopIfTrue="1">
      <formula>#REF!=1</formula>
    </cfRule>
  </conditionalFormatting>
  <conditionalFormatting sqref="F563">
    <cfRule type="expression" dxfId="352" priority="1083" stopIfTrue="1">
      <formula>#REF!=1</formula>
    </cfRule>
    <cfRule type="expression" dxfId="351" priority="1084" stopIfTrue="1">
      <formula>#REF!=1</formula>
    </cfRule>
  </conditionalFormatting>
  <conditionalFormatting sqref="F565">
    <cfRule type="expression" dxfId="350" priority="189" stopIfTrue="1">
      <formula>#REF!=1</formula>
    </cfRule>
    <cfRule type="expression" dxfId="349" priority="188" stopIfTrue="1">
      <formula>#REF!=1</formula>
    </cfRule>
  </conditionalFormatting>
  <conditionalFormatting sqref="F567">
    <cfRule type="expression" dxfId="348" priority="190" stopIfTrue="1">
      <formula>#REF!=1</formula>
    </cfRule>
    <cfRule type="expression" dxfId="347" priority="191" stopIfTrue="1">
      <formula>#REF!=1</formula>
    </cfRule>
  </conditionalFormatting>
  <conditionalFormatting sqref="F596">
    <cfRule type="expression" dxfId="346" priority="126" stopIfTrue="1">
      <formula>$T597=1</formula>
    </cfRule>
    <cfRule type="expression" dxfId="345" priority="127" stopIfTrue="1">
      <formula>#REF!=1</formula>
    </cfRule>
  </conditionalFormatting>
  <conditionalFormatting sqref="F605:F607">
    <cfRule type="expression" dxfId="344" priority="142" stopIfTrue="1">
      <formula>$I597=1</formula>
    </cfRule>
    <cfRule type="expression" dxfId="343" priority="139" stopIfTrue="1">
      <formula>#REF!=1</formula>
    </cfRule>
  </conditionalFormatting>
  <conditionalFormatting sqref="F608:F610">
    <cfRule type="expression" dxfId="342" priority="1105" stopIfTrue="1">
      <formula>$I601=1</formula>
    </cfRule>
  </conditionalFormatting>
  <conditionalFormatting sqref="F608:F618 H603 E603:F603">
    <cfRule type="expression" dxfId="341" priority="1092" stopIfTrue="1">
      <formula>#REF!=1</formula>
    </cfRule>
  </conditionalFormatting>
  <conditionalFormatting sqref="F611:F612">
    <cfRule type="expression" dxfId="340" priority="1112" stopIfTrue="1">
      <formula>$M587=1</formula>
    </cfRule>
  </conditionalFormatting>
  <conditionalFormatting sqref="F613">
    <cfRule type="expression" dxfId="339" priority="1111" stopIfTrue="1">
      <formula>$M590=1</formula>
    </cfRule>
  </conditionalFormatting>
  <conditionalFormatting sqref="F614:F615 F617">
    <cfRule type="expression" dxfId="338" priority="1100" stopIfTrue="1">
      <formula>#REF!=1</formula>
    </cfRule>
  </conditionalFormatting>
  <conditionalFormatting sqref="F616">
    <cfRule type="expression" dxfId="337" priority="1104" stopIfTrue="1">
      <formula>$I611=1</formula>
    </cfRule>
  </conditionalFormatting>
  <conditionalFormatting sqref="F618">
    <cfRule type="expression" dxfId="336" priority="1091" stopIfTrue="1">
      <formula>$T618=1</formula>
    </cfRule>
  </conditionalFormatting>
  <conditionalFormatting sqref="F669">
    <cfRule type="expression" dxfId="335" priority="74" stopIfTrue="1">
      <formula>$T668=1</formula>
    </cfRule>
    <cfRule type="expression" dxfId="334" priority="73" stopIfTrue="1">
      <formula>$T669=1</formula>
    </cfRule>
  </conditionalFormatting>
  <conditionalFormatting sqref="F670">
    <cfRule type="expression" dxfId="333" priority="78" stopIfTrue="1">
      <formula>$T$34=1</formula>
    </cfRule>
  </conditionalFormatting>
  <conditionalFormatting sqref="F671:F672">
    <cfRule type="expression" dxfId="332" priority="69" stopIfTrue="1">
      <formula>$T671=1</formula>
    </cfRule>
    <cfRule type="expression" dxfId="331" priority="70" stopIfTrue="1">
      <formula>$T670=1</formula>
    </cfRule>
  </conditionalFormatting>
  <conditionalFormatting sqref="F673">
    <cfRule type="expression" dxfId="330" priority="83" stopIfTrue="1">
      <formula>$T675=1</formula>
    </cfRule>
    <cfRule type="expression" dxfId="329" priority="82" stopIfTrue="1">
      <formula>$R676=1</formula>
    </cfRule>
  </conditionalFormatting>
  <conditionalFormatting sqref="F674:F676">
    <cfRule type="expression" dxfId="328" priority="72" stopIfTrue="1">
      <formula>$T673=1</formula>
    </cfRule>
    <cfRule type="expression" dxfId="327" priority="71" stopIfTrue="1">
      <formula>$T674=1</formula>
    </cfRule>
  </conditionalFormatting>
  <conditionalFormatting sqref="F677">
    <cfRule type="expression" dxfId="326" priority="79" stopIfTrue="1">
      <formula>$R677=1</formula>
    </cfRule>
    <cfRule type="expression" dxfId="325" priority="80" stopIfTrue="1">
      <formula>$R676=1</formula>
    </cfRule>
  </conditionalFormatting>
  <conditionalFormatting sqref="F678">
    <cfRule type="expression" dxfId="324" priority="76" stopIfTrue="1">
      <formula>$T679=1</formula>
    </cfRule>
    <cfRule type="expression" dxfId="323" priority="77" stopIfTrue="1">
      <formula>#REF!=1</formula>
    </cfRule>
  </conditionalFormatting>
  <conditionalFormatting sqref="F679:F684">
    <cfRule type="expression" dxfId="322" priority="68" stopIfTrue="1">
      <formula>$T678=1</formula>
    </cfRule>
  </conditionalFormatting>
  <conditionalFormatting sqref="F679:F686">
    <cfRule type="expression" dxfId="321" priority="66" stopIfTrue="1">
      <formula>$T679=1</formula>
    </cfRule>
  </conditionalFormatting>
  <conditionalFormatting sqref="F686">
    <cfRule type="expression" dxfId="320" priority="67" stopIfTrue="1">
      <formula>$T685=1</formula>
    </cfRule>
  </conditionalFormatting>
  <conditionalFormatting sqref="F687:F689">
    <cfRule type="expression" dxfId="319" priority="81" stopIfTrue="1">
      <formula>#REF!=1</formula>
    </cfRule>
    <cfRule type="expression" dxfId="318" priority="84" stopIfTrue="1">
      <formula>$I679=1</formula>
    </cfRule>
  </conditionalFormatting>
  <conditionalFormatting sqref="F690:F692">
    <cfRule type="expression" dxfId="317" priority="94" stopIfTrue="1">
      <formula>$I683=1</formula>
    </cfRule>
  </conditionalFormatting>
  <conditionalFormatting sqref="F693:F694">
    <cfRule type="expression" dxfId="316" priority="95" stopIfTrue="1">
      <formula>$M669=1</formula>
    </cfRule>
  </conditionalFormatting>
  <conditionalFormatting sqref="F695:F696">
    <cfRule type="expression" dxfId="315" priority="91" stopIfTrue="1">
      <formula>#REF!=1</formula>
    </cfRule>
  </conditionalFormatting>
  <conditionalFormatting sqref="F697">
    <cfRule type="expression" dxfId="314" priority="93" stopIfTrue="1">
      <formula>$I693=1</formula>
    </cfRule>
  </conditionalFormatting>
  <conditionalFormatting sqref="F754">
    <cfRule type="expression" dxfId="313" priority="1127" stopIfTrue="1">
      <formula>$T753=1</formula>
    </cfRule>
  </conditionalFormatting>
  <conditionalFormatting sqref="F754:F779">
    <cfRule type="expression" dxfId="312" priority="1126" stopIfTrue="1">
      <formula>$U754=1</formula>
    </cfRule>
  </conditionalFormatting>
  <conditionalFormatting sqref="F755:F780">
    <cfRule type="expression" dxfId="311" priority="1129" stopIfTrue="1">
      <formula>$U754=1</formula>
    </cfRule>
  </conditionalFormatting>
  <conditionalFormatting sqref="F788:F799 E101:E102">
    <cfRule type="expression" dxfId="310" priority="806" stopIfTrue="1">
      <formula>$T101=1</formula>
    </cfRule>
  </conditionalFormatting>
  <conditionalFormatting sqref="G807:H812">
    <cfRule type="expression" dxfId="309" priority="26">
      <formula>$F807="ANULADA"</formula>
    </cfRule>
    <cfRule type="expression" dxfId="308" priority="25">
      <formula>$F807="TERMINADA"</formula>
    </cfRule>
  </conditionalFormatting>
  <conditionalFormatting sqref="H392">
    <cfRule type="expression" dxfId="307" priority="500" stopIfTrue="1">
      <formula>$T392=1</formula>
    </cfRule>
    <cfRule type="expression" dxfId="306" priority="501" stopIfTrue="1">
      <formula>$T391=1</formula>
    </cfRule>
  </conditionalFormatting>
  <conditionalFormatting sqref="H450">
    <cfRule type="expression" dxfId="305" priority="436" stopIfTrue="1">
      <formula>$T450=1</formula>
    </cfRule>
    <cfRule type="expression" dxfId="304" priority="437" stopIfTrue="1">
      <formula>$T449=1</formula>
    </cfRule>
  </conditionalFormatting>
  <conditionalFormatting sqref="H508">
    <cfRule type="expression" dxfId="303" priority="304" stopIfTrue="1">
      <formula>$T508=1</formula>
    </cfRule>
    <cfRule type="expression" dxfId="302" priority="305" stopIfTrue="1">
      <formula>$T507=1</formula>
    </cfRule>
  </conditionalFormatting>
  <conditionalFormatting sqref="H529">
    <cfRule type="expression" dxfId="301" priority="163" stopIfTrue="1">
      <formula>$T$34=1</formula>
    </cfRule>
  </conditionalFormatting>
  <conditionalFormatting sqref="H530:H551">
    <cfRule type="expression" dxfId="300" priority="162" stopIfTrue="1">
      <formula>$T529=1</formula>
    </cfRule>
    <cfRule type="expression" dxfId="299" priority="161" stopIfTrue="1">
      <formula>$T530=1</formula>
    </cfRule>
  </conditionalFormatting>
  <conditionalFormatting sqref="H586">
    <cfRule type="expression" dxfId="298" priority="121" stopIfTrue="1">
      <formula>$T$34=1</formula>
    </cfRule>
  </conditionalFormatting>
  <conditionalFormatting sqref="H668">
    <cfRule type="expression" dxfId="297" priority="75" stopIfTrue="1">
      <formula>$T$34=1</formula>
    </cfRule>
  </conditionalFormatting>
  <conditionalFormatting sqref="H669:H684 H686:H689">
    <cfRule type="expression" dxfId="296" priority="86" stopIfTrue="1">
      <formula>$T668=1</formula>
    </cfRule>
  </conditionalFormatting>
  <conditionalFormatting sqref="H669:H689">
    <cfRule type="expression" dxfId="295" priority="85" stopIfTrue="1">
      <formula>$T669=1</formula>
    </cfRule>
  </conditionalFormatting>
  <conditionalFormatting sqref="H685 F685">
    <cfRule type="expression" dxfId="294" priority="90" stopIfTrue="1">
      <formula>#REF!=1</formula>
    </cfRule>
  </conditionalFormatting>
  <conditionalFormatting sqref="H753">
    <cfRule type="expression" dxfId="293" priority="35" stopIfTrue="1">
      <formula>$T$34=1</formula>
    </cfRule>
  </conditionalFormatting>
  <conditionalFormatting sqref="H754:H774">
    <cfRule type="expression" dxfId="292" priority="36" stopIfTrue="1">
      <formula>$U754=1</formula>
    </cfRule>
  </conditionalFormatting>
  <conditionalFormatting sqref="H755:H769 H771:H774">
    <cfRule type="expression" dxfId="291" priority="37" stopIfTrue="1">
      <formula>$U754=1</formula>
    </cfRule>
  </conditionalFormatting>
  <conditionalFormatting sqref="H770">
    <cfRule type="expression" dxfId="290" priority="38" stopIfTrue="1">
      <formula>#REF!=1</formula>
    </cfRule>
  </conditionalFormatting>
  <conditionalFormatting sqref="H343:K343">
    <cfRule type="expression" dxfId="289" priority="557" stopIfTrue="1">
      <formula>$T343=1</formula>
    </cfRule>
    <cfRule type="expression" dxfId="288" priority="558" stopIfTrue="1">
      <formula>$T342=1</formula>
    </cfRule>
  </conditionalFormatting>
  <conditionalFormatting sqref="H294:XFD294">
    <cfRule type="expression" dxfId="287" priority="604" stopIfTrue="1">
      <formula>$T293=1</formula>
    </cfRule>
    <cfRule type="expression" dxfId="286" priority="603" stopIfTrue="1">
      <formula>$T294=1</formula>
    </cfRule>
  </conditionalFormatting>
  <conditionalFormatting sqref="I587:I588">
    <cfRule type="expression" dxfId="285" priority="105" stopIfTrue="1">
      <formula>$S$34=1</formula>
    </cfRule>
  </conditionalFormatting>
  <conditionalFormatting sqref="I589:I596">
    <cfRule type="expression" dxfId="284" priority="103" stopIfTrue="1">
      <formula>$S589=1</formula>
    </cfRule>
    <cfRule type="expression" dxfId="283" priority="104" stopIfTrue="1">
      <formula>$S588=1</formula>
    </cfRule>
  </conditionalFormatting>
  <conditionalFormatting sqref="I597:I602">
    <cfRule type="expression" dxfId="282" priority="108" stopIfTrue="1">
      <formula>$S596=1</formula>
    </cfRule>
    <cfRule type="expression" dxfId="281" priority="109" stopIfTrue="1">
      <formula>$S595=1</formula>
    </cfRule>
  </conditionalFormatting>
  <conditionalFormatting sqref="I603">
    <cfRule type="expression" dxfId="280" priority="1107" stopIfTrue="1">
      <formula>#REF!=1</formula>
    </cfRule>
    <cfRule type="expression" dxfId="279" priority="1108" stopIfTrue="1">
      <formula>$S602=1</formula>
    </cfRule>
  </conditionalFormatting>
  <conditionalFormatting sqref="I604">
    <cfRule type="expression" dxfId="278" priority="1109" stopIfTrue="1">
      <formula>$S603=1</formula>
    </cfRule>
    <cfRule type="expression" dxfId="277" priority="1110" stopIfTrue="1">
      <formula>#REF!=1</formula>
    </cfRule>
  </conditionalFormatting>
  <conditionalFormatting sqref="I669:I670">
    <cfRule type="expression" dxfId="276" priority="59" stopIfTrue="1">
      <formula>$S$34=1</formula>
    </cfRule>
  </conditionalFormatting>
  <conditionalFormatting sqref="I671:I694">
    <cfRule type="expression" dxfId="275" priority="58" stopIfTrue="1">
      <formula>$S670=1</formula>
    </cfRule>
    <cfRule type="expression" dxfId="274" priority="57" stopIfTrue="1">
      <formula>$S671=1</formula>
    </cfRule>
  </conditionalFormatting>
  <conditionalFormatting sqref="I754:I755">
    <cfRule type="expression" dxfId="273" priority="16" stopIfTrue="1">
      <formula>$S$34=1</formula>
    </cfRule>
  </conditionalFormatting>
  <conditionalFormatting sqref="I807">
    <cfRule type="expression" dxfId="272" priority="27">
      <formula>#REF!="TERMINADA"</formula>
    </cfRule>
    <cfRule type="expression" dxfId="271" priority="28">
      <formula>#REF!="ANULADA"</formula>
    </cfRule>
  </conditionalFormatting>
  <conditionalFormatting sqref="I808:I812">
    <cfRule type="expression" dxfId="270" priority="22">
      <formula>$F792="ANULADA"</formula>
    </cfRule>
    <cfRule type="expression" dxfId="269" priority="21">
      <formula>$F792="TERMINADA"</formula>
    </cfRule>
  </conditionalFormatting>
  <conditionalFormatting sqref="I148:J149">
    <cfRule type="expression" dxfId="268" priority="782" stopIfTrue="1">
      <formula>$T147=1</formula>
    </cfRule>
    <cfRule type="expression" dxfId="267" priority="781" stopIfTrue="1">
      <formula>$T148=1</formula>
    </cfRule>
  </conditionalFormatting>
  <conditionalFormatting sqref="I151:J151">
    <cfRule type="expression" dxfId="266" priority="996" stopIfTrue="1">
      <formula>$T152=1</formula>
    </cfRule>
    <cfRule type="expression" dxfId="265" priority="997" stopIfTrue="1">
      <formula>$T151=1</formula>
    </cfRule>
  </conditionalFormatting>
  <conditionalFormatting sqref="I153:J153">
    <cfRule type="expression" dxfId="264" priority="968" stopIfTrue="1">
      <formula>$M158=1</formula>
    </cfRule>
    <cfRule type="expression" dxfId="263" priority="969" stopIfTrue="1">
      <formula>$M157=1</formula>
    </cfRule>
  </conditionalFormatting>
  <conditionalFormatting sqref="I163:J163">
    <cfRule type="expression" dxfId="262" priority="992" stopIfTrue="1">
      <formula>$S165=1</formula>
    </cfRule>
    <cfRule type="expression" dxfId="261" priority="993" stopIfTrue="1">
      <formula>$M164=1</formula>
    </cfRule>
  </conditionalFormatting>
  <conditionalFormatting sqref="I350:J350">
    <cfRule type="expression" dxfId="260" priority="990" stopIfTrue="1">
      <formula>$K352=1</formula>
    </cfRule>
    <cfRule type="expression" dxfId="259" priority="991" stopIfTrue="1">
      <formula>$K351=1</formula>
    </cfRule>
  </conditionalFormatting>
  <conditionalFormatting sqref="I390:J390">
    <cfRule type="expression" dxfId="258" priority="463" stopIfTrue="1">
      <formula>$Q389=1</formula>
    </cfRule>
  </conditionalFormatting>
  <conditionalFormatting sqref="I390:J395">
    <cfRule type="expression" dxfId="257" priority="461" stopIfTrue="1">
      <formula>$T390=1</formula>
    </cfRule>
  </conditionalFormatting>
  <conditionalFormatting sqref="I391:J395">
    <cfRule type="expression" dxfId="256" priority="462" stopIfTrue="1">
      <formula>$T390=1</formula>
    </cfRule>
  </conditionalFormatting>
  <conditionalFormatting sqref="I472:J472">
    <cfRule type="expression" dxfId="255" priority="222" stopIfTrue="1">
      <formula>$T$34=1</formula>
    </cfRule>
  </conditionalFormatting>
  <conditionalFormatting sqref="I473:J478">
    <cfRule type="expression" dxfId="254" priority="230" stopIfTrue="1">
      <formula>$T473=1</formula>
    </cfRule>
  </conditionalFormatting>
  <conditionalFormatting sqref="I473:J479">
    <cfRule type="expression" dxfId="253" priority="231" stopIfTrue="1">
      <formula>$T472=1</formula>
    </cfRule>
  </conditionalFormatting>
  <conditionalFormatting sqref="I479:J481">
    <cfRule type="expression" dxfId="252" priority="226" stopIfTrue="1">
      <formula>$R479=1</formula>
    </cfRule>
  </conditionalFormatting>
  <conditionalFormatting sqref="I480:J482">
    <cfRule type="expression" dxfId="251" priority="227" stopIfTrue="1">
      <formula>$R479=1</formula>
    </cfRule>
  </conditionalFormatting>
  <conditionalFormatting sqref="I482:J485">
    <cfRule type="expression" dxfId="250" priority="223" stopIfTrue="1">
      <formula>$O482=1</formula>
    </cfRule>
  </conditionalFormatting>
  <conditionalFormatting sqref="I483:J485">
    <cfRule type="expression" dxfId="249" priority="224" stopIfTrue="1">
      <formula>$O482=1</formula>
    </cfRule>
  </conditionalFormatting>
  <conditionalFormatting sqref="I486:J486">
    <cfRule type="expression" dxfId="248" priority="228" stopIfTrue="1">
      <formula>$O487=1</formula>
    </cfRule>
  </conditionalFormatting>
  <conditionalFormatting sqref="I486:J487">
    <cfRule type="expression" dxfId="247" priority="229" stopIfTrue="1">
      <formula>$O486=1</formula>
    </cfRule>
  </conditionalFormatting>
  <conditionalFormatting sqref="I488:J494">
    <cfRule type="expression" dxfId="246" priority="225" stopIfTrue="1">
      <formula>$R488=1</formula>
    </cfRule>
  </conditionalFormatting>
  <conditionalFormatting sqref="I374:K374">
    <cfRule type="expression" dxfId="245" priority="455" stopIfTrue="1">
      <formula>$T$34=1</formula>
    </cfRule>
  </conditionalFormatting>
  <conditionalFormatting sqref="I375:K383">
    <cfRule type="expression" dxfId="244" priority="458" stopIfTrue="1">
      <formula>$T375=1</formula>
    </cfRule>
  </conditionalFormatting>
  <conditionalFormatting sqref="I375:K384">
    <cfRule type="expression" dxfId="243" priority="459" stopIfTrue="1">
      <formula>$T374=1</formula>
    </cfRule>
  </conditionalFormatting>
  <conditionalFormatting sqref="I384:K389">
    <cfRule type="expression" dxfId="242" priority="456" stopIfTrue="1">
      <formula>$Q384=1</formula>
    </cfRule>
  </conditionalFormatting>
  <conditionalFormatting sqref="I385:K389">
    <cfRule type="expression" dxfId="241" priority="457" stopIfTrue="1">
      <formula>$Q384=1</formula>
    </cfRule>
  </conditionalFormatting>
  <conditionalFormatting sqref="I419:K419">
    <cfRule type="expression" dxfId="240" priority="354" stopIfTrue="1">
      <formula>$T$34=1</formula>
    </cfRule>
  </conditionalFormatting>
  <conditionalFormatting sqref="I420:K425">
    <cfRule type="expression" dxfId="239" priority="362" stopIfTrue="1">
      <formula>$T420=1</formula>
    </cfRule>
  </conditionalFormatting>
  <conditionalFormatting sqref="I420:K426">
    <cfRule type="expression" dxfId="238" priority="363" stopIfTrue="1">
      <formula>$T419=1</formula>
    </cfRule>
  </conditionalFormatting>
  <conditionalFormatting sqref="I426:K428">
    <cfRule type="expression" dxfId="237" priority="358" stopIfTrue="1">
      <formula>$R426=1</formula>
    </cfRule>
  </conditionalFormatting>
  <conditionalFormatting sqref="I427:K429">
    <cfRule type="expression" dxfId="236" priority="359" stopIfTrue="1">
      <formula>$R426=1</formula>
    </cfRule>
  </conditionalFormatting>
  <conditionalFormatting sqref="I429:K432">
    <cfRule type="expression" dxfId="235" priority="355" stopIfTrue="1">
      <formula>$O429=1</formula>
    </cfRule>
  </conditionalFormatting>
  <conditionalFormatting sqref="I430:K432">
    <cfRule type="expression" dxfId="234" priority="356" stopIfTrue="1">
      <formula>$O429=1</formula>
    </cfRule>
  </conditionalFormatting>
  <conditionalFormatting sqref="I433:K433">
    <cfRule type="expression" dxfId="233" priority="360" stopIfTrue="1">
      <formula>$O434=1</formula>
    </cfRule>
  </conditionalFormatting>
  <conditionalFormatting sqref="I433:K434">
    <cfRule type="expression" dxfId="232" priority="361" stopIfTrue="1">
      <formula>$O433=1</formula>
    </cfRule>
  </conditionalFormatting>
  <conditionalFormatting sqref="I434:K440">
    <cfRule type="expression" dxfId="231" priority="364" stopIfTrue="1">
      <formula>$R435=1</formula>
    </cfRule>
  </conditionalFormatting>
  <conditionalFormatting sqref="I435:K440">
    <cfRule type="expression" dxfId="230" priority="357" stopIfTrue="1">
      <formula>$R435=1</formula>
    </cfRule>
  </conditionalFormatting>
  <conditionalFormatting sqref="I443:K443">
    <cfRule type="expression" dxfId="229" priority="1052" stopIfTrue="1">
      <formula>$T447=1</formula>
    </cfRule>
    <cfRule type="expression" dxfId="228" priority="1051" stopIfTrue="1">
      <formula>$T448=1</formula>
    </cfRule>
  </conditionalFormatting>
  <conditionalFormatting sqref="I444:K444">
    <cfRule type="expression" dxfId="227" priority="1050" stopIfTrue="1">
      <formula>$T447=1</formula>
    </cfRule>
    <cfRule type="expression" dxfId="226" priority="1049" stopIfTrue="1">
      <formula>$T448=1</formula>
    </cfRule>
  </conditionalFormatting>
  <conditionalFormatting sqref="I445:K445">
    <cfRule type="expression" dxfId="225" priority="1048" stopIfTrue="1">
      <formula>$T447=1</formula>
    </cfRule>
    <cfRule type="expression" dxfId="224" priority="1047" stopIfTrue="1">
      <formula>$T448=1</formula>
    </cfRule>
  </conditionalFormatting>
  <conditionalFormatting sqref="I446:K446">
    <cfRule type="expression" dxfId="223" priority="1046" stopIfTrue="1">
      <formula>$T447=1</formula>
    </cfRule>
    <cfRule type="expression" dxfId="222" priority="1045" stopIfTrue="1">
      <formula>$T448=1</formula>
    </cfRule>
  </conditionalFormatting>
  <conditionalFormatting sqref="I447:K447">
    <cfRule type="expression" dxfId="221" priority="1044" stopIfTrue="1">
      <formula>$T447=1</formula>
    </cfRule>
    <cfRule type="expression" dxfId="220" priority="1043" stopIfTrue="1">
      <formula>$T448=1</formula>
    </cfRule>
  </conditionalFormatting>
  <conditionalFormatting sqref="I460:K461">
    <cfRule type="expression" dxfId="219" priority="1042" stopIfTrue="1">
      <formula>$T446=1</formula>
    </cfRule>
    <cfRule type="expression" dxfId="218" priority="1041" stopIfTrue="1">
      <formula>$T447=1</formula>
    </cfRule>
  </conditionalFormatting>
  <conditionalFormatting sqref="I471:K471">
    <cfRule type="expression" dxfId="217" priority="242" stopIfTrue="1">
      <formula>$T$34=1</formula>
    </cfRule>
  </conditionalFormatting>
  <conditionalFormatting sqref="I501:K501">
    <cfRule type="expression" dxfId="216" priority="349" stopIfTrue="1">
      <formula>$T506=1</formula>
    </cfRule>
    <cfRule type="expression" dxfId="215" priority="350" stopIfTrue="1">
      <formula>$T505=1</formula>
    </cfRule>
  </conditionalFormatting>
  <conditionalFormatting sqref="I502:K502">
    <cfRule type="expression" dxfId="214" priority="347" stopIfTrue="1">
      <formula>$T506=1</formula>
    </cfRule>
    <cfRule type="expression" dxfId="213" priority="348" stopIfTrue="1">
      <formula>$T505=1</formula>
    </cfRule>
  </conditionalFormatting>
  <conditionalFormatting sqref="I503:K503">
    <cfRule type="expression" dxfId="212" priority="345" stopIfTrue="1">
      <formula>$T506=1</formula>
    </cfRule>
    <cfRule type="expression" dxfId="211" priority="346" stopIfTrue="1">
      <formula>$T505=1</formula>
    </cfRule>
  </conditionalFormatting>
  <conditionalFormatting sqref="I504:K504">
    <cfRule type="expression" dxfId="210" priority="344" stopIfTrue="1">
      <formula>$T505=1</formula>
    </cfRule>
    <cfRule type="expression" dxfId="209" priority="343" stopIfTrue="1">
      <formula>$T506=1</formula>
    </cfRule>
  </conditionalFormatting>
  <conditionalFormatting sqref="I505:K505">
    <cfRule type="expression" dxfId="208" priority="342" stopIfTrue="1">
      <formula>$T505=1</formula>
    </cfRule>
    <cfRule type="expression" dxfId="207" priority="341" stopIfTrue="1">
      <formula>$T506=1</formula>
    </cfRule>
  </conditionalFormatting>
  <conditionalFormatting sqref="I544:K551">
    <cfRule type="expression" dxfId="206" priority="165" stopIfTrue="1">
      <formula>$T543=1</formula>
    </cfRule>
    <cfRule type="expression" dxfId="205" priority="164" stopIfTrue="1">
      <formula>$T544=1</formula>
    </cfRule>
  </conditionalFormatting>
  <conditionalFormatting sqref="I364:L364">
    <cfRule type="expression" dxfId="204" priority="1021" stopIfTrue="1">
      <formula>$T372=1</formula>
    </cfRule>
    <cfRule type="expression" dxfId="203" priority="1022" stopIfTrue="1">
      <formula>$T371=1</formula>
    </cfRule>
  </conditionalFormatting>
  <conditionalFormatting sqref="I529:L543">
    <cfRule type="expression" dxfId="202" priority="147">
      <formula>$G529="TERMINADA"</formula>
    </cfRule>
    <cfRule type="expression" dxfId="201" priority="148">
      <formula>$G529="ANULADA"</formula>
    </cfRule>
  </conditionalFormatting>
  <conditionalFormatting sqref="I623:L624 I628:L628 I631:L637">
    <cfRule type="expression" dxfId="200" priority="1096">
      <formula>#REF!="ANULADA"</formula>
    </cfRule>
    <cfRule type="expression" dxfId="199" priority="1095">
      <formula>#REF!="TERMINADA"</formula>
    </cfRule>
  </conditionalFormatting>
  <conditionalFormatting sqref="I625:L627">
    <cfRule type="expression" dxfId="198" priority="1102">
      <formula>$G614="ANULADA"</formula>
    </cfRule>
    <cfRule type="expression" dxfId="197" priority="1101">
      <formula>$G614="TERMINADA"</formula>
    </cfRule>
  </conditionalFormatting>
  <conditionalFormatting sqref="I629:L630">
    <cfRule type="expression" dxfId="196" priority="1094">
      <formula>$G617="ANULADA"</formula>
    </cfRule>
    <cfRule type="expression" dxfId="195" priority="1093">
      <formula>$G617="TERMINADA"</formula>
    </cfRule>
  </conditionalFormatting>
  <conditionalFormatting sqref="I638:L656">
    <cfRule type="expression" dxfId="194" priority="97">
      <formula>$G618="ANULADA"</formula>
    </cfRule>
    <cfRule type="expression" dxfId="193" priority="96">
      <formula>$G618="TERMINADA"</formula>
    </cfRule>
  </conditionalFormatting>
  <conditionalFormatting sqref="J529:J543">
    <cfRule type="duplicateValues" dxfId="192" priority="149"/>
  </conditionalFormatting>
  <conditionalFormatting sqref="J670">
    <cfRule type="expression" dxfId="191" priority="62" stopIfTrue="1">
      <formula>$S$34=1</formula>
    </cfRule>
  </conditionalFormatting>
  <conditionalFormatting sqref="J807:J812">
    <cfRule type="expression" dxfId="190" priority="24">
      <formula>$F807="ANULADA"</formula>
    </cfRule>
    <cfRule type="expression" dxfId="189" priority="23">
      <formula>$F807="TERMINADA"</formula>
    </cfRule>
  </conditionalFormatting>
  <conditionalFormatting sqref="J587:K588">
    <cfRule type="expression" dxfId="188" priority="102" stopIfTrue="1">
      <formula>$S$34=1</formula>
    </cfRule>
  </conditionalFormatting>
  <conditionalFormatting sqref="J589:K596">
    <cfRule type="expression" dxfId="187" priority="101" stopIfTrue="1">
      <formula>$S588=1</formula>
    </cfRule>
    <cfRule type="expression" dxfId="186" priority="100" stopIfTrue="1">
      <formula>$S589=1</formula>
    </cfRule>
  </conditionalFormatting>
  <conditionalFormatting sqref="J669:K669">
    <cfRule type="expression" dxfId="185" priority="65" stopIfTrue="1">
      <formula>$S$34=1</formula>
    </cfRule>
  </conditionalFormatting>
  <conditionalFormatting sqref="J676:K678">
    <cfRule type="expression" dxfId="184" priority="63" stopIfTrue="1">
      <formula>$S676=1</formula>
    </cfRule>
    <cfRule type="expression" dxfId="183" priority="64" stopIfTrue="1">
      <formula>$S675=1</formula>
    </cfRule>
  </conditionalFormatting>
  <conditionalFormatting sqref="K165">
    <cfRule type="expression" dxfId="182" priority="989" stopIfTrue="1">
      <formula>$M164=1</formula>
    </cfRule>
    <cfRule type="expression" dxfId="181" priority="988" stopIfTrue="1">
      <formula>$S165=1</formula>
    </cfRule>
  </conditionalFormatting>
  <conditionalFormatting sqref="K182">
    <cfRule type="expression" dxfId="180" priority="995" stopIfTrue="1">
      <formula>$R183=1</formula>
    </cfRule>
    <cfRule type="expression" dxfId="179" priority="994" stopIfTrue="1">
      <formula>$R184=1</formula>
    </cfRule>
  </conditionalFormatting>
  <conditionalFormatting sqref="K222">
    <cfRule type="expression" dxfId="178" priority="651" stopIfTrue="1">
      <formula>$R224=1</formula>
    </cfRule>
    <cfRule type="expression" dxfId="177" priority="652" stopIfTrue="1">
      <formula>$R223=1</formula>
    </cfRule>
  </conditionalFormatting>
  <conditionalFormatting sqref="K264">
    <cfRule type="expression" dxfId="176" priority="593" stopIfTrue="1">
      <formula>$R266=1</formula>
    </cfRule>
    <cfRule type="expression" dxfId="175" priority="594" stopIfTrue="1">
      <formula>$R265=1</formula>
    </cfRule>
  </conditionalFormatting>
  <conditionalFormatting sqref="K352 Q355:XFD355">
    <cfRule type="expression" dxfId="174" priority="961" stopIfTrue="1">
      <formula>$K349=1</formula>
    </cfRule>
    <cfRule type="expression" dxfId="173" priority="962" stopIfTrue="1">
      <formula>$K348=1</formula>
    </cfRule>
  </conditionalFormatting>
  <conditionalFormatting sqref="K390">
    <cfRule type="expression" dxfId="172" priority="460" stopIfTrue="1">
      <formula>$Q389=1</formula>
    </cfRule>
  </conditionalFormatting>
  <conditionalFormatting sqref="K472:K477">
    <cfRule type="expression" dxfId="171" priority="250" stopIfTrue="1">
      <formula>$T472=1</formula>
    </cfRule>
  </conditionalFormatting>
  <conditionalFormatting sqref="K472:K478">
    <cfRule type="expression" dxfId="170" priority="251" stopIfTrue="1">
      <formula>$T471=1</formula>
    </cfRule>
  </conditionalFormatting>
  <conditionalFormatting sqref="K478:K480">
    <cfRule type="expression" dxfId="169" priority="246" stopIfTrue="1">
      <formula>$R478=1</formula>
    </cfRule>
  </conditionalFormatting>
  <conditionalFormatting sqref="K479:K481">
    <cfRule type="expression" dxfId="168" priority="247" stopIfTrue="1">
      <formula>$R478=1</formula>
    </cfRule>
  </conditionalFormatting>
  <conditionalFormatting sqref="K481:K484">
    <cfRule type="expression" dxfId="167" priority="243" stopIfTrue="1">
      <formula>$O481=1</formula>
    </cfRule>
  </conditionalFormatting>
  <conditionalFormatting sqref="K482:K484">
    <cfRule type="expression" dxfId="166" priority="244" stopIfTrue="1">
      <formula>$O481=1</formula>
    </cfRule>
  </conditionalFormatting>
  <conditionalFormatting sqref="K485">
    <cfRule type="expression" dxfId="165" priority="248" stopIfTrue="1">
      <formula>$O486=1</formula>
    </cfRule>
  </conditionalFormatting>
  <conditionalFormatting sqref="K485:K486">
    <cfRule type="expression" dxfId="164" priority="249" stopIfTrue="1">
      <formula>$O485=1</formula>
    </cfRule>
  </conditionalFormatting>
  <conditionalFormatting sqref="K487:K494">
    <cfRule type="expression" dxfId="163" priority="245" stopIfTrue="1">
      <formula>$R487=1</formula>
    </cfRule>
  </conditionalFormatting>
  <conditionalFormatting sqref="K670">
    <cfRule type="expression" dxfId="162" priority="56" stopIfTrue="1">
      <formula>$S$34=1</formula>
    </cfRule>
  </conditionalFormatting>
  <conditionalFormatting sqref="K671:K675">
    <cfRule type="expression" dxfId="161" priority="54" stopIfTrue="1">
      <formula>$S671=1</formula>
    </cfRule>
    <cfRule type="expression" dxfId="160" priority="55" stopIfTrue="1">
      <formula>$S670=1</formula>
    </cfRule>
  </conditionalFormatting>
  <conditionalFormatting sqref="K754:L755">
    <cfRule type="expression" dxfId="159" priority="13" stopIfTrue="1">
      <formula>$S$34=1</formula>
    </cfRule>
  </conditionalFormatting>
  <conditionalFormatting sqref="K756:L777">
    <cfRule type="expression" dxfId="158" priority="12" stopIfTrue="1">
      <formula>$T755=1</formula>
    </cfRule>
    <cfRule type="expression" dxfId="157" priority="11" stopIfTrue="1">
      <formula>$T756=1</formula>
    </cfRule>
  </conditionalFormatting>
  <conditionalFormatting sqref="K352:P352">
    <cfRule type="expression" dxfId="156" priority="953" stopIfTrue="1">
      <formula>$K352=1</formula>
    </cfRule>
    <cfRule type="expression" dxfId="155" priority="954" stopIfTrue="1">
      <formula>$K351=1</formula>
    </cfRule>
  </conditionalFormatting>
  <conditionalFormatting sqref="L136">
    <cfRule type="expression" dxfId="154" priority="780" stopIfTrue="1">
      <formula>$T$34=1</formula>
    </cfRule>
  </conditionalFormatting>
  <conditionalFormatting sqref="L137:L144">
    <cfRule type="expression" dxfId="153" priority="779" stopIfTrue="1">
      <formula>$T136=1</formula>
    </cfRule>
    <cfRule type="expression" dxfId="152" priority="778" stopIfTrue="1">
      <formula>$T137=1</formula>
    </cfRule>
  </conditionalFormatting>
  <conditionalFormatting sqref="L151">
    <cfRule type="expression" dxfId="151" priority="706" stopIfTrue="1">
      <formula>$T151=1</formula>
    </cfRule>
    <cfRule type="expression" dxfId="150" priority="705" stopIfTrue="1">
      <formula>$T152=1</formula>
    </cfRule>
  </conditionalFormatting>
  <conditionalFormatting sqref="L152">
    <cfRule type="expression" dxfId="149" priority="717" stopIfTrue="1">
      <formula>$T152=1</formula>
    </cfRule>
    <cfRule type="expression" dxfId="148" priority="718" stopIfTrue="1">
      <formula>$T151=1</formula>
    </cfRule>
  </conditionalFormatting>
  <conditionalFormatting sqref="L153">
    <cfRule type="expression" dxfId="147" priority="970" stopIfTrue="1">
      <formula>$T154=1</formula>
    </cfRule>
    <cfRule type="expression" dxfId="146" priority="971" stopIfTrue="1">
      <formula>$T153=1</formula>
    </cfRule>
  </conditionalFormatting>
  <conditionalFormatting sqref="L154">
    <cfRule type="expression" dxfId="145" priority="972" stopIfTrue="1">
      <formula>$L161=1</formula>
    </cfRule>
    <cfRule type="expression" dxfId="144" priority="973" stopIfTrue="1">
      <formula>$L160=1</formula>
    </cfRule>
  </conditionalFormatting>
  <conditionalFormatting sqref="L355">
    <cfRule type="expression" dxfId="143" priority="483" stopIfTrue="1">
      <formula>$T$34=1</formula>
    </cfRule>
  </conditionalFormatting>
  <conditionalFormatting sqref="L356:L357">
    <cfRule type="expression" dxfId="142" priority="551" stopIfTrue="1">
      <formula>$T355=1</formula>
    </cfRule>
    <cfRule type="expression" dxfId="141" priority="550" stopIfTrue="1">
      <formula>$T356=1</formula>
    </cfRule>
  </conditionalFormatting>
  <conditionalFormatting sqref="L358">
    <cfRule type="expression" dxfId="140" priority="1016" stopIfTrue="1">
      <formula>$T359=1</formula>
    </cfRule>
    <cfRule type="expression" dxfId="139" priority="1017" stopIfTrue="1">
      <formula>$T358=1</formula>
    </cfRule>
  </conditionalFormatting>
  <conditionalFormatting sqref="L359:L361">
    <cfRule type="expression" dxfId="138" priority="1019" stopIfTrue="1">
      <formula>$T362=1</formula>
    </cfRule>
    <cfRule type="expression" dxfId="137" priority="1020" stopIfTrue="1">
      <formula>$T361=1</formula>
    </cfRule>
  </conditionalFormatting>
  <conditionalFormatting sqref="L362 A442:A444 C442:D444">
    <cfRule type="expression" dxfId="136" priority="1026" stopIfTrue="1">
      <formula>$T364=1</formula>
    </cfRule>
  </conditionalFormatting>
  <conditionalFormatting sqref="L362:L363">
    <cfRule type="expression" dxfId="135" priority="1025" stopIfTrue="1">
      <formula>$Q365=1</formula>
    </cfRule>
  </conditionalFormatting>
  <conditionalFormatting sqref="L363">
    <cfRule type="expression" dxfId="134" priority="1027" stopIfTrue="1">
      <formula>$Q365=1</formula>
    </cfRule>
  </conditionalFormatting>
  <conditionalFormatting sqref="L449">
    <cfRule type="expression" dxfId="133" priority="415" stopIfTrue="1">
      <formula>$T$34=1</formula>
    </cfRule>
  </conditionalFormatting>
  <conditionalFormatting sqref="L450:L452">
    <cfRule type="expression" dxfId="132" priority="414" stopIfTrue="1">
      <formula>$T449=1</formula>
    </cfRule>
  </conditionalFormatting>
  <conditionalFormatting sqref="L450:L458">
    <cfRule type="expression" dxfId="131" priority="407" stopIfTrue="1">
      <formula>$T450=1</formula>
    </cfRule>
  </conditionalFormatting>
  <conditionalFormatting sqref="L453">
    <cfRule type="expression" dxfId="130" priority="408" stopIfTrue="1">
      <formula>$T451=1</formula>
    </cfRule>
  </conditionalFormatting>
  <conditionalFormatting sqref="L454 L517">
    <cfRule type="expression" dxfId="129" priority="1038" stopIfTrue="1">
      <formula>$T451=1</formula>
    </cfRule>
  </conditionalFormatting>
  <conditionalFormatting sqref="L459:L462">
    <cfRule type="expression" dxfId="128" priority="1036" stopIfTrue="1">
      <formula>$T460=1</formula>
    </cfRule>
    <cfRule type="expression" dxfId="127" priority="1035" stopIfTrue="1">
      <formula>$T461=1</formula>
    </cfRule>
  </conditionalFormatting>
  <conditionalFormatting sqref="L504">
    <cfRule type="expression" dxfId="126" priority="325" stopIfTrue="1">
      <formula>$T$34=1</formula>
    </cfRule>
  </conditionalFormatting>
  <conditionalFormatting sqref="L505:L506">
    <cfRule type="expression" dxfId="125" priority="324" stopIfTrue="1">
      <formula>$T505=1</formula>
    </cfRule>
  </conditionalFormatting>
  <conditionalFormatting sqref="L507">
    <cfRule type="expression" dxfId="124" priority="288" stopIfTrue="1">
      <formula>$T$34=1</formula>
    </cfRule>
  </conditionalFormatting>
  <conditionalFormatting sqref="L508:L510">
    <cfRule type="expression" dxfId="123" priority="287" stopIfTrue="1">
      <formula>$T507=1</formula>
    </cfRule>
  </conditionalFormatting>
  <conditionalFormatting sqref="L508:L518">
    <cfRule type="expression" dxfId="122" priority="282" stopIfTrue="1">
      <formula>$T508=1</formula>
    </cfRule>
  </conditionalFormatting>
  <conditionalFormatting sqref="L511">
    <cfRule type="expression" dxfId="121" priority="283" stopIfTrue="1">
      <formula>$T509=1</formula>
    </cfRule>
  </conditionalFormatting>
  <conditionalFormatting sqref="L512">
    <cfRule type="expression" dxfId="120" priority="338" stopIfTrue="1">
      <formula>$T509=1</formula>
    </cfRule>
  </conditionalFormatting>
  <conditionalFormatting sqref="N151">
    <cfRule type="expression" dxfId="119" priority="703" stopIfTrue="1">
      <formula>$T152=1</formula>
    </cfRule>
    <cfRule type="expression" dxfId="118" priority="704" stopIfTrue="1">
      <formula>$T151=1</formula>
    </cfRule>
  </conditionalFormatting>
  <conditionalFormatting sqref="N152">
    <cfRule type="expression" dxfId="117" priority="715" stopIfTrue="1">
      <formula>$T152=1</formula>
    </cfRule>
    <cfRule type="expression" dxfId="116" priority="716" stopIfTrue="1">
      <formula>$T151=1</formula>
    </cfRule>
  </conditionalFormatting>
  <conditionalFormatting sqref="N153">
    <cfRule type="expression" dxfId="115" priority="974" stopIfTrue="1">
      <formula>$L162=1</formula>
    </cfRule>
    <cfRule type="expression" dxfId="114" priority="711" stopIfTrue="1">
      <formula>#REF!=1</formula>
    </cfRule>
  </conditionalFormatting>
  <conditionalFormatting sqref="P151">
    <cfRule type="expression" dxfId="113" priority="702" stopIfTrue="1">
      <formula>$T151=1</formula>
    </cfRule>
    <cfRule type="expression" dxfId="112" priority="701" stopIfTrue="1">
      <formula>$T152=1</formula>
    </cfRule>
  </conditionalFormatting>
  <conditionalFormatting sqref="P152">
    <cfRule type="expression" dxfId="111" priority="713" stopIfTrue="1">
      <formula>$T152=1</formula>
    </cfRule>
    <cfRule type="expression" dxfId="110" priority="714" stopIfTrue="1">
      <formula>$T151=1</formula>
    </cfRule>
  </conditionalFormatting>
  <conditionalFormatting sqref="P153">
    <cfRule type="expression" dxfId="109" priority="975" stopIfTrue="1">
      <formula>$T154=1</formula>
    </cfRule>
  </conditionalFormatting>
  <conditionalFormatting sqref="P153:P155">
    <cfRule type="expression" dxfId="108" priority="985" stopIfTrue="1">
      <formula>$M155=1</formula>
    </cfRule>
  </conditionalFormatting>
  <conditionalFormatting sqref="P154 P157">
    <cfRule type="expression" dxfId="107" priority="708" stopIfTrue="1">
      <formula>#REF!=1</formula>
    </cfRule>
  </conditionalFormatting>
  <conditionalFormatting sqref="P155">
    <cfRule type="expression" dxfId="106" priority="986" stopIfTrue="1">
      <formula>$M156=1</formula>
    </cfRule>
  </conditionalFormatting>
  <conditionalFormatting sqref="P156">
    <cfRule type="expression" dxfId="105" priority="976" stopIfTrue="1">
      <formula>$M159=1</formula>
    </cfRule>
    <cfRule type="expression" dxfId="104" priority="977" stopIfTrue="1">
      <formula>$M158=1</formula>
    </cfRule>
  </conditionalFormatting>
  <conditionalFormatting sqref="P157">
    <cfRule type="expression" dxfId="103" priority="983" stopIfTrue="1">
      <formula>$L160=1</formula>
    </cfRule>
  </conditionalFormatting>
  <conditionalFormatting sqref="P158">
    <cfRule type="expression" dxfId="102" priority="707" stopIfTrue="1">
      <formula>$L162=1</formula>
    </cfRule>
    <cfRule type="expression" dxfId="101" priority="982" stopIfTrue="1">
      <formula>$L163=1</formula>
    </cfRule>
  </conditionalFormatting>
  <conditionalFormatting sqref="P159">
    <cfRule type="expression" dxfId="100" priority="709" stopIfTrue="1">
      <formula>$L163=1</formula>
    </cfRule>
    <cfRule type="expression" dxfId="99" priority="710" stopIfTrue="1">
      <formula>#REF!=1</formula>
    </cfRule>
  </conditionalFormatting>
  <pageMargins left="0.7" right="0.7" top="0.75" bottom="0.75" header="0.3" footer="0.3"/>
  <pageSetup orientation="portrait" r:id="rId1"/>
  <drawing r:id="rId2"/>
  <tableParts count="21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79CC8-5A38-7E46-90E9-7643DAE93F83}">
  <dimension ref="A4:N92"/>
  <sheetViews>
    <sheetView showGridLines="0" topLeftCell="A29" zoomScale="75" zoomScaleNormal="131" workbookViewId="0">
      <selection activeCell="E72" sqref="E72:E75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4" x14ac:dyDescent="0.15">
      <c r="A4" s="320" t="s">
        <v>87</v>
      </c>
      <c r="B4" s="320"/>
      <c r="C4" s="320"/>
      <c r="D4" s="320"/>
      <c r="E4" s="320"/>
      <c r="F4" s="320"/>
      <c r="G4" s="320"/>
      <c r="H4" s="320"/>
    </row>
    <row r="5" spans="1:14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4" ht="13" x14ac:dyDescent="0.15">
      <c r="A6" s="112" t="s">
        <v>10</v>
      </c>
      <c r="B6" s="250">
        <f>SUM(Tabla9361730552357639093546634477341[[#This Row],[Vida]],Tabla9361730552357639093546634477341[[#This Row],[Gmm]])</f>
        <v>4.5</v>
      </c>
      <c r="C6" s="113">
        <v>4</v>
      </c>
      <c r="D6" s="103">
        <v>41370.92</v>
      </c>
      <c r="E6" s="109">
        <f>_xlfn.XLOOKUP(Tabla9361730552357639093546634477341[[#This Row],[Asesor]],Tabla48518942[Columna1],Tabla48518942[Columna12],0)</f>
        <v>0.5</v>
      </c>
      <c r="F6" s="274">
        <f>_xlfn.XLOOKUP(Tabla9361730552357639093546634477341[[#This Row],[Asesor]],Tabla48518942[Columna1],Tabla48518942[Columna3],0)</f>
        <v>2339.79</v>
      </c>
      <c r="G6" s="254">
        <f>SUM(Tabla9361730552357639093546634477341[[#This Row],[Prima Pagada vida]],Tabla9361730552357639093546634477341[[#This Row],[Prima Pagada gmm]])</f>
        <v>43710.71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4" ht="13" x14ac:dyDescent="0.15">
      <c r="A7" s="112" t="s">
        <v>11</v>
      </c>
      <c r="B7" s="250">
        <f>SUM(Tabla9361730552357639093546634477341[[#This Row],[Vida]],Tabla9361730552357639093546634477341[[#This Row],[Gmm]])</f>
        <v>2</v>
      </c>
      <c r="C7" s="113">
        <v>2</v>
      </c>
      <c r="D7" s="103">
        <v>24572.42</v>
      </c>
      <c r="E7" s="109">
        <f>_xlfn.XLOOKUP(Tabla9361730552357639093546634477341[[#This Row],[Asesor]],Tabla48518942[Columna1],Tabla48518942[Columna12],0)</f>
        <v>0</v>
      </c>
      <c r="F7" s="274">
        <f>_xlfn.XLOOKUP(Tabla9361730552357639093546634477341[[#This Row],[Asesor]],Tabla48518942[Columna1],Tabla48518942[Columna3],0)</f>
        <v>0</v>
      </c>
      <c r="G7" s="254">
        <f>SUM(Tabla9361730552357639093546634477341[[#This Row],[Prima Pagada vida]],Tabla9361730552357639093546634477341[[#This Row],[Prima Pagada gmm]])</f>
        <v>24572.42</v>
      </c>
      <c r="H7" s="112"/>
      <c r="I7" s="112" t="s">
        <v>96</v>
      </c>
      <c r="J7" s="112">
        <f>Tabla48518942[[#This Row],[Columna2]]/2</f>
        <v>1.5</v>
      </c>
      <c r="K7" s="113">
        <v>3</v>
      </c>
      <c r="L7" s="103">
        <v>70335.92</v>
      </c>
      <c r="N7" s="106" t="s">
        <v>132</v>
      </c>
    </row>
    <row r="8" spans="1:14" ht="13" x14ac:dyDescent="0.15">
      <c r="A8" s="112" t="s">
        <v>85</v>
      </c>
      <c r="B8" s="250">
        <f>SUM(Tabla9361730552357639093546634477341[[#This Row],[Vida]],Tabla9361730552357639093546634477341[[#This Row],[Gmm]])</f>
        <v>1.5</v>
      </c>
      <c r="C8" s="113">
        <v>1</v>
      </c>
      <c r="D8" s="103">
        <v>5250.63</v>
      </c>
      <c r="E8" s="109">
        <f>_xlfn.XLOOKUP(Tabla9361730552357639093546634477341[[#This Row],[Asesor]],Tabla48518942[Columna1],Tabla48518942[Columna12],0)</f>
        <v>0.5</v>
      </c>
      <c r="F8" s="274">
        <f>_xlfn.XLOOKUP(Tabla9361730552357639093546634477341[[#This Row],[Asesor]],Tabla48518942[Columna1],Tabla48518942[Columna3],0)</f>
        <v>2724.89</v>
      </c>
      <c r="G8" s="254">
        <f>SUM(Tabla9361730552357639093546634477341[[#This Row],[Prima Pagada vida]],Tabla9361730552357639093546634477341[[#This Row],[Prima Pagada gmm]])</f>
        <v>7975.52</v>
      </c>
      <c r="H8" s="112"/>
      <c r="I8" s="112" t="s">
        <v>14</v>
      </c>
      <c r="J8" s="112">
        <f>Tabla48518942[[#This Row],[Columna2]]/2</f>
        <v>0.5</v>
      </c>
      <c r="K8" s="113">
        <v>1</v>
      </c>
      <c r="L8" s="103">
        <v>56328.79</v>
      </c>
      <c r="N8" s="106" t="s">
        <v>134</v>
      </c>
    </row>
    <row r="9" spans="1:14" ht="13" x14ac:dyDescent="0.15">
      <c r="A9" s="112" t="s">
        <v>76</v>
      </c>
      <c r="B9" s="250">
        <f>SUM(Tabla9361730552357639093546634477341[[#This Row],[Vida]],Tabla9361730552357639093546634477341[[#This Row],[Gmm]])</f>
        <v>0</v>
      </c>
      <c r="C9" s="113">
        <v>0</v>
      </c>
      <c r="D9" s="103">
        <v>0</v>
      </c>
      <c r="E9" s="109">
        <f>_xlfn.XLOOKUP(Tabla9361730552357639093546634477341[[#This Row],[Asesor]],Tabla48518942[Columna1],Tabla48518942[Columna12],0)</f>
        <v>0</v>
      </c>
      <c r="F9" s="274">
        <f>_xlfn.XLOOKUP(Tabla9361730552357639093546634477341[[#This Row],[Asesor]],Tabla48518942[Columna1],Tabla48518942[Columna3],0)</f>
        <v>0</v>
      </c>
      <c r="G9" s="254">
        <f>SUM(Tabla9361730552357639093546634477341[[#This Row],[Prima Pagada vida]],Tabla9361730552357639093546634477341[[#This Row],[Prima Pagada gmm]])</f>
        <v>0</v>
      </c>
      <c r="H9" s="112"/>
      <c r="I9" s="112" t="s">
        <v>13</v>
      </c>
      <c r="J9" s="112">
        <f>Tabla48518942[[#This Row],[Columna2]]/2</f>
        <v>0.5</v>
      </c>
      <c r="K9" s="113">
        <v>1</v>
      </c>
      <c r="L9" s="103">
        <v>14673.25</v>
      </c>
      <c r="N9" s="106" t="s">
        <v>136</v>
      </c>
    </row>
    <row r="10" spans="1:14" ht="13" x14ac:dyDescent="0.15">
      <c r="A10" s="112" t="s">
        <v>13</v>
      </c>
      <c r="B10" s="250">
        <f>SUM(Tabla9361730552357639093546634477341[[#This Row],[Vida]],Tabla9361730552357639093546634477341[[#This Row],[Gmm]])</f>
        <v>2.5</v>
      </c>
      <c r="C10" s="113">
        <v>2</v>
      </c>
      <c r="D10" s="103">
        <v>32273.98</v>
      </c>
      <c r="E10" s="109">
        <f>_xlfn.XLOOKUP(Tabla9361730552357639093546634477341[[#This Row],[Asesor]],Tabla48518942[Columna1],Tabla48518942[Columna12],0)</f>
        <v>0.5</v>
      </c>
      <c r="F10" s="274">
        <f>_xlfn.XLOOKUP(Tabla9361730552357639093546634477341[[#This Row],[Asesor]],Tabla48518942[Columna1],Tabla48518942[Columna3],0)</f>
        <v>14673.25</v>
      </c>
      <c r="G10" s="254">
        <f>SUM(Tabla9361730552357639093546634477341[[#This Row],[Prima Pagada vida]],Tabla9361730552357639093546634477341[[#This Row],[Prima Pagada gmm]])</f>
        <v>46947.229999999996</v>
      </c>
      <c r="H10" s="112"/>
      <c r="I10" s="112" t="s">
        <v>46</v>
      </c>
      <c r="J10" s="112">
        <f>Tabla48518942[[#This Row],[Columna2]]/2</f>
        <v>0.5</v>
      </c>
      <c r="K10" s="113">
        <v>1</v>
      </c>
      <c r="L10" s="103">
        <v>19825.63</v>
      </c>
      <c r="N10" s="106" t="s">
        <v>137</v>
      </c>
    </row>
    <row r="11" spans="1:14" ht="13" x14ac:dyDescent="0.15">
      <c r="A11" s="112" t="s">
        <v>12</v>
      </c>
      <c r="B11" s="250">
        <f>SUM(Tabla9361730552357639093546634477341[[#This Row],[Vida]],Tabla9361730552357639093546634477341[[#This Row],[Gmm]])</f>
        <v>1</v>
      </c>
      <c r="C11" s="113">
        <v>1</v>
      </c>
      <c r="D11" s="103">
        <v>1603.01</v>
      </c>
      <c r="E11" s="109">
        <f>_xlfn.XLOOKUP(Tabla9361730552357639093546634477341[[#This Row],[Asesor]],Tabla48518942[Columna1],Tabla48518942[Columna12],0)</f>
        <v>0</v>
      </c>
      <c r="F11" s="274">
        <f>_xlfn.XLOOKUP(Tabla9361730552357639093546634477341[[#This Row],[Asesor]],Tabla48518942[Columna1],Tabla48518942[Columna3],0)</f>
        <v>0</v>
      </c>
      <c r="G11" s="254">
        <f>SUM(Tabla9361730552357639093546634477341[[#This Row],[Prima Pagada vida]],Tabla9361730552357639093546634477341[[#This Row],[Prima Pagada gmm]])</f>
        <v>1603.01</v>
      </c>
      <c r="H11" s="112"/>
      <c r="I11" s="112" t="s">
        <v>12</v>
      </c>
      <c r="J11" s="112">
        <f>Tabla48518942[[#This Row],[Columna2]]/2</f>
        <v>0</v>
      </c>
      <c r="K11" s="113">
        <v>0</v>
      </c>
      <c r="L11" s="103">
        <v>0</v>
      </c>
      <c r="N11" s="106" t="s">
        <v>138</v>
      </c>
    </row>
    <row r="12" spans="1:14" ht="13" x14ac:dyDescent="0.15">
      <c r="A12" s="112" t="s">
        <v>186</v>
      </c>
      <c r="B12" s="250">
        <f>SUM(Tabla9361730552357639093546634477341[[#This Row],[Vida]],Tabla9361730552357639093546634477341[[#This Row],[Gmm]])</f>
        <v>1</v>
      </c>
      <c r="C12" s="113">
        <v>1</v>
      </c>
      <c r="D12" s="103">
        <v>1645.53</v>
      </c>
      <c r="E12" s="109">
        <f>_xlfn.XLOOKUP(Tabla9361730552357639093546634477341[[#This Row],[Asesor]],Tabla48518942[Columna1],Tabla48518942[Columna12],0)</f>
        <v>0</v>
      </c>
      <c r="F12" s="274">
        <f>_xlfn.XLOOKUP(Tabla9361730552357639093546634477341[[#This Row],[Asesor]],Tabla48518942[Columna1],Tabla48518942[Columna3],0)</f>
        <v>0</v>
      </c>
      <c r="G12" s="254">
        <f>SUM(Tabla9361730552357639093546634477341[[#This Row],[Prima Pagada vida]],Tabla9361730552357639093546634477341[[#This Row],[Prima Pagada gmm]])</f>
        <v>1645.53</v>
      </c>
      <c r="H12" s="112"/>
      <c r="I12" s="112" t="s">
        <v>49</v>
      </c>
      <c r="J12" s="112">
        <f>Tabla48518942[[#This Row],[Columna2]]/2</f>
        <v>0.5</v>
      </c>
      <c r="K12" s="113">
        <v>1</v>
      </c>
      <c r="L12" s="103">
        <v>6304.46</v>
      </c>
      <c r="N12" s="106" t="s">
        <v>140</v>
      </c>
    </row>
    <row r="13" spans="1:14" ht="13" x14ac:dyDescent="0.15">
      <c r="A13" s="112" t="s">
        <v>224</v>
      </c>
      <c r="B13" s="250">
        <f>SUM(Tabla9361730552357639093546634477341[[#This Row],[Vida]],Tabla9361730552357639093546634477341[[#This Row],[Gmm]])</f>
        <v>3</v>
      </c>
      <c r="C13" s="113">
        <v>3</v>
      </c>
      <c r="D13" s="103">
        <v>4872.9399999999996</v>
      </c>
      <c r="E13" s="109">
        <f>_xlfn.XLOOKUP(Tabla9361730552357639093546634477341[[#This Row],[Asesor]],Tabla48518942[Columna1],Tabla48518942[Columna12],0)</f>
        <v>0</v>
      </c>
      <c r="F13" s="274">
        <f>_xlfn.XLOOKUP(Tabla9361730552357639093546634477341[[#This Row],[Asesor]],Tabla48518942[Columna1],Tabla48518942[Columna3],0)</f>
        <v>0</v>
      </c>
      <c r="G13" s="254">
        <f>SUM(Tabla9361730552357639093546634477341[[#This Row],[Prima Pagada vida]],Tabla9361730552357639093546634477341[[#This Row],[Prima Pagada gmm]])</f>
        <v>4872.9399999999996</v>
      </c>
      <c r="H13" s="112"/>
      <c r="I13" s="112" t="s">
        <v>32</v>
      </c>
      <c r="J13" s="112">
        <f>Tabla48518942[[#This Row],[Columna2]]/2</f>
        <v>0</v>
      </c>
      <c r="K13" s="113">
        <v>0</v>
      </c>
      <c r="L13" s="103">
        <v>0</v>
      </c>
      <c r="N13" s="106" t="s">
        <v>141</v>
      </c>
    </row>
    <row r="14" spans="1:14" ht="13" x14ac:dyDescent="0.15">
      <c r="A14" s="112" t="s">
        <v>35</v>
      </c>
      <c r="B14" s="250">
        <f>SUM(Tabla9361730552357639093546634477341[[#This Row],[Vida]],Tabla9361730552357639093546634477341[[#This Row],[Gmm]])</f>
        <v>2</v>
      </c>
      <c r="C14" s="113">
        <v>2</v>
      </c>
      <c r="D14" s="103">
        <v>36647.08</v>
      </c>
      <c r="E14" s="109">
        <f>_xlfn.XLOOKUP(Tabla9361730552357639093546634477341[[#This Row],[Asesor]],Tabla48518942[Columna1],Tabla48518942[Columna12],0)</f>
        <v>0</v>
      </c>
      <c r="F14" s="274">
        <f>_xlfn.XLOOKUP(Tabla9361730552357639093546634477341[[#This Row],[Asesor]],Tabla48518942[Columna1],Tabla48518942[Columna3],0)</f>
        <v>0</v>
      </c>
      <c r="G14" s="254">
        <f>SUM(Tabla9361730552357639093546634477341[[#This Row],[Prima Pagada vida]],Tabla9361730552357639093546634477341[[#This Row],[Prima Pagada gmm]])</f>
        <v>36647.08</v>
      </c>
      <c r="H14" s="112"/>
      <c r="I14" s="112" t="s">
        <v>76</v>
      </c>
      <c r="J14" s="112">
        <f>Tabla48518942[[#This Row],[Columna2]]/2</f>
        <v>0</v>
      </c>
      <c r="K14" s="113">
        <v>0</v>
      </c>
      <c r="L14" s="103">
        <v>0</v>
      </c>
      <c r="N14" s="265" t="s">
        <v>143</v>
      </c>
    </row>
    <row r="15" spans="1:14" ht="13" x14ac:dyDescent="0.15">
      <c r="A15" s="112" t="s">
        <v>110</v>
      </c>
      <c r="B15" s="250">
        <f>SUM(Tabla9361730552357639093546634477341[[#This Row],[Vida]],Tabla9361730552357639093546634477341[[#This Row],[Gmm]])</f>
        <v>1</v>
      </c>
      <c r="C15" s="113">
        <v>1</v>
      </c>
      <c r="D15" s="103">
        <v>30547.31</v>
      </c>
      <c r="E15" s="109">
        <f>_xlfn.XLOOKUP(Tabla9361730552357639093546634477341[[#This Row],[Asesor]],Tabla48518942[Columna1],Tabla48518942[Columna12],0)</f>
        <v>0</v>
      </c>
      <c r="F15" s="274">
        <f>_xlfn.XLOOKUP(Tabla9361730552357639093546634477341[[#This Row],[Asesor]],Tabla48518942[Columna1],Tabla48518942[Columna3],0)</f>
        <v>0</v>
      </c>
      <c r="G15" s="254">
        <f>SUM(Tabla9361730552357639093546634477341[[#This Row],[Prima Pagada vida]],Tabla9361730552357639093546634477341[[#This Row],[Prima Pagada gmm]])</f>
        <v>30547.31</v>
      </c>
      <c r="H15" s="112"/>
      <c r="I15" s="112" t="s">
        <v>22</v>
      </c>
      <c r="J15" s="112">
        <f>Tabla48518942[[#This Row],[Columna2]]/2</f>
        <v>0</v>
      </c>
      <c r="K15" s="113">
        <v>0</v>
      </c>
      <c r="L15" s="103">
        <v>0</v>
      </c>
    </row>
    <row r="16" spans="1:14" x14ac:dyDescent="0.15">
      <c r="A16" s="112" t="s">
        <v>96</v>
      </c>
      <c r="B16" s="250">
        <f>SUM(Tabla9361730552357639093546634477341[[#This Row],[Vida]],Tabla9361730552357639093546634477341[[#This Row],[Gmm]])</f>
        <v>4.5</v>
      </c>
      <c r="C16" s="113">
        <v>3</v>
      </c>
      <c r="D16" s="103">
        <v>7065.59</v>
      </c>
      <c r="E16" s="109">
        <f>_xlfn.XLOOKUP(Tabla9361730552357639093546634477341[[#This Row],[Asesor]],Tabla48518942[Columna1],Tabla48518942[Columna12],0)</f>
        <v>1.5</v>
      </c>
      <c r="F16" s="274">
        <f>_xlfn.XLOOKUP(Tabla9361730552357639093546634477341[[#This Row],[Asesor]],Tabla48518942[Columna1],Tabla48518942[Columna3],0)</f>
        <v>70335.92</v>
      </c>
      <c r="G16" s="279">
        <f>SUM(Tabla9361730552357639093546634477341[[#This Row],[Prima Pagada vida]],Tabla9361730552357639093546634477341[[#This Row],[Prima Pagada gmm]])</f>
        <v>77401.509999999995</v>
      </c>
      <c r="H16" s="112"/>
      <c r="I16" s="112" t="s">
        <v>26</v>
      </c>
      <c r="J16" s="112">
        <f>Tabla48518942[[#This Row],[Columna2]]/2</f>
        <v>0</v>
      </c>
      <c r="K16" s="113">
        <v>0</v>
      </c>
      <c r="L16" s="103">
        <v>0</v>
      </c>
    </row>
    <row r="17" spans="1:12" ht="13" x14ac:dyDescent="0.15">
      <c r="A17" s="112" t="s">
        <v>27</v>
      </c>
      <c r="B17" s="250">
        <f>SUM(Tabla9361730552357639093546634477341[[#This Row],[Vida]],Tabla9361730552357639093546634477341[[#This Row],[Gmm]])</f>
        <v>1</v>
      </c>
      <c r="C17" s="113">
        <v>1</v>
      </c>
      <c r="D17" s="103">
        <v>1633.77</v>
      </c>
      <c r="E17" s="109">
        <f>_xlfn.XLOOKUP(Tabla9361730552357639093546634477341[[#This Row],[Asesor]],Tabla48518942[Columna1],Tabla48518942[Columna12],0)</f>
        <v>0</v>
      </c>
      <c r="F17" s="274">
        <f>_xlfn.XLOOKUP(Tabla9361730552357639093546634477341[[#This Row],[Asesor]],Tabla48518942[Columna1],Tabla48518942[Columna3],0)</f>
        <v>0</v>
      </c>
      <c r="G17" s="254">
        <f>SUM(Tabla9361730552357639093546634477341[[#This Row],[Prima Pagada vida]],Tabla9361730552357639093546634477341[[#This Row],[Prima Pagada gmm]])</f>
        <v>1633.77</v>
      </c>
      <c r="H17" s="112"/>
      <c r="I17" s="112" t="s">
        <v>116</v>
      </c>
      <c r="J17" s="112">
        <f>Tabla48518942[[#This Row],[Columna2]]/2</f>
        <v>0</v>
      </c>
      <c r="K17" s="113">
        <v>0</v>
      </c>
      <c r="L17" s="103">
        <v>0</v>
      </c>
    </row>
    <row r="18" spans="1:12" ht="13" x14ac:dyDescent="0.15">
      <c r="A18" s="112" t="s">
        <v>130</v>
      </c>
      <c r="B18" s="250">
        <f>SUM(Tabla9361730552357639093546634477341[[#This Row],[Vida]],Tabla9361730552357639093546634477341[[#This Row],[Gmm]])</f>
        <v>2</v>
      </c>
      <c r="C18" s="113">
        <v>2</v>
      </c>
      <c r="D18" s="103">
        <v>29345.32</v>
      </c>
      <c r="E18" s="109">
        <f>_xlfn.XLOOKUP(Tabla9361730552357639093546634477341[[#This Row],[Asesor]],Tabla48518942[Columna1],Tabla48518942[Columna12],0)</f>
        <v>0</v>
      </c>
      <c r="F18" s="274">
        <f>_xlfn.XLOOKUP(Tabla9361730552357639093546634477341[[#This Row],[Asesor]],Tabla48518942[Columna1],Tabla48518942[Columna3],0)</f>
        <v>0</v>
      </c>
      <c r="G18" s="254">
        <f>SUM(Tabla9361730552357639093546634477341[[#This Row],[Prima Pagada vida]],Tabla9361730552357639093546634477341[[#This Row],[Prima Pagada gmm]])</f>
        <v>29345.32</v>
      </c>
      <c r="H18" s="112"/>
      <c r="I18" s="112" t="s">
        <v>110</v>
      </c>
      <c r="J18" s="112">
        <f>Tabla48518942[[#This Row],[Columna2]]/2</f>
        <v>0</v>
      </c>
      <c r="K18" s="113">
        <v>0</v>
      </c>
      <c r="L18" s="103">
        <v>0</v>
      </c>
    </row>
    <row r="19" spans="1:12" ht="13" x14ac:dyDescent="0.15">
      <c r="A19" s="112" t="s">
        <v>32</v>
      </c>
      <c r="B19" s="250">
        <f>SUM(Tabla9361730552357639093546634477341[[#This Row],[Vida]],Tabla9361730552357639093546634477341[[#This Row],[Gmm]])</f>
        <v>1</v>
      </c>
      <c r="C19" s="113">
        <v>1</v>
      </c>
      <c r="D19" s="103">
        <v>-9562.1200000000008</v>
      </c>
      <c r="E19" s="109">
        <f>_xlfn.XLOOKUP(Tabla9361730552357639093546634477341[[#This Row],[Asesor]],Tabla48518942[Columna1],Tabla48518942[Columna12],0)</f>
        <v>0</v>
      </c>
      <c r="F19" s="274">
        <f>_xlfn.XLOOKUP(Tabla9361730552357639093546634477341[[#This Row],[Asesor]],Tabla48518942[Columna1],Tabla48518942[Columna3],0)</f>
        <v>0</v>
      </c>
      <c r="G19" s="254">
        <f>SUM(Tabla9361730552357639093546634477341[[#This Row],[Prima Pagada vida]],Tabla9361730552357639093546634477341[[#This Row],[Prima Pagada gmm]])</f>
        <v>-9562.1200000000008</v>
      </c>
      <c r="H19" s="112"/>
      <c r="I19" s="112" t="s">
        <v>47</v>
      </c>
      <c r="J19" s="112">
        <f>Tabla48518942[[#This Row],[Columna2]]/2</f>
        <v>0</v>
      </c>
      <c r="K19" s="113">
        <v>0</v>
      </c>
      <c r="L19" s="103">
        <v>0</v>
      </c>
    </row>
    <row r="20" spans="1:12" ht="13" x14ac:dyDescent="0.15">
      <c r="A20" s="112" t="s">
        <v>30</v>
      </c>
      <c r="B20" s="250">
        <f>SUM(Tabla9361730552357639093546634477341[[#This Row],[Vida]],Tabla9361730552357639093546634477341[[#This Row],[Gmm]])</f>
        <v>1</v>
      </c>
      <c r="C20" s="113">
        <v>1</v>
      </c>
      <c r="D20" s="103">
        <v>22710.080000000002</v>
      </c>
      <c r="E20" s="109">
        <f>_xlfn.XLOOKUP(Tabla9361730552357639093546634477341[[#This Row],[Asesor]],Tabla48518942[Columna1],Tabla48518942[Columna12],0)</f>
        <v>0</v>
      </c>
      <c r="F20" s="274">
        <f>_xlfn.XLOOKUP(Tabla9361730552357639093546634477341[[#This Row],[Asesor]],Tabla48518942[Columna1],Tabla48518942[Columna3],0)</f>
        <v>0</v>
      </c>
      <c r="G20" s="254">
        <f>SUM(Tabla9361730552357639093546634477341[[#This Row],[Prima Pagada vida]],Tabla9361730552357639093546634477341[[#This Row],[Prima Pagada gmm]])</f>
        <v>22710.080000000002</v>
      </c>
      <c r="H20" s="112"/>
      <c r="I20" s="112" t="s">
        <v>85</v>
      </c>
      <c r="J20" s="112">
        <f>Tabla48518942[[#This Row],[Columna2]]/2</f>
        <v>0.5</v>
      </c>
      <c r="K20" s="113">
        <v>1</v>
      </c>
      <c r="L20" s="103">
        <v>2724.89</v>
      </c>
    </row>
    <row r="21" spans="1:12" ht="13" x14ac:dyDescent="0.15">
      <c r="A21" s="112" t="s">
        <v>97</v>
      </c>
      <c r="B21" s="250">
        <f>SUM(Tabla9361730552357639093546634477341[[#This Row],[Vida]],Tabla9361730552357639093546634477341[[#This Row],[Gmm]])</f>
        <v>1</v>
      </c>
      <c r="C21" s="113">
        <v>1</v>
      </c>
      <c r="D21" s="103">
        <v>2456.67</v>
      </c>
      <c r="E21" s="109">
        <f>_xlfn.XLOOKUP(Tabla9361730552357639093546634477341[[#This Row],[Asesor]],Tabla48518942[Columna1],Tabla48518942[Columna12],0)</f>
        <v>0</v>
      </c>
      <c r="F21" s="274">
        <f>_xlfn.XLOOKUP(Tabla9361730552357639093546634477341[[#This Row],[Asesor]],Tabla48518942[Columna1],Tabla48518942[Columna3],0)</f>
        <v>0</v>
      </c>
      <c r="G21" s="254">
        <f>SUM(Tabla9361730552357639093546634477341[[#This Row],[Prima Pagada vida]],Tabla9361730552357639093546634477341[[#This Row],[Prima Pagada gmm]])</f>
        <v>2456.67</v>
      </c>
      <c r="H21" s="112"/>
      <c r="I21" s="112" t="s">
        <v>10</v>
      </c>
      <c r="J21" s="112">
        <f>Tabla48518942[[#This Row],[Columna2]]/2</f>
        <v>0.5</v>
      </c>
      <c r="K21" s="113">
        <v>1</v>
      </c>
      <c r="L21" s="103">
        <v>2339.79</v>
      </c>
    </row>
    <row r="22" spans="1:12" ht="13" x14ac:dyDescent="0.15">
      <c r="A22" s="112" t="s">
        <v>47</v>
      </c>
      <c r="B22" s="250">
        <f>SUM(Tabla9361730552357639093546634477341[[#This Row],[Vida]],Tabla9361730552357639093546634477341[[#This Row],[Gmm]])</f>
        <v>2</v>
      </c>
      <c r="C22" s="113">
        <v>2</v>
      </c>
      <c r="D22" s="103">
        <v>2990.53</v>
      </c>
      <c r="E22" s="109">
        <f>_xlfn.XLOOKUP(Tabla9361730552357639093546634477341[[#This Row],[Asesor]],Tabla48518942[Columna1],Tabla48518942[Columna12],0)</f>
        <v>0</v>
      </c>
      <c r="F22" s="274">
        <f>_xlfn.XLOOKUP(Tabla9361730552357639093546634477341[[#This Row],[Asesor]],Tabla48518942[Columna1],Tabla48518942[Columna3],0)</f>
        <v>0</v>
      </c>
      <c r="G22" s="254">
        <f>SUM(Tabla9361730552357639093546634477341[[#This Row],[Prima Pagada vida]],Tabla9361730552357639093546634477341[[#This Row],[Prima Pagada gmm]])</f>
        <v>2990.53</v>
      </c>
      <c r="H22" s="112"/>
      <c r="I22" s="112" t="s">
        <v>78</v>
      </c>
      <c r="J22" s="112">
        <f>Tabla48518942[[#This Row],[Columna2]]/2</f>
        <v>0</v>
      </c>
      <c r="K22" s="113">
        <v>0</v>
      </c>
      <c r="L22" s="103">
        <v>0</v>
      </c>
    </row>
    <row r="23" spans="1:12" x14ac:dyDescent="0.15">
      <c r="A23" s="112" t="s">
        <v>14</v>
      </c>
      <c r="B23" s="250">
        <f>SUM(Tabla9361730552357639093546634477341[[#This Row],[Vida]],Tabla9361730552357639093546634477341[[#This Row],[Gmm]])</f>
        <v>1.5</v>
      </c>
      <c r="C23" s="113">
        <v>1</v>
      </c>
      <c r="D23" s="103">
        <v>1562.88</v>
      </c>
      <c r="E23" s="109">
        <f>_xlfn.XLOOKUP(Tabla9361730552357639093546634477341[[#This Row],[Asesor]],Tabla48518942[Columna1],Tabla48518942[Columna12],0)</f>
        <v>0.5</v>
      </c>
      <c r="F23" s="274">
        <f>_xlfn.XLOOKUP(Tabla9361730552357639093546634477341[[#This Row],[Asesor]],Tabla48518942[Columna1],Tabla48518942[Columna3],0)</f>
        <v>56328.79</v>
      </c>
      <c r="G23" s="279">
        <f>SUM(Tabla9361730552357639093546634477341[[#This Row],[Prima Pagada vida]],Tabla9361730552357639093546634477341[[#This Row],[Prima Pagada gmm]])</f>
        <v>57891.67</v>
      </c>
      <c r="H23" s="112"/>
      <c r="I23" s="112" t="s">
        <v>20</v>
      </c>
      <c r="J23" s="112">
        <f>Tabla48518942[[#This Row],[Columna2]]/2</f>
        <v>0</v>
      </c>
      <c r="K23" s="113">
        <v>0</v>
      </c>
      <c r="L23" s="103">
        <v>0</v>
      </c>
    </row>
    <row r="24" spans="1:12" ht="13" x14ac:dyDescent="0.15">
      <c r="A24" s="112" t="s">
        <v>170</v>
      </c>
      <c r="B24" s="250">
        <f>SUM(Tabla9361730552357639093546634477341[[#This Row],[Vida]],Tabla9361730552357639093546634477341[[#This Row],[Gmm]])</f>
        <v>2</v>
      </c>
      <c r="C24" s="113">
        <v>2</v>
      </c>
      <c r="D24" s="103">
        <v>20920.490000000002</v>
      </c>
      <c r="E24" s="109">
        <f>_xlfn.XLOOKUP(Tabla9361730552357639093546634477341[[#This Row],[Asesor]],Tabla48518942[Columna1],Tabla48518942[Columna12],0)</f>
        <v>0</v>
      </c>
      <c r="F24" s="274">
        <f>_xlfn.XLOOKUP(Tabla9361730552357639093546634477341[[#This Row],[Asesor]],Tabla48518942[Columna1],Tabla48518942[Columna3],0)</f>
        <v>0</v>
      </c>
      <c r="G24" s="254">
        <f>SUM(Tabla9361730552357639093546634477341[[#This Row],[Prima Pagada vida]],Tabla9361730552357639093546634477341[[#This Row],[Prima Pagada gmm]])</f>
        <v>20920.490000000002</v>
      </c>
      <c r="H24" s="112"/>
      <c r="I24" s="112" t="s">
        <v>43</v>
      </c>
      <c r="J24" s="112">
        <f>Tabla48518942[[#This Row],[Columna2]]/2</f>
        <v>0</v>
      </c>
      <c r="K24" s="113">
        <v>0</v>
      </c>
      <c r="L24" s="103">
        <v>0</v>
      </c>
    </row>
    <row r="25" spans="1:12" ht="13" x14ac:dyDescent="0.15">
      <c r="A25" s="112" t="s">
        <v>20</v>
      </c>
      <c r="B25" s="250">
        <f>SUM(Tabla9361730552357639093546634477341[[#This Row],[Vida]],Tabla9361730552357639093546634477341[[#This Row],[Gmm]])</f>
        <v>0</v>
      </c>
      <c r="C25" s="113">
        <v>0</v>
      </c>
      <c r="D25" s="103">
        <v>0</v>
      </c>
      <c r="E25" s="109">
        <f>_xlfn.XLOOKUP(Tabla9361730552357639093546634477341[[#This Row],[Asesor]],Tabla48518942[Columna1],Tabla48518942[Columna12],0)</f>
        <v>0</v>
      </c>
      <c r="F25" s="274">
        <f>_xlfn.XLOOKUP(Tabla9361730552357639093546634477341[[#This Row],[Asesor]],Tabla48518942[Columna1],Tabla48518942[Columna3],0)</f>
        <v>0</v>
      </c>
      <c r="G25" s="254">
        <f>SUM(Tabla9361730552357639093546634477341[[#This Row],[Prima Pagada vida]],Tabla9361730552357639093546634477341[[#This Row],[Prima Pagada gmm]])</f>
        <v>0</v>
      </c>
      <c r="H25" s="112"/>
      <c r="I25" s="112" t="s">
        <v>29</v>
      </c>
      <c r="J25" s="112">
        <f>Tabla48518942[[#This Row],[Columna2]]/2</f>
        <v>0</v>
      </c>
      <c r="K25" s="113">
        <v>0</v>
      </c>
      <c r="L25" s="103">
        <v>0</v>
      </c>
    </row>
    <row r="26" spans="1:12" ht="13" x14ac:dyDescent="0.15">
      <c r="A26" s="112" t="s">
        <v>225</v>
      </c>
      <c r="B26" s="250">
        <f>SUM(Tabla9361730552357639093546634477341[[#This Row],[Vida]],Tabla9361730552357639093546634477341[[#This Row],[Gmm]])</f>
        <v>1</v>
      </c>
      <c r="C26" s="113">
        <v>1</v>
      </c>
      <c r="D26" s="103">
        <v>19025.79</v>
      </c>
      <c r="E26" s="109">
        <f>_xlfn.XLOOKUP(Tabla9361730552357639093546634477341[[#This Row],[Asesor]],Tabla48518942[Columna1],Tabla48518942[Columna12],0)</f>
        <v>0</v>
      </c>
      <c r="F26" s="274">
        <f>_xlfn.XLOOKUP(Tabla9361730552357639093546634477341[[#This Row],[Asesor]],Tabla48518942[Columna1],Tabla48518942[Columna3],0)</f>
        <v>0</v>
      </c>
      <c r="G26" s="254">
        <f>SUM(Tabla9361730552357639093546634477341[[#This Row],[Prima Pagada vida]],Tabla9361730552357639093546634477341[[#This Row],[Prima Pagada gmm]])</f>
        <v>19025.79</v>
      </c>
      <c r="H26" s="112"/>
      <c r="I26" s="112" t="s">
        <v>37</v>
      </c>
      <c r="J26" s="112">
        <f>Tabla48518942[[#This Row],[Columna2]]/2</f>
        <v>0</v>
      </c>
      <c r="K26" s="113">
        <v>0</v>
      </c>
      <c r="L26" s="103">
        <v>0</v>
      </c>
    </row>
    <row r="27" spans="1:12" ht="13" x14ac:dyDescent="0.15">
      <c r="A27" s="112" t="s">
        <v>48</v>
      </c>
      <c r="B27" s="250">
        <f>SUM(Tabla9361730552357639093546634477341[[#This Row],[Vida]],Tabla9361730552357639093546634477341[[#This Row],[Gmm]])</f>
        <v>0</v>
      </c>
      <c r="C27" s="113">
        <v>0</v>
      </c>
      <c r="D27" s="103">
        <v>0</v>
      </c>
      <c r="E27" s="109">
        <f>_xlfn.XLOOKUP(Tabla9361730552357639093546634477341[[#This Row],[Asesor]],Tabla48518942[Columna1],Tabla48518942[Columna12],0)</f>
        <v>0</v>
      </c>
      <c r="F27" s="274">
        <f>_xlfn.XLOOKUP(Tabla9361730552357639093546634477341[[#This Row],[Asesor]],Tabla48518942[Columna1],Tabla48518942[Columna3],0)</f>
        <v>0</v>
      </c>
      <c r="G27" s="254">
        <f>SUM(Tabla9361730552357639093546634477341[[#This Row],[Prima Pagada vida]],Tabla9361730552357639093546634477341[[#This Row],[Prima Pagada gmm]])</f>
        <v>0</v>
      </c>
      <c r="I27" s="112" t="s">
        <v>35</v>
      </c>
      <c r="J27" s="112">
        <f>Tabla48518942[[#This Row],[Columna2]]/2</f>
        <v>0</v>
      </c>
      <c r="K27" s="113">
        <v>0</v>
      </c>
      <c r="L27" s="103">
        <v>0</v>
      </c>
    </row>
    <row r="28" spans="1:12" ht="13" x14ac:dyDescent="0.15">
      <c r="A28" s="112" t="s">
        <v>78</v>
      </c>
      <c r="B28" s="250">
        <f>SUM(Tabla9361730552357639093546634477341[[#This Row],[Vida]],Tabla9361730552357639093546634477341[[#This Row],[Gmm]])</f>
        <v>0</v>
      </c>
      <c r="C28" s="113">
        <v>0</v>
      </c>
      <c r="D28" s="103">
        <v>0</v>
      </c>
      <c r="E28" s="109">
        <f>_xlfn.XLOOKUP(Tabla9361730552357639093546634477341[[#This Row],[Asesor]],Tabla48518942[Columna1],Tabla48518942[Columna12],0)</f>
        <v>0</v>
      </c>
      <c r="F28" s="274">
        <f>_xlfn.XLOOKUP(Tabla9361730552357639093546634477341[[#This Row],[Asesor]],Tabla48518942[Columna1],Tabla48518942[Columna3],0)</f>
        <v>0</v>
      </c>
      <c r="G28" s="254">
        <f>SUM(Tabla9361730552357639093546634477341[[#This Row],[Prima Pagada vida]],Tabla9361730552357639093546634477341[[#This Row],[Prima Pagada gmm]])</f>
        <v>0</v>
      </c>
      <c r="I28" s="112" t="s">
        <v>18</v>
      </c>
      <c r="J28" s="112">
        <f>Tabla48518942[[#This Row],[Columna2]]/2</f>
        <v>0</v>
      </c>
      <c r="K28" s="113">
        <v>0</v>
      </c>
      <c r="L28" s="103">
        <v>0</v>
      </c>
    </row>
    <row r="29" spans="1:12" ht="13" x14ac:dyDescent="0.15">
      <c r="A29" s="112" t="s">
        <v>38</v>
      </c>
      <c r="B29" s="250">
        <f>SUM(Tabla9361730552357639093546634477341[[#This Row],[Vida]],Tabla9361730552357639093546634477341[[#This Row],[Gmm]])</f>
        <v>0</v>
      </c>
      <c r="C29" s="113">
        <v>0</v>
      </c>
      <c r="D29" s="103">
        <v>0</v>
      </c>
      <c r="E29" s="109">
        <f>_xlfn.XLOOKUP(Tabla9361730552357639093546634477341[[#This Row],[Asesor]],Tabla48518942[Columna1],Tabla48518942[Columna12],0)</f>
        <v>0</v>
      </c>
      <c r="F29" s="274">
        <f>_xlfn.XLOOKUP(Tabla9361730552357639093546634477341[[#This Row],[Asesor]],Tabla48518942[Columna1],Tabla48518942[Columna3],0)</f>
        <v>0</v>
      </c>
      <c r="G29" s="254">
        <f>SUM(Tabla9361730552357639093546634477341[[#This Row],[Prima Pagada vida]],Tabla9361730552357639093546634477341[[#This Row],[Prima Pagada gmm]])</f>
        <v>0</v>
      </c>
      <c r="I29" s="112" t="s">
        <v>27</v>
      </c>
      <c r="J29" s="112">
        <f>Tabla48518942[[#This Row],[Columna2]]/2</f>
        <v>0</v>
      </c>
      <c r="K29" s="113">
        <v>0</v>
      </c>
      <c r="L29" s="103">
        <v>0</v>
      </c>
    </row>
    <row r="30" spans="1:12" ht="13" x14ac:dyDescent="0.15">
      <c r="A30" s="112" t="s">
        <v>18</v>
      </c>
      <c r="B30" s="250">
        <f>SUM(Tabla9361730552357639093546634477341[[#This Row],[Vida]],Tabla9361730552357639093546634477341[[#This Row],[Gmm]])</f>
        <v>0</v>
      </c>
      <c r="C30" s="113">
        <v>0</v>
      </c>
      <c r="D30" s="103">
        <v>0</v>
      </c>
      <c r="E30" s="109">
        <f>_xlfn.XLOOKUP(Tabla9361730552357639093546634477341[[#This Row],[Asesor]],Tabla48518942[Columna1],Tabla48518942[Columna12],0)</f>
        <v>0</v>
      </c>
      <c r="F30" s="274">
        <f>_xlfn.XLOOKUP(Tabla9361730552357639093546634477341[[#This Row],[Asesor]],Tabla48518942[Columna1],Tabla48518942[Columna3],0)</f>
        <v>0</v>
      </c>
      <c r="G30" s="254">
        <f>SUM(Tabla9361730552357639093546634477341[[#This Row],[Prima Pagada vida]],Tabla9361730552357639093546634477341[[#This Row],[Prima Pagada gmm]])</f>
        <v>0</v>
      </c>
      <c r="I30" s="112"/>
      <c r="J30" s="112">
        <f>Tabla48518942[[#This Row],[Columna2]]/2</f>
        <v>0</v>
      </c>
      <c r="K30" s="113"/>
      <c r="L30" s="103"/>
    </row>
    <row r="31" spans="1:12" ht="13" x14ac:dyDescent="0.15">
      <c r="A31" s="112" t="s">
        <v>124</v>
      </c>
      <c r="B31" s="250">
        <f>SUM(Tabla9361730552357639093546634477341[[#This Row],[Vida]],Tabla9361730552357639093546634477341[[#This Row],[Gmm]])</f>
        <v>0</v>
      </c>
      <c r="C31" s="113">
        <v>0</v>
      </c>
      <c r="D31" s="103">
        <v>0</v>
      </c>
      <c r="E31" s="109">
        <f>_xlfn.XLOOKUP(Tabla9361730552357639093546634477341[[#This Row],[Asesor]],Tabla48518942[Columna1],Tabla48518942[Columna12],0)</f>
        <v>0</v>
      </c>
      <c r="F31" s="274">
        <f>_xlfn.XLOOKUP(Tabla9361730552357639093546634477341[[#This Row],[Asesor]],Tabla48518942[Columna1],Tabla48518942[Columna3],0)</f>
        <v>0</v>
      </c>
      <c r="G31" s="254">
        <f>SUM(Tabla9361730552357639093546634477341[[#This Row],[Prima Pagada vida]],Tabla9361730552357639093546634477341[[#This Row],[Prima Pagada gmm]])</f>
        <v>0</v>
      </c>
      <c r="I31" s="112"/>
      <c r="J31" s="112">
        <f>Tabla48518942[[#This Row],[Columna2]]/2</f>
        <v>0</v>
      </c>
      <c r="K31" s="113"/>
      <c r="L31" s="103"/>
    </row>
    <row r="32" spans="1:12" ht="13" x14ac:dyDescent="0.15">
      <c r="A32" s="112" t="s">
        <v>98</v>
      </c>
      <c r="B32" s="250">
        <f>SUM(Tabla9361730552357639093546634477341[[#This Row],[Vida]],Tabla9361730552357639093546634477341[[#This Row],[Gmm]])</f>
        <v>0</v>
      </c>
      <c r="C32" s="113">
        <v>0</v>
      </c>
      <c r="D32" s="103">
        <v>0</v>
      </c>
      <c r="E32" s="109">
        <f>_xlfn.XLOOKUP(Tabla9361730552357639093546634477341[[#This Row],[Asesor]],Tabla48518942[Columna1],Tabla48518942[Columna12],0)</f>
        <v>0</v>
      </c>
      <c r="F32" s="274">
        <f>_xlfn.XLOOKUP(Tabla9361730552357639093546634477341[[#This Row],[Asesor]],Tabla48518942[Columna1],Tabla48518942[Columna3],0)</f>
        <v>0</v>
      </c>
      <c r="G32" s="254">
        <f>SUM(Tabla9361730552357639093546634477341[[#This Row],[Prima Pagada vida]],Tabla9361730552357639093546634477341[[#This Row],[Prima Pagada gmm]])</f>
        <v>0</v>
      </c>
    </row>
    <row r="33" spans="1:13" ht="13" x14ac:dyDescent="0.15">
      <c r="A33" s="112" t="s">
        <v>17</v>
      </c>
      <c r="B33" s="250">
        <f>SUM(Tabla9361730552357639093546634477341[[#This Row],[Vida]],Tabla9361730552357639093546634477341[[#This Row],[Gmm]])</f>
        <v>0</v>
      </c>
      <c r="C33" s="113">
        <v>0</v>
      </c>
      <c r="D33" s="103">
        <v>0</v>
      </c>
      <c r="E33" s="109">
        <f>_xlfn.XLOOKUP(Tabla9361730552357639093546634477341[[#This Row],[Asesor]],Tabla48518942[Columna1],Tabla48518942[Columna12],0)</f>
        <v>0</v>
      </c>
      <c r="F33" s="274">
        <f>_xlfn.XLOOKUP(Tabla9361730552357639093546634477341[[#This Row],[Asesor]],Tabla48518942[Columna1],Tabla48518942[Columna3],0)</f>
        <v>0</v>
      </c>
      <c r="G33" s="254">
        <f>SUM(Tabla9361730552357639093546634477341[[#This Row],[Prima Pagada vida]],Tabla9361730552357639093546634477341[[#This Row],[Prima Pagada gmm]])</f>
        <v>0</v>
      </c>
      <c r="M33" s="1" t="s">
        <v>212</v>
      </c>
    </row>
    <row r="34" spans="1:13" ht="13" x14ac:dyDescent="0.15">
      <c r="A34" s="112" t="s">
        <v>41</v>
      </c>
      <c r="B34" s="250">
        <f>SUM(Tabla9361730552357639093546634477341[[#This Row],[Vida]],Tabla9361730552357639093546634477341[[#This Row],[Gmm]])</f>
        <v>0</v>
      </c>
      <c r="C34" s="113">
        <v>0</v>
      </c>
      <c r="D34" s="103">
        <v>0</v>
      </c>
      <c r="E34" s="109">
        <f>_xlfn.XLOOKUP(Tabla9361730552357639093546634477341[[#This Row],[Asesor]],Tabla48518942[Columna1],Tabla48518942[Columna12],0)</f>
        <v>0</v>
      </c>
      <c r="F34" s="274">
        <f>_xlfn.XLOOKUP(Tabla9361730552357639093546634477341[[#This Row],[Asesor]],Tabla48518942[Columna1],Tabla48518942[Columna3],0)</f>
        <v>0</v>
      </c>
      <c r="G34" s="254">
        <f>SUM(Tabla9361730552357639093546634477341[[#This Row],[Prima Pagada vida]],Tabla9361730552357639093546634477341[[#This Row],[Prima Pagada gmm]])</f>
        <v>0</v>
      </c>
    </row>
    <row r="35" spans="1:13" ht="13" x14ac:dyDescent="0.15">
      <c r="A35" s="112" t="s">
        <v>37</v>
      </c>
      <c r="B35" s="250">
        <f>SUM(Tabla9361730552357639093546634477341[[#This Row],[Vida]],Tabla9361730552357639093546634477341[[#This Row],[Gmm]])</f>
        <v>0</v>
      </c>
      <c r="C35" s="113">
        <v>0</v>
      </c>
      <c r="D35" s="103">
        <v>0</v>
      </c>
      <c r="E35" s="109">
        <f>_xlfn.XLOOKUP(Tabla9361730552357639093546634477341[[#This Row],[Asesor]],Tabla48518942[Columna1],Tabla48518942[Columna12],0)</f>
        <v>0</v>
      </c>
      <c r="F35" s="274">
        <f>_xlfn.XLOOKUP(Tabla9361730552357639093546634477341[[#This Row],[Asesor]],Tabla48518942[Columna1],Tabla48518942[Columna3],0)</f>
        <v>0</v>
      </c>
      <c r="G35" s="254">
        <f>SUM(Tabla9361730552357639093546634477341[[#This Row],[Prima Pagada vida]],Tabla9361730552357639093546634477341[[#This Row],[Prima Pagada gmm]])</f>
        <v>0</v>
      </c>
    </row>
    <row r="36" spans="1:13" ht="13" x14ac:dyDescent="0.15">
      <c r="A36" s="112" t="s">
        <v>25</v>
      </c>
      <c r="B36" s="280">
        <f>SUM(Tabla9361730552357639093546634477341[[#This Row],[Vida]],Tabla9361730552357639093546634477341[[#This Row],[Gmm]])</f>
        <v>0</v>
      </c>
      <c r="C36" s="113">
        <v>0</v>
      </c>
      <c r="D36" s="103">
        <v>0</v>
      </c>
      <c r="E36" s="109">
        <f>_xlfn.XLOOKUP(Tabla9361730552357639093546634477341[[#This Row],[Asesor]],Tabla48518942[Columna1],Tabla48518942[Columna12],0)</f>
        <v>0</v>
      </c>
      <c r="F36" s="274">
        <f>_xlfn.XLOOKUP(Tabla9361730552357639093546634477341[[#This Row],[Asesor]],Tabla48518942[Columna1],Tabla48518942[Columna3],0)</f>
        <v>0</v>
      </c>
      <c r="G36" s="254">
        <f>SUM(Tabla9361730552357639093546634477341[[#This Row],[Prima Pagada vida]],Tabla9361730552357639093546634477341[[#This Row],[Prima Pagada gmm]])</f>
        <v>0</v>
      </c>
    </row>
    <row r="37" spans="1:13" ht="13" x14ac:dyDescent="0.15">
      <c r="A37" s="112" t="s">
        <v>28</v>
      </c>
      <c r="B37" s="280">
        <f>SUM(Tabla9361730552357639093546634477341[[#This Row],[Vida]],Tabla9361730552357639093546634477341[[#This Row],[Gmm]])</f>
        <v>0</v>
      </c>
      <c r="C37" s="113">
        <v>0</v>
      </c>
      <c r="D37" s="103">
        <v>0</v>
      </c>
      <c r="E37" s="109">
        <f>_xlfn.XLOOKUP(Tabla9361730552357639093546634477341[[#This Row],[Asesor]],Tabla48518942[Columna1],Tabla48518942[Columna12],0)</f>
        <v>0</v>
      </c>
      <c r="F37" s="274">
        <f>_xlfn.XLOOKUP(Tabla9361730552357639093546634477341[[#This Row],[Asesor]],Tabla48518942[Columna1],Tabla48518942[Columna3],0)</f>
        <v>0</v>
      </c>
      <c r="G37" s="254">
        <f>SUM(Tabla9361730552357639093546634477341[[#This Row],[Prima Pagada vida]],Tabla9361730552357639093546634477341[[#This Row],[Prima Pagada gmm]])</f>
        <v>0</v>
      </c>
    </row>
    <row r="38" spans="1:13" ht="13" x14ac:dyDescent="0.15">
      <c r="A38" s="112" t="s">
        <v>71</v>
      </c>
      <c r="B38" s="280">
        <f>SUM(Tabla9361730552357639093546634477341[[#This Row],[Vida]],Tabla9361730552357639093546634477341[[#This Row],[Gmm]])</f>
        <v>0</v>
      </c>
      <c r="C38" s="113">
        <v>0</v>
      </c>
      <c r="D38" s="103">
        <v>0</v>
      </c>
      <c r="E38" s="109">
        <f>_xlfn.XLOOKUP(Tabla9361730552357639093546634477341[[#This Row],[Asesor]],Tabla48518942[Columna1],Tabla48518942[Columna12],0)</f>
        <v>0</v>
      </c>
      <c r="F38" s="274">
        <f>_xlfn.XLOOKUP(Tabla9361730552357639093546634477341[[#This Row],[Asesor]],Tabla48518942[Columna1],Tabla48518942[Columna3],0)</f>
        <v>0</v>
      </c>
      <c r="G38" s="254">
        <f>SUM(Tabla9361730552357639093546634477341[[#This Row],[Prima Pagada vida]],Tabla9361730552357639093546634477341[[#This Row],[Prima Pagada gmm]])</f>
        <v>0</v>
      </c>
    </row>
    <row r="39" spans="1:13" ht="13" x14ac:dyDescent="0.15">
      <c r="A39" s="112" t="s">
        <v>29</v>
      </c>
      <c r="B39" s="280">
        <f>SUM(Tabla9361730552357639093546634477341[[#This Row],[Vida]],Tabla9361730552357639093546634477341[[#This Row],[Gmm]])</f>
        <v>0</v>
      </c>
      <c r="C39" s="113">
        <v>0</v>
      </c>
      <c r="D39" s="103">
        <v>0</v>
      </c>
      <c r="E39" s="109">
        <f>_xlfn.XLOOKUP(Tabla9361730552357639093546634477341[[#This Row],[Asesor]],Tabla48518942[Columna1],Tabla48518942[Columna12],0)</f>
        <v>0</v>
      </c>
      <c r="F39" s="274">
        <f>_xlfn.XLOOKUP(Tabla9361730552357639093546634477341[[#This Row],[Asesor]],Tabla48518942[Columna1],Tabla48518942[Columna3],0)</f>
        <v>0</v>
      </c>
      <c r="G39" s="254">
        <f>SUM(Tabla9361730552357639093546634477341[[#This Row],[Prima Pagada vida]],Tabla9361730552357639093546634477341[[#This Row],[Prima Pagada gmm]])</f>
        <v>0</v>
      </c>
    </row>
    <row r="40" spans="1:13" ht="13" x14ac:dyDescent="0.15">
      <c r="A40" s="112" t="s">
        <v>22</v>
      </c>
      <c r="B40" s="280">
        <f>SUM(Tabla9361730552357639093546634477341[[#This Row],[Vida]],Tabla9361730552357639093546634477341[[#This Row],[Gmm]])</f>
        <v>0</v>
      </c>
      <c r="C40" s="113">
        <v>0</v>
      </c>
      <c r="D40" s="103">
        <v>0</v>
      </c>
      <c r="E40" s="277">
        <f>_xlfn.XLOOKUP(Tabla9361730552357639093546634477341[[#This Row],[Asesor]],Tabla48518942[Columna1],Tabla48518942[Columna12],0)</f>
        <v>0</v>
      </c>
      <c r="F40" s="253">
        <f>_xlfn.XLOOKUP(Tabla9361730552357639093546634477341[[#This Row],[Asesor]],Tabla48518942[Columna1],Tabla48518942[Columna3],0)</f>
        <v>0</v>
      </c>
      <c r="G40" s="254">
        <f>SUM(Tabla9361730552357639093546634477341[[#This Row],[Prima Pagada vida]],Tabla9361730552357639093546634477341[[#This Row],[Prima Pagada gmm]])</f>
        <v>0</v>
      </c>
    </row>
    <row r="41" spans="1:13" ht="13" x14ac:dyDescent="0.15">
      <c r="A41" s="112" t="s">
        <v>105</v>
      </c>
      <c r="B41" s="280">
        <f>SUM(Tabla9361730552357639093546634477341[[#This Row],[Vida]],Tabla9361730552357639093546634477341[[#This Row],[Gmm]])</f>
        <v>0</v>
      </c>
      <c r="C41" s="113">
        <v>0</v>
      </c>
      <c r="D41" s="103">
        <v>0</v>
      </c>
      <c r="E41" s="277">
        <f>_xlfn.XLOOKUP(Tabla9361730552357639093546634477341[[#This Row],[Asesor]],Tabla48518942[Columna1],Tabla48518942[Columna12],0)</f>
        <v>0</v>
      </c>
      <c r="F41" s="253">
        <f>_xlfn.XLOOKUP(Tabla9361730552357639093546634477341[[#This Row],[Asesor]],Tabla48518942[Columna1],Tabla48518942[Columna3],0)</f>
        <v>0</v>
      </c>
      <c r="G41" s="254">
        <f>SUM(Tabla9361730552357639093546634477341[[#This Row],[Prima Pagada vida]],Tabla9361730552357639093546634477341[[#This Row],[Prima Pagada gmm]])</f>
        <v>0</v>
      </c>
    </row>
    <row r="42" spans="1:13" ht="13" x14ac:dyDescent="0.15">
      <c r="A42" s="112" t="s">
        <v>24</v>
      </c>
      <c r="B42" s="280">
        <f>SUM(Tabla9361730552357639093546634477341[[#This Row],[Vida]],Tabla9361730552357639093546634477341[[#This Row],[Gmm]])</f>
        <v>0</v>
      </c>
      <c r="C42" s="113">
        <v>0</v>
      </c>
      <c r="D42" s="103">
        <v>0</v>
      </c>
      <c r="E42" s="277">
        <f>_xlfn.XLOOKUP(Tabla9361730552357639093546634477341[[#This Row],[Asesor]],Tabla48518942[Columna1],Tabla48518942[Columna12],0)</f>
        <v>0</v>
      </c>
      <c r="F42" s="253">
        <f>_xlfn.XLOOKUP(Tabla9361730552357639093546634477341[[#This Row],[Asesor]],Tabla48518942[Columna1],Tabla48518942[Columna3],0)</f>
        <v>0</v>
      </c>
      <c r="G42" s="254">
        <f>SUM(Tabla9361730552357639093546634477341[[#This Row],[Prima Pagada vida]],Tabla9361730552357639093546634477341[[#This Row],[Prima Pagada gmm]])</f>
        <v>0</v>
      </c>
    </row>
    <row r="43" spans="1:13" ht="13" x14ac:dyDescent="0.15">
      <c r="A43" s="112" t="s">
        <v>46</v>
      </c>
      <c r="B43" s="280">
        <f>SUM(Tabla9361730552357639093546634477341[[#This Row],[Vida]],Tabla9361730552357639093546634477341[[#This Row],[Gmm]])</f>
        <v>0.5</v>
      </c>
      <c r="C43" s="113">
        <v>0</v>
      </c>
      <c r="D43" s="103">
        <v>0</v>
      </c>
      <c r="E43" s="277">
        <f>_xlfn.XLOOKUP(Tabla9361730552357639093546634477341[[#This Row],[Asesor]],Tabla48518942[Columna1],Tabla48518942[Columna12],0)</f>
        <v>0.5</v>
      </c>
      <c r="F43" s="253">
        <f>_xlfn.XLOOKUP(Tabla9361730552357639093546634477341[[#This Row],[Asesor]],Tabla48518942[Columna1],Tabla48518942[Columna3],0)</f>
        <v>19825.63</v>
      </c>
      <c r="G43" s="254">
        <f>SUM(Tabla9361730552357639093546634477341[[#This Row],[Prima Pagada vida]],Tabla9361730552357639093546634477341[[#This Row],[Prima Pagada gmm]])</f>
        <v>19825.63</v>
      </c>
    </row>
    <row r="44" spans="1:13" ht="13" x14ac:dyDescent="0.15">
      <c r="A44" s="112" t="s">
        <v>116</v>
      </c>
      <c r="B44" s="280">
        <f>SUM(Tabla9361730552357639093546634477341[[#This Row],[Vida]],Tabla9361730552357639093546634477341[[#This Row],[Gmm]])</f>
        <v>0</v>
      </c>
      <c r="C44" s="113">
        <v>0</v>
      </c>
      <c r="D44" s="103">
        <v>0</v>
      </c>
      <c r="E44" s="277">
        <f>_xlfn.XLOOKUP(Tabla9361730552357639093546634477341[[#This Row],[Asesor]],Tabla48518942[Columna1],Tabla48518942[Columna12],0)</f>
        <v>0</v>
      </c>
      <c r="F44" s="253">
        <f>_xlfn.XLOOKUP(Tabla9361730552357639093546634477341[[#This Row],[Asesor]],Tabla48518942[Columna1],Tabla48518942[Columna3],0)</f>
        <v>0</v>
      </c>
      <c r="G44" s="254">
        <f>SUM(Tabla9361730552357639093546634477341[[#This Row],[Prima Pagada vida]],Tabla9361730552357639093546634477341[[#This Row],[Prima Pagada gmm]])</f>
        <v>0</v>
      </c>
    </row>
    <row r="45" spans="1:13" ht="13" x14ac:dyDescent="0.15">
      <c r="A45" s="112" t="s">
        <v>43</v>
      </c>
      <c r="B45" s="280">
        <f>SUM(Tabla9361730552357639093546634477341[[#This Row],[Vida]],Tabla9361730552357639093546634477341[[#This Row],[Gmm]])</f>
        <v>0</v>
      </c>
      <c r="C45" s="113">
        <v>0</v>
      </c>
      <c r="D45" s="103">
        <v>0</v>
      </c>
      <c r="E45" s="277">
        <f>_xlfn.XLOOKUP(Tabla9361730552357639093546634477341[[#This Row],[Asesor]],Tabla48518942[Columna1],Tabla48518942[Columna12],0)</f>
        <v>0</v>
      </c>
      <c r="F45" s="253">
        <f>_xlfn.XLOOKUP(Tabla9361730552357639093546634477341[[#This Row],[Asesor]],Tabla48518942[Columna1],Tabla48518942[Columna3],0)</f>
        <v>0</v>
      </c>
      <c r="G45" s="254">
        <f>SUM(Tabla9361730552357639093546634477341[[#This Row],[Prima Pagada vida]],Tabla9361730552357639093546634477341[[#This Row],[Prima Pagada gmm]])</f>
        <v>0</v>
      </c>
    </row>
    <row r="46" spans="1:13" ht="13" x14ac:dyDescent="0.15">
      <c r="A46" s="112" t="s">
        <v>19</v>
      </c>
      <c r="B46" s="280">
        <f>SUM(Tabla9361730552357639093546634477341[[#This Row],[Vida]],Tabla9361730552357639093546634477341[[#This Row],[Gmm]])</f>
        <v>0</v>
      </c>
      <c r="C46" s="113">
        <v>0</v>
      </c>
      <c r="D46" s="103">
        <v>0</v>
      </c>
      <c r="E46" s="277">
        <f>_xlfn.XLOOKUP(Tabla9361730552357639093546634477341[[#This Row],[Asesor]],Tabla48518942[Columna1],Tabla48518942[Columna12],0)</f>
        <v>0</v>
      </c>
      <c r="F46" s="253">
        <f>_xlfn.XLOOKUP(Tabla9361730552357639093546634477341[[#This Row],[Asesor]],Tabla48518942[Columna1],Tabla48518942[Columna3],0)</f>
        <v>0</v>
      </c>
      <c r="G46" s="254">
        <f>SUM(Tabla9361730552357639093546634477341[[#This Row],[Prima Pagada vida]],Tabla9361730552357639093546634477341[[#This Row],[Prima Pagada gmm]])</f>
        <v>0</v>
      </c>
    </row>
    <row r="47" spans="1:13" ht="13" x14ac:dyDescent="0.15">
      <c r="A47" s="112" t="s">
        <v>72</v>
      </c>
      <c r="B47" s="280">
        <f>SUM(Tabla9361730552357639093546634477341[[#This Row],[Vida]],Tabla9361730552357639093546634477341[[#This Row],[Gmm]])</f>
        <v>0</v>
      </c>
      <c r="C47" s="113">
        <v>0</v>
      </c>
      <c r="D47" s="103">
        <v>0</v>
      </c>
      <c r="E47" s="277">
        <f>_xlfn.XLOOKUP(Tabla9361730552357639093546634477341[[#This Row],[Asesor]],Tabla48518942[Columna1],Tabla48518942[Columna12],0)</f>
        <v>0</v>
      </c>
      <c r="F47" s="253">
        <f>_xlfn.XLOOKUP(Tabla9361730552357639093546634477341[[#This Row],[Asesor]],Tabla48518942[Columna1],Tabla48518942[Columna3],0)</f>
        <v>0</v>
      </c>
      <c r="G47" s="254">
        <f>SUM(Tabla9361730552357639093546634477341[[#This Row],[Prima Pagada vida]],Tabla9361730552357639093546634477341[[#This Row],[Prima Pagada gmm]])</f>
        <v>0</v>
      </c>
    </row>
    <row r="48" spans="1:13" ht="13" x14ac:dyDescent="0.15">
      <c r="A48" s="112" t="s">
        <v>131</v>
      </c>
      <c r="B48" s="280">
        <f>SUM(Tabla9361730552357639093546634477341[[#This Row],[Vida]],Tabla9361730552357639093546634477341[[#This Row],[Gmm]])</f>
        <v>0</v>
      </c>
      <c r="C48" s="113">
        <v>0</v>
      </c>
      <c r="D48" s="103">
        <v>0</v>
      </c>
      <c r="E48" s="277">
        <f>_xlfn.XLOOKUP(Tabla9361730552357639093546634477341[[#This Row],[Asesor]],Tabla48518942[Columna1],Tabla48518942[Columna12],0)</f>
        <v>0</v>
      </c>
      <c r="F48" s="253">
        <f>_xlfn.XLOOKUP(Tabla9361730552357639093546634477341[[#This Row],[Asesor]],Tabla48518942[Columna1],Tabla48518942[Columna3],0)</f>
        <v>0</v>
      </c>
      <c r="G48" s="254">
        <f>SUM(Tabla9361730552357639093546634477341[[#This Row],[Prima Pagada vida]],Tabla9361730552357639093546634477341[[#This Row],[Prima Pagada gmm]])</f>
        <v>0</v>
      </c>
    </row>
    <row r="49" spans="1:11" ht="13" x14ac:dyDescent="0.15">
      <c r="A49" s="112" t="s">
        <v>26</v>
      </c>
      <c r="B49" s="280">
        <f>SUM(Tabla9361730552357639093546634477341[[#This Row],[Vida]],Tabla9361730552357639093546634477341[[#This Row],[Gmm]])</f>
        <v>0</v>
      </c>
      <c r="C49" s="113">
        <v>0</v>
      </c>
      <c r="D49" s="103">
        <v>0</v>
      </c>
      <c r="E49" s="277">
        <f>_xlfn.XLOOKUP(Tabla9361730552357639093546634477341[[#This Row],[Asesor]],Tabla48518942[Columna1],Tabla48518942[Columna12],0)</f>
        <v>0</v>
      </c>
      <c r="F49" s="253">
        <f>_xlfn.XLOOKUP(Tabla9361730552357639093546634477341[[#This Row],[Asesor]],Tabla48518942[Columna1],Tabla48518942[Columna3],0)</f>
        <v>0</v>
      </c>
      <c r="G49" s="254">
        <f>SUM(Tabla9361730552357639093546634477341[[#This Row],[Prima Pagada vida]],Tabla9361730552357639093546634477341[[#This Row],[Prima Pagada gmm]])</f>
        <v>0</v>
      </c>
    </row>
    <row r="50" spans="1:11" ht="13" x14ac:dyDescent="0.15">
      <c r="A50" s="112" t="s">
        <v>31</v>
      </c>
      <c r="B50" s="280">
        <f>SUM(Tabla9361730552357639093546634477341[[#This Row],[Vida]],Tabla9361730552357639093546634477341[[#This Row],[Gmm]])</f>
        <v>0</v>
      </c>
      <c r="C50" s="113">
        <v>0</v>
      </c>
      <c r="D50" s="103">
        <v>0</v>
      </c>
      <c r="E50" s="277">
        <f>_xlfn.XLOOKUP(Tabla9361730552357639093546634477341[[#This Row],[Asesor]],Tabla48518942[Columna1],Tabla48518942[Columna12],0)</f>
        <v>0</v>
      </c>
      <c r="F50" s="253">
        <f>_xlfn.XLOOKUP(Tabla9361730552357639093546634477341[[#This Row],[Asesor]],Tabla48518942[Columna1],Tabla48518942[Columna3],0)</f>
        <v>0</v>
      </c>
      <c r="G50" s="254">
        <f>SUM(Tabla9361730552357639093546634477341[[#This Row],[Prima Pagada vida]],Tabla9361730552357639093546634477341[[#This Row],[Prima Pagada gmm]])</f>
        <v>0</v>
      </c>
    </row>
    <row r="51" spans="1:11" ht="13" x14ac:dyDescent="0.15">
      <c r="A51" s="112" t="s">
        <v>49</v>
      </c>
      <c r="B51" s="284">
        <f>SUM(Tabla9361730552357639093546634477341[[#This Row],[Vida]],Tabla9361730552357639093546634477341[[#This Row],[Gmm]])</f>
        <v>0.5</v>
      </c>
      <c r="C51" s="285"/>
      <c r="D51" s="286"/>
      <c r="E51" s="287">
        <f>_xlfn.XLOOKUP(Tabla9361730552357639093546634477341[[#This Row],[Asesor]],Tabla48518942[Columna1],Tabla48518942[Columna12],0)</f>
        <v>0.5</v>
      </c>
      <c r="F51" s="288">
        <f>_xlfn.XLOOKUP(Tabla9361730552357639093546634477341[[#This Row],[Asesor]],Tabla48518942[Columna1],Tabla48518942[Columna3],0)</f>
        <v>6304.46</v>
      </c>
      <c r="G51" s="289">
        <f>SUM(Tabla9361730552357639093546634477341[[#This Row],[Prima Pagada vida]],Tabla9361730552357639093546634477341[[#This Row],[Prima Pagada gmm]])</f>
        <v>6304.46</v>
      </c>
    </row>
    <row r="52" spans="1:11" ht="13" x14ac:dyDescent="0.15">
      <c r="A52" s="43" t="s">
        <v>50</v>
      </c>
      <c r="B52" s="214">
        <f>SUM(Tabla9361730552357639093546634477341[[Pólizas ]])</f>
        <v>36.5</v>
      </c>
      <c r="C52" s="215">
        <f>SUM(Tabla9361730552357639093546634477341[Vida])</f>
        <v>32</v>
      </c>
      <c r="D52" s="216">
        <f>SUM(Tabla9361730552357639093546634477341[Prima Pagada vida])</f>
        <v>276932.82</v>
      </c>
      <c r="E52" s="290">
        <f>SUM(Tabla9361730552357639093546634477341[Gmm])</f>
        <v>4.5</v>
      </c>
      <c r="F52" s="216">
        <f>SUM(Tabla9361730552357639093546634477341[Prima Pagada gmm])</f>
        <v>172532.73</v>
      </c>
      <c r="G52" s="216">
        <f>SUM(Tabla9361730552357639093546634477341[Prima total])</f>
        <v>449465.55000000005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x14ac:dyDescent="0.15">
      <c r="A59" s="273" t="s">
        <v>159</v>
      </c>
      <c r="B59" s="281" t="s">
        <v>196</v>
      </c>
      <c r="C59" s="282" t="s">
        <v>197</v>
      </c>
      <c r="D59" s="283">
        <v>90665.657698529991</v>
      </c>
      <c r="E59" s="230" cm="1">
        <f t="array" ref="E59">D59/_xlfn.IFS(B59="MENSUAL",12,B59="TRIMESTRAL",4,B59="SEMESTRAL",2,B59="ANUAL",1)</f>
        <v>22666.414424632498</v>
      </c>
      <c r="G59" s="273"/>
      <c r="H59" s="281"/>
      <c r="I59" s="282"/>
      <c r="J59" s="283"/>
      <c r="K59" s="230"/>
    </row>
    <row r="60" spans="1:11" x14ac:dyDescent="0.2">
      <c r="A60" s="273" t="s">
        <v>159</v>
      </c>
      <c r="B60" s="281" t="s">
        <v>199</v>
      </c>
      <c r="C60" s="282" t="s">
        <v>194</v>
      </c>
      <c r="D60" s="283">
        <v>32698.68</v>
      </c>
      <c r="E60" s="230" cm="1">
        <f t="array" ref="E60">D60/_xlfn.IFS(B60="MENSUAL",12,B60="TRIMESTRAL",4,B60="SEMESTRAL",2,B60="ANUAL",1)</f>
        <v>2724.89</v>
      </c>
      <c r="G60" s="273"/>
      <c r="H60" s="281"/>
      <c r="I60" s="298"/>
      <c r="J60" s="283"/>
      <c r="K60" s="230"/>
    </row>
    <row r="61" spans="1:11" ht="15" x14ac:dyDescent="0.15">
      <c r="A61" s="273" t="s">
        <v>226</v>
      </c>
      <c r="B61" s="281" t="s">
        <v>198</v>
      </c>
      <c r="C61" s="282" t="s">
        <v>197</v>
      </c>
      <c r="D61" s="283">
        <v>31379.52454658</v>
      </c>
      <c r="E61" s="230" cm="1">
        <f t="array" ref="E61">D61/_xlfn.IFS(B61="MENSUAL",12,B61="TRIMESTRAL",4,B61="SEMESTRAL",2,B61="ANUAL",1)</f>
        <v>31379.52454658</v>
      </c>
      <c r="G61" s="273"/>
      <c r="H61" s="281"/>
      <c r="I61" s="299"/>
      <c r="J61" s="283"/>
      <c r="K61" s="230"/>
    </row>
    <row r="62" spans="1:11" ht="15" x14ac:dyDescent="0.15">
      <c r="A62" s="273" t="s">
        <v>226</v>
      </c>
      <c r="B62" s="281" t="s">
        <v>198</v>
      </c>
      <c r="C62" s="282" t="s">
        <v>197</v>
      </c>
      <c r="D62" s="283">
        <v>70991.247426389993</v>
      </c>
      <c r="E62" s="230" cm="1">
        <f t="array" ref="E62">D62/_xlfn.IFS(B62="MENSUAL",12,B62="TRIMESTRAL",4,B62="SEMESTRAL",2,B62="ANUAL",1)</f>
        <v>70991.247426389993</v>
      </c>
      <c r="G62" s="273"/>
      <c r="H62" s="281"/>
      <c r="I62" s="282"/>
      <c r="J62" s="283"/>
      <c r="K62" s="230"/>
    </row>
    <row r="63" spans="1:11" ht="15" x14ac:dyDescent="0.15">
      <c r="A63" s="273" t="s">
        <v>226</v>
      </c>
      <c r="B63" s="281" t="s">
        <v>198</v>
      </c>
      <c r="C63" s="282" t="s">
        <v>197</v>
      </c>
      <c r="D63" s="283">
        <v>38453.740114980006</v>
      </c>
      <c r="E63" s="230" cm="1">
        <f t="array" ref="E63">D63/_xlfn.IFS(B63="MENSUAL",12,B63="TRIMESTRAL",4,B63="SEMESTRAL",2,B63="ANUAL",1)</f>
        <v>38453.740114980006</v>
      </c>
      <c r="G63" s="273"/>
      <c r="H63" s="281"/>
      <c r="I63" s="282"/>
      <c r="J63" s="283"/>
      <c r="K63" s="230"/>
    </row>
    <row r="64" spans="1:11" x14ac:dyDescent="0.2">
      <c r="A64" s="273" t="s">
        <v>195</v>
      </c>
      <c r="B64" s="281" t="s">
        <v>198</v>
      </c>
      <c r="C64" s="282" t="s">
        <v>197</v>
      </c>
      <c r="D64" s="283">
        <v>48509.038984500003</v>
      </c>
      <c r="E64" s="230" cm="1">
        <f t="array" ref="E64">D64/_xlfn.IFS(B64="MENSUAL",12,B64="TRIMESTRAL",4,B64="SEMESTRAL",2,B64="ANUAL",1)</f>
        <v>48509.038984500003</v>
      </c>
      <c r="G64" s="295"/>
    </row>
    <row r="65" spans="1:5" x14ac:dyDescent="0.2">
      <c r="A65" s="273" t="s">
        <v>195</v>
      </c>
      <c r="B65" s="281" t="s">
        <v>198</v>
      </c>
      <c r="C65" s="282" t="s">
        <v>197</v>
      </c>
      <c r="D65" s="283">
        <v>22599.204939399999</v>
      </c>
      <c r="E65" s="230" cm="1">
        <f t="array" ref="E65">D65/_xlfn.IFS(B65="MENSUAL",12,B65="TRIMESTRAL",4,B65="SEMESTRAL",2,B65="ANUAL",1)</f>
        <v>22599.204939399999</v>
      </c>
    </row>
    <row r="66" spans="1:5" x14ac:dyDescent="0.2">
      <c r="A66" s="273" t="s">
        <v>147</v>
      </c>
      <c r="B66" s="281" t="s">
        <v>198</v>
      </c>
      <c r="C66" s="282" t="s">
        <v>197</v>
      </c>
      <c r="D66" s="283">
        <v>24320.317863540004</v>
      </c>
      <c r="E66" s="230" cm="1">
        <f t="array" ref="E66">D66/_xlfn.IFS(B66="MENSUAL",12,B66="TRIMESTRAL",4,B66="SEMESTRAL",2,B66="ANUAL",1)</f>
        <v>24320.317863540004</v>
      </c>
    </row>
    <row r="67" spans="1:5" x14ac:dyDescent="0.2">
      <c r="A67" s="273" t="s">
        <v>147</v>
      </c>
      <c r="B67" s="281" t="s">
        <v>193</v>
      </c>
      <c r="C67" s="282" t="s">
        <v>197</v>
      </c>
      <c r="D67" s="283">
        <v>24684.439499999997</v>
      </c>
      <c r="E67" s="230" cm="1">
        <f t="array" ref="E67">D67/_xlfn.IFS(B67="MENSUAL",12,B67="TRIMESTRAL",4,B67="SEMESTRAL",2,B67="ANUAL",1)</f>
        <v>12342.219749999998</v>
      </c>
    </row>
    <row r="68" spans="1:5" x14ac:dyDescent="0.2">
      <c r="A68" s="273" t="s">
        <v>228</v>
      </c>
      <c r="B68" s="281" t="s">
        <v>199</v>
      </c>
      <c r="C68" s="282" t="s">
        <v>194</v>
      </c>
      <c r="D68" s="283">
        <v>75653.52</v>
      </c>
      <c r="E68" s="230" cm="1">
        <f t="array" ref="E68">D68/_xlfn.IFS(B68="MENSUAL",12,B68="TRIMESTRAL",4,B68="SEMESTRAL",2,B68="ANUAL",1)</f>
        <v>6304.46</v>
      </c>
    </row>
    <row r="69" spans="1:5" x14ac:dyDescent="0.2">
      <c r="A69" s="273" t="s">
        <v>229</v>
      </c>
      <c r="B69" s="281" t="s">
        <v>198</v>
      </c>
      <c r="C69" s="282" t="s">
        <v>197</v>
      </c>
      <c r="D69" s="283">
        <v>19035.93761868</v>
      </c>
      <c r="E69" s="230" cm="1">
        <f t="array" ref="E69">D69/_xlfn.IFS(B69="MENSUAL",12,B69="TRIMESTRAL",4,B69="SEMESTRAL",2,B69="ANUAL",1)</f>
        <v>19035.93761868</v>
      </c>
    </row>
    <row r="70" spans="1:5" x14ac:dyDescent="0.2">
      <c r="A70" s="273" t="s">
        <v>230</v>
      </c>
      <c r="B70" s="281" t="s">
        <v>199</v>
      </c>
      <c r="C70" s="282" t="s">
        <v>197</v>
      </c>
      <c r="D70" s="283">
        <v>30271.357859047199</v>
      </c>
      <c r="E70" s="230" cm="1">
        <f t="array" ref="E70">D70/_xlfn.IFS(B70="MENSUAL",12,B70="TRIMESTRAL",4,B70="SEMESTRAL",2,B70="ANUAL",1)</f>
        <v>2522.6131549205998</v>
      </c>
    </row>
    <row r="71" spans="1:5" x14ac:dyDescent="0.2">
      <c r="A71" s="273" t="s">
        <v>231</v>
      </c>
      <c r="B71" s="281" t="s">
        <v>199</v>
      </c>
      <c r="C71" s="282" t="s">
        <v>197</v>
      </c>
      <c r="D71" s="283">
        <v>65652.284352959992</v>
      </c>
      <c r="E71" s="230" cm="1">
        <f t="array" ref="E71">D71/_xlfn.IFS(B71="MENSUAL",12,B71="TRIMESTRAL",4,B71="SEMESTRAL",2,B71="ANUAL",1)</f>
        <v>5471.0236960799994</v>
      </c>
    </row>
    <row r="72" spans="1:5" x14ac:dyDescent="0.2">
      <c r="A72" s="273" t="s">
        <v>227</v>
      </c>
      <c r="B72" s="281" t="s">
        <v>199</v>
      </c>
      <c r="C72" s="282" t="s">
        <v>194</v>
      </c>
      <c r="D72" s="283">
        <v>46685.04</v>
      </c>
      <c r="E72" s="230" cm="1">
        <f t="array" ref="E72">D72/_xlfn.IFS(B72="MENSUAL",12,B72="TRIMESTRAL",4,B72="SEMESTRAL",2,B72="ANUAL",1)</f>
        <v>3890.42</v>
      </c>
    </row>
    <row r="73" spans="1:5" x14ac:dyDescent="0.2">
      <c r="A73" s="273" t="s">
        <v>227</v>
      </c>
      <c r="B73" s="281" t="s">
        <v>199</v>
      </c>
      <c r="C73" s="282" t="s">
        <v>197</v>
      </c>
      <c r="D73" s="283">
        <v>43200.194830027205</v>
      </c>
      <c r="E73" s="230" cm="1">
        <f t="array" ref="E73">D73/_xlfn.IFS(B73="MENSUAL",12,B73="TRIMESTRAL",4,B73="SEMESTRAL",2,B73="ANUAL",1)</f>
        <v>3600.0162358356006</v>
      </c>
    </row>
    <row r="74" spans="1:5" x14ac:dyDescent="0.2">
      <c r="A74" s="273" t="s">
        <v>227</v>
      </c>
      <c r="B74" s="281" t="s">
        <v>198</v>
      </c>
      <c r="C74" s="282" t="s">
        <v>194</v>
      </c>
      <c r="D74" s="283">
        <v>34753.79</v>
      </c>
      <c r="E74" s="230" cm="1">
        <f t="array" ref="E74">D74/_xlfn.IFS(B74="MENSUAL",12,B74="TRIMESTRAL",4,B74="SEMESTRAL",2,B74="ANUAL",1)</f>
        <v>34753.79</v>
      </c>
    </row>
    <row r="75" spans="1:5" x14ac:dyDescent="0.2">
      <c r="A75" s="273" t="s">
        <v>227</v>
      </c>
      <c r="B75" s="281" t="s">
        <v>198</v>
      </c>
      <c r="C75" s="282" t="s">
        <v>194</v>
      </c>
      <c r="D75" s="283">
        <v>31691.71</v>
      </c>
      <c r="E75" s="230" cm="1">
        <f t="array" ref="E75">D75/_xlfn.IFS(B75="MENSUAL",12,B75="TRIMESTRAL",4,B75="SEMESTRAL",2,B75="ANUAL",1)</f>
        <v>31691.71</v>
      </c>
    </row>
    <row r="76" spans="1:5" x14ac:dyDescent="0.2">
      <c r="A76" s="273" t="s">
        <v>227</v>
      </c>
      <c r="B76" s="281" t="s">
        <v>198</v>
      </c>
      <c r="C76" s="282" t="s">
        <v>197</v>
      </c>
      <c r="D76" s="283">
        <v>32969.950608779996</v>
      </c>
      <c r="E76" s="230" cm="1">
        <f t="array" ref="E76">D76/_xlfn.IFS(B76="MENSUAL",12,B76="TRIMESTRAL",4,B76="SEMESTRAL",2,B76="ANUAL",1)</f>
        <v>32969.950608779996</v>
      </c>
    </row>
    <row r="77" spans="1:5" x14ac:dyDescent="0.2">
      <c r="A77" s="273" t="s">
        <v>227</v>
      </c>
      <c r="B77" s="281" t="s">
        <v>199</v>
      </c>
      <c r="C77" s="282" t="s">
        <v>197</v>
      </c>
      <c r="D77" s="283">
        <v>73001.256379019993</v>
      </c>
      <c r="E77" s="230" cm="1">
        <f t="array" ref="E77">D77/_xlfn.IFS(B77="MENSUAL",12,B77="TRIMESTRAL",4,B77="SEMESTRAL",2,B77="ANUAL",1)</f>
        <v>6083.4380315849994</v>
      </c>
    </row>
    <row r="78" spans="1:5" x14ac:dyDescent="0.2">
      <c r="A78" s="273" t="s">
        <v>153</v>
      </c>
      <c r="B78" s="281" t="s">
        <v>198</v>
      </c>
      <c r="C78" s="282" t="s">
        <v>197</v>
      </c>
      <c r="D78" s="283">
        <v>22712.349998100002</v>
      </c>
      <c r="E78" s="230" cm="1">
        <f t="array" ref="E78">D78/_xlfn.IFS(B78="MENSUAL",12,B78="TRIMESTRAL",4,B78="SEMESTRAL",2,B78="ANUAL",1)</f>
        <v>22712.349998100002</v>
      </c>
    </row>
    <row r="79" spans="1:5" x14ac:dyDescent="0.2">
      <c r="A79" s="273" t="s">
        <v>153</v>
      </c>
      <c r="B79" s="281" t="s">
        <v>199</v>
      </c>
      <c r="C79" s="282" t="s">
        <v>197</v>
      </c>
      <c r="D79" s="283">
        <v>35992.750654080002</v>
      </c>
      <c r="E79" s="230" cm="1">
        <f t="array" ref="E79">D79/_xlfn.IFS(B79="MENSUAL",12,B79="TRIMESTRAL",4,B79="SEMESTRAL",2,B79="ANUAL",1)</f>
        <v>2999.3958878400003</v>
      </c>
    </row>
    <row r="80" spans="1:5" x14ac:dyDescent="0.2">
      <c r="A80" s="273" t="s">
        <v>203</v>
      </c>
      <c r="B80" s="281" t="s">
        <v>198</v>
      </c>
      <c r="C80" s="282" t="s">
        <v>197</v>
      </c>
      <c r="D80" s="283">
        <v>35728.187603849998</v>
      </c>
      <c r="E80" s="230" cm="1">
        <f t="array" ref="E80">D80/_xlfn.IFS(B80="MENSUAL",12,B80="TRIMESTRAL",4,B80="SEMESTRAL",2,B80="ANUAL",1)</f>
        <v>35728.187603849998</v>
      </c>
    </row>
    <row r="81" spans="1:5" x14ac:dyDescent="0.2">
      <c r="A81" s="273" t="s">
        <v>167</v>
      </c>
      <c r="B81" s="281" t="s">
        <v>198</v>
      </c>
      <c r="C81" s="282" t="s">
        <v>194</v>
      </c>
      <c r="D81" s="283">
        <v>56328.79</v>
      </c>
      <c r="E81" s="230" cm="1">
        <f t="array" ref="E81">D81/_xlfn.IFS(B81="MENSUAL",12,B81="TRIMESTRAL",4,B81="SEMESTRAL",2,B81="ANUAL",1)</f>
        <v>56328.79</v>
      </c>
    </row>
    <row r="82" spans="1:5" x14ac:dyDescent="0.2">
      <c r="A82" s="273" t="s">
        <v>167</v>
      </c>
      <c r="B82" s="281" t="s">
        <v>193</v>
      </c>
      <c r="C82" s="282" t="s">
        <v>197</v>
      </c>
      <c r="D82" s="283">
        <v>22474.102847279999</v>
      </c>
      <c r="E82" s="230" cm="1">
        <f t="array" ref="E82">D82/_xlfn.IFS(B82="MENSUAL",12,B82="TRIMESTRAL",4,B82="SEMESTRAL",2,B82="ANUAL",1)</f>
        <v>11237.051423639999</v>
      </c>
    </row>
    <row r="83" spans="1:5" x14ac:dyDescent="0.2">
      <c r="A83" s="273" t="s">
        <v>204</v>
      </c>
      <c r="B83" s="281" t="s">
        <v>198</v>
      </c>
      <c r="C83" s="282" t="s">
        <v>194</v>
      </c>
      <c r="D83" s="283">
        <v>19825.63</v>
      </c>
      <c r="E83" s="230" cm="1">
        <f t="array" ref="E83">D83/_xlfn.IFS(B83="MENSUAL",12,B83="TRIMESTRAL",4,B83="SEMESTRAL",2,B83="ANUAL",1)</f>
        <v>19825.63</v>
      </c>
    </row>
    <row r="84" spans="1:5" x14ac:dyDescent="0.2">
      <c r="A84" s="273" t="s">
        <v>205</v>
      </c>
      <c r="B84" s="281" t="s">
        <v>198</v>
      </c>
      <c r="C84" s="282" t="s">
        <v>194</v>
      </c>
      <c r="D84" s="283">
        <v>14673.25</v>
      </c>
      <c r="E84" s="230" cm="1">
        <f t="array" ref="E84">D84/_xlfn.IFS(B84="MENSUAL",12,B84="TRIMESTRAL",4,B84="SEMESTRAL",2,B84="ANUAL",1)</f>
        <v>14673.25</v>
      </c>
    </row>
    <row r="85" spans="1:5" x14ac:dyDescent="0.2">
      <c r="A85" s="273" t="s">
        <v>205</v>
      </c>
      <c r="B85" s="281" t="s">
        <v>198</v>
      </c>
      <c r="C85" s="282" t="s">
        <v>197</v>
      </c>
      <c r="D85" s="283">
        <v>30508.596767910003</v>
      </c>
      <c r="E85" s="230" cm="1">
        <f t="array" ref="E85">D85/_xlfn.IFS(B85="MENSUAL",12,B85="TRIMESTRAL",4,B85="SEMESTRAL",2,B85="ANUAL",1)</f>
        <v>30508.596767910003</v>
      </c>
    </row>
    <row r="86" spans="1:5" x14ac:dyDescent="0.2">
      <c r="A86" s="273" t="s">
        <v>205</v>
      </c>
      <c r="B86" s="281" t="s">
        <v>193</v>
      </c>
      <c r="C86" s="282" t="s">
        <v>197</v>
      </c>
      <c r="D86" s="283">
        <v>30131.183277600001</v>
      </c>
      <c r="E86" s="230" cm="1">
        <f t="array" ref="E86">D86/_xlfn.IFS(B86="MENSUAL",12,B86="TRIMESTRAL",4,B86="SEMESTRAL",2,B86="ANUAL",1)</f>
        <v>15065.591638800001</v>
      </c>
    </row>
    <row r="87" spans="1:5" x14ac:dyDescent="0.2">
      <c r="A87" s="273" t="s">
        <v>171</v>
      </c>
      <c r="B87" s="281" t="s">
        <v>193</v>
      </c>
      <c r="C87" s="282" t="s">
        <v>197</v>
      </c>
      <c r="D87" s="283">
        <v>35158.811999999998</v>
      </c>
      <c r="E87" s="230" cm="1">
        <f t="array" ref="E87">D87/_xlfn.IFS(B87="MENSUAL",12,B87="TRIMESTRAL",4,B87="SEMESTRAL",2,B87="ANUAL",1)</f>
        <v>17579.405999999999</v>
      </c>
    </row>
    <row r="88" spans="1:5" x14ac:dyDescent="0.2">
      <c r="A88" s="273"/>
      <c r="B88" s="281"/>
      <c r="C88" s="282"/>
      <c r="D88" s="283"/>
      <c r="E88" s="230"/>
    </row>
    <row r="89" spans="1:5" x14ac:dyDescent="0.2">
      <c r="A89" s="273"/>
      <c r="B89" s="281"/>
      <c r="C89" s="282"/>
      <c r="D89" s="283"/>
      <c r="E89" s="230"/>
    </row>
    <row r="90" spans="1:5" x14ac:dyDescent="0.2">
      <c r="A90" s="273"/>
      <c r="B90" s="281"/>
      <c r="C90" s="282"/>
      <c r="D90" s="283"/>
      <c r="E90" s="230"/>
    </row>
    <row r="91" spans="1:5" x14ac:dyDescent="0.2">
      <c r="A91" s="273"/>
      <c r="B91" s="281"/>
      <c r="C91" s="282"/>
      <c r="D91" s="283"/>
      <c r="E91" s="230"/>
    </row>
    <row r="92" spans="1:5" x14ac:dyDescent="0.2">
      <c r="A92" s="266"/>
      <c r="B92" s="281"/>
      <c r="C92" s="282"/>
      <c r="D92" s="283"/>
      <c r="E92" s="230"/>
    </row>
  </sheetData>
  <mergeCells count="1">
    <mergeCell ref="A4:H4"/>
  </mergeCells>
  <conditionalFormatting sqref="A6 J6:J7">
    <cfRule type="expression" dxfId="98" priority="20" stopIfTrue="1">
      <formula>#REF!=1</formula>
    </cfRule>
  </conditionalFormatting>
  <conditionalFormatting sqref="A7:A31 C7:D31 I8:J31">
    <cfRule type="expression" dxfId="97" priority="14" stopIfTrue="1">
      <formula>$T7=1</formula>
    </cfRule>
    <cfRule type="expression" dxfId="96" priority="15" stopIfTrue="1">
      <formula>$T6=1</formula>
    </cfRule>
  </conditionalFormatting>
  <conditionalFormatting sqref="A32 C32:D32">
    <cfRule type="expression" dxfId="95" priority="1133" stopIfTrue="1">
      <formula>$T31=1</formula>
    </cfRule>
  </conditionalFormatting>
  <conditionalFormatting sqref="A32:A50 C32:D51">
    <cfRule type="expression" dxfId="94" priority="18" stopIfTrue="1">
      <formula>$S32=1</formula>
    </cfRule>
  </conditionalFormatting>
  <conditionalFormatting sqref="A33:A50 C33:D51">
    <cfRule type="expression" dxfId="93" priority="19" stopIfTrue="1">
      <formula>$S32=1</formula>
    </cfRule>
  </conditionalFormatting>
  <conditionalFormatting sqref="A51">
    <cfRule type="expression" dxfId="92" priority="1" stopIfTrue="1">
      <formula>$T51=1</formula>
    </cfRule>
    <cfRule type="expression" dxfId="91" priority="2" stopIfTrue="1">
      <formula>$T50=1</formula>
    </cfRule>
  </conditionalFormatting>
  <conditionalFormatting sqref="C6:D6">
    <cfRule type="expression" dxfId="90" priority="17" stopIfTrue="1">
      <formula>#REF!=1</formula>
    </cfRule>
  </conditionalFormatting>
  <conditionalFormatting sqref="E6:E28">
    <cfRule type="expression" dxfId="89" priority="1125" stopIfTrue="1">
      <formula>$S9=1</formula>
    </cfRule>
  </conditionalFormatting>
  <conditionalFormatting sqref="E6:E47">
    <cfRule type="expression" dxfId="88" priority="39" stopIfTrue="1">
      <formula>#REF!=1</formula>
    </cfRule>
  </conditionalFormatting>
  <conditionalFormatting sqref="E29:E47">
    <cfRule type="expression" dxfId="87" priority="40" stopIfTrue="1">
      <formula>$R32=1</formula>
    </cfRule>
  </conditionalFormatting>
  <conditionalFormatting sqref="E40:E47">
    <cfRule type="expression" dxfId="86" priority="1066" stopIfTrue="1">
      <formula>$R43=1</formula>
    </cfRule>
  </conditionalFormatting>
  <conditionalFormatting sqref="E40:E51">
    <cfRule type="expression" dxfId="85" priority="952" stopIfTrue="1">
      <formula>#REF!=1</formula>
    </cfRule>
  </conditionalFormatting>
  <conditionalFormatting sqref="E48:E51">
    <cfRule type="expression" dxfId="84" priority="1135" stopIfTrue="1">
      <formula>$R52=1</formula>
    </cfRule>
    <cfRule type="expression" dxfId="83" priority="1134" stopIfTrue="1">
      <formula>#REF!=1</formula>
    </cfRule>
    <cfRule type="expression" dxfId="82" priority="1069" stopIfTrue="1">
      <formula>$R52=1</formula>
    </cfRule>
  </conditionalFormatting>
  <conditionalFormatting sqref="F6">
    <cfRule type="expression" dxfId="81" priority="1127" stopIfTrue="1">
      <formula>$T5=1</formula>
    </cfRule>
  </conditionalFormatting>
  <conditionalFormatting sqref="F6:F31">
    <cfRule type="expression" dxfId="80" priority="1126" stopIfTrue="1">
      <formula>$U6=1</formula>
    </cfRule>
  </conditionalFormatting>
  <conditionalFormatting sqref="F7:F32">
    <cfRule type="expression" dxfId="79" priority="1129" stopIfTrue="1">
      <formula>$U6=1</formula>
    </cfRule>
  </conditionalFormatting>
  <conditionalFormatting sqref="F32:F51">
    <cfRule type="expression" dxfId="78" priority="800" stopIfTrue="1">
      <formula>$T32=1</formula>
    </cfRule>
  </conditionalFormatting>
  <conditionalFormatting sqref="F33:F51">
    <cfRule type="expression" dxfId="77" priority="801" stopIfTrue="1">
      <formula>$T32=1</formula>
    </cfRule>
  </conditionalFormatting>
  <conditionalFormatting sqref="F40:F51">
    <cfRule type="expression" dxfId="76" priority="807" stopIfTrue="1">
      <formula>$T39=1</formula>
    </cfRule>
    <cfRule type="expression" dxfId="75" priority="806" stopIfTrue="1">
      <formula>$T40=1</formula>
    </cfRule>
  </conditionalFormatting>
  <conditionalFormatting sqref="G59:H63 J59:J63 A59:D87">
    <cfRule type="expression" dxfId="74" priority="9">
      <formula>$F59="TERMINADA"</formula>
    </cfRule>
    <cfRule type="expression" dxfId="73" priority="10">
      <formula>$F59="ANULADA"</formula>
    </cfRule>
  </conditionalFormatting>
  <conditionalFormatting sqref="H5">
    <cfRule type="expression" dxfId="72" priority="35" stopIfTrue="1">
      <formula>#REF!=1</formula>
    </cfRule>
  </conditionalFormatting>
  <conditionalFormatting sqref="H6">
    <cfRule type="expression" dxfId="71" priority="935" stopIfTrue="1">
      <formula>$T5=1</formula>
    </cfRule>
  </conditionalFormatting>
  <conditionalFormatting sqref="H6:H26">
    <cfRule type="expression" dxfId="70" priority="36" stopIfTrue="1">
      <formula>$U6=1</formula>
    </cfRule>
  </conditionalFormatting>
  <conditionalFormatting sqref="H7:H21 H23:H26">
    <cfRule type="expression" dxfId="69" priority="37" stopIfTrue="1">
      <formula>$U6=1</formula>
    </cfRule>
  </conditionalFormatting>
  <conditionalFormatting sqref="H22">
    <cfRule type="expression" dxfId="68" priority="38" stopIfTrue="1">
      <formula>#REF!=1</formula>
    </cfRule>
  </conditionalFormatting>
  <conditionalFormatting sqref="I6:I7">
    <cfRule type="expression" dxfId="67" priority="16" stopIfTrue="1">
      <formula>#REF!=1</formula>
    </cfRule>
  </conditionalFormatting>
  <conditionalFormatting sqref="I59">
    <cfRule type="expression" dxfId="66" priority="28">
      <formula>#REF!="ANULADA"</formula>
    </cfRule>
    <cfRule type="expression" dxfId="65" priority="27">
      <formula>#REF!="TERMINADA"</formula>
    </cfRule>
  </conditionalFormatting>
  <conditionalFormatting sqref="I60">
    <cfRule type="expression" dxfId="64" priority="21">
      <formula>$F44="TERMINADA"</formula>
    </cfRule>
    <cfRule type="expression" dxfId="63" priority="22">
      <formula>$F44="ANULADA"</formula>
    </cfRule>
  </conditionalFormatting>
  <conditionalFormatting sqref="I61:I63 A88:D92">
    <cfRule type="expression" dxfId="62" priority="34">
      <formula>$F46="ANULADA"</formula>
    </cfRule>
    <cfRule type="expression" dxfId="61" priority="33">
      <formula>$F46="TERMINADA"</formula>
    </cfRule>
  </conditionalFormatting>
  <conditionalFormatting sqref="K6:L7">
    <cfRule type="expression" dxfId="60" priority="13" stopIfTrue="1">
      <formula>#REF!=1</formula>
    </cfRule>
  </conditionalFormatting>
  <conditionalFormatting sqref="K8:L29">
    <cfRule type="expression" dxfId="59" priority="12" stopIfTrue="1">
      <formula>$T7=1</formula>
    </cfRule>
    <cfRule type="expression" dxfId="58" priority="11" stopIfTrue="1">
      <formula>$T8=1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7"/>
  <sheetViews>
    <sheetView zoomScale="75" workbookViewId="0">
      <selection activeCell="H25" sqref="H25"/>
    </sheetView>
  </sheetViews>
  <sheetFormatPr baseColWidth="10" defaultRowHeight="16" x14ac:dyDescent="0.2"/>
  <cols>
    <col min="1" max="1" width="33.5" bestFit="1" customWidth="1"/>
    <col min="4" max="4" width="14.6640625" customWidth="1"/>
    <col min="6" max="6" width="15.6640625" customWidth="1"/>
    <col min="7" max="7" width="17.1640625" customWidth="1"/>
    <col min="9" max="9" width="21.83203125" customWidth="1"/>
  </cols>
  <sheetData>
    <row r="1" spans="1:10" x14ac:dyDescent="0.2">
      <c r="A1" s="296" t="s">
        <v>1</v>
      </c>
      <c r="B1" s="296" t="s">
        <v>2</v>
      </c>
      <c r="C1" s="296" t="s">
        <v>3</v>
      </c>
      <c r="D1" s="296" t="s">
        <v>122</v>
      </c>
      <c r="E1" s="296" t="s">
        <v>5</v>
      </c>
      <c r="F1" s="296" t="s">
        <v>123</v>
      </c>
      <c r="G1" s="296" t="s">
        <v>7</v>
      </c>
    </row>
    <row r="2" spans="1:10" x14ac:dyDescent="0.2">
      <c r="A2" s="296" t="s">
        <v>10</v>
      </c>
      <c r="B2" s="296">
        <v>4</v>
      </c>
      <c r="C2" s="296">
        <v>4</v>
      </c>
      <c r="D2" s="297">
        <v>140824.51208795002</v>
      </c>
      <c r="E2" s="296">
        <v>0</v>
      </c>
      <c r="F2" s="297">
        <v>0</v>
      </c>
      <c r="G2" s="297">
        <v>174469.28677022</v>
      </c>
    </row>
    <row r="3" spans="1:10" x14ac:dyDescent="0.2">
      <c r="A3" s="296" t="s">
        <v>96</v>
      </c>
      <c r="B3" s="296">
        <v>4.5</v>
      </c>
      <c r="C3" s="296">
        <v>3</v>
      </c>
      <c r="D3" s="297">
        <v>42653.404876200599</v>
      </c>
      <c r="E3" s="296">
        <v>1.5</v>
      </c>
      <c r="F3" s="297">
        <v>70335.92</v>
      </c>
      <c r="G3" s="297">
        <v>112989.3248762006</v>
      </c>
      <c r="I3" s="1" t="s">
        <v>56</v>
      </c>
    </row>
    <row r="4" spans="1:10" x14ac:dyDescent="0.2">
      <c r="A4" s="296" t="s">
        <v>11</v>
      </c>
      <c r="B4" s="296">
        <v>2</v>
      </c>
      <c r="C4" s="296">
        <v>2</v>
      </c>
      <c r="D4" s="297">
        <v>71108.243923900009</v>
      </c>
      <c r="E4" s="296">
        <v>0</v>
      </c>
      <c r="F4" s="297">
        <v>0</v>
      </c>
      <c r="G4" s="297">
        <v>71108.243923900009</v>
      </c>
      <c r="I4" s="106" t="s">
        <v>132</v>
      </c>
      <c r="J4" t="s">
        <v>233</v>
      </c>
    </row>
    <row r="5" spans="1:10" x14ac:dyDescent="0.2">
      <c r="A5" s="296" t="s">
        <v>14</v>
      </c>
      <c r="B5" s="296">
        <v>1.5</v>
      </c>
      <c r="C5" s="296">
        <v>1</v>
      </c>
      <c r="D5" s="297">
        <v>11237.051423639999</v>
      </c>
      <c r="E5" s="296">
        <v>0.5</v>
      </c>
      <c r="F5" s="297">
        <v>56328.79</v>
      </c>
      <c r="G5" s="297">
        <v>67565.841423639999</v>
      </c>
      <c r="I5" s="106" t="s">
        <v>134</v>
      </c>
      <c r="J5" t="s">
        <v>232</v>
      </c>
    </row>
    <row r="6" spans="1:10" x14ac:dyDescent="0.2">
      <c r="A6" s="296" t="s">
        <v>13</v>
      </c>
      <c r="B6" s="296">
        <v>2.5</v>
      </c>
      <c r="C6" s="296">
        <v>2</v>
      </c>
      <c r="D6" s="297">
        <v>45574.188406710004</v>
      </c>
      <c r="E6" s="296">
        <v>0.5</v>
      </c>
      <c r="F6" s="297">
        <v>14673.25</v>
      </c>
      <c r="G6" s="297">
        <v>60247.438406710004</v>
      </c>
      <c r="I6" s="106" t="s">
        <v>136</v>
      </c>
      <c r="J6" t="s">
        <v>180</v>
      </c>
    </row>
    <row r="7" spans="1:10" x14ac:dyDescent="0.2">
      <c r="A7" s="296" t="s">
        <v>35</v>
      </c>
      <c r="B7" s="296">
        <v>2</v>
      </c>
      <c r="C7" s="296">
        <v>2</v>
      </c>
      <c r="D7" s="297">
        <v>36662.53761354</v>
      </c>
      <c r="E7" s="296">
        <v>0</v>
      </c>
      <c r="F7" s="297">
        <v>0</v>
      </c>
      <c r="G7" s="297">
        <v>36662.53761354</v>
      </c>
      <c r="I7" s="106" t="s">
        <v>137</v>
      </c>
      <c r="J7" t="s">
        <v>232</v>
      </c>
    </row>
    <row r="8" spans="1:10" x14ac:dyDescent="0.2">
      <c r="A8" s="296" t="s">
        <v>186</v>
      </c>
      <c r="B8" s="296">
        <v>1</v>
      </c>
      <c r="C8" s="296">
        <v>1</v>
      </c>
      <c r="D8" s="297">
        <v>35728.187603849998</v>
      </c>
      <c r="E8" s="296">
        <v>0</v>
      </c>
      <c r="F8" s="297">
        <v>0</v>
      </c>
      <c r="G8" s="297">
        <v>35728.187603849998</v>
      </c>
      <c r="I8" s="106" t="s">
        <v>138</v>
      </c>
      <c r="J8" t="s">
        <v>235</v>
      </c>
    </row>
    <row r="9" spans="1:10" x14ac:dyDescent="0.2">
      <c r="A9" s="296" t="s">
        <v>110</v>
      </c>
      <c r="B9" s="296">
        <v>1</v>
      </c>
      <c r="C9" s="296">
        <v>1</v>
      </c>
      <c r="D9" s="297">
        <v>30547.31</v>
      </c>
      <c r="E9" s="296">
        <v>0</v>
      </c>
      <c r="F9" s="297">
        <v>0</v>
      </c>
      <c r="G9" s="297">
        <v>30547.31</v>
      </c>
      <c r="I9" s="106" t="s">
        <v>140</v>
      </c>
      <c r="J9" t="s">
        <v>234</v>
      </c>
    </row>
    <row r="10" spans="1:10" x14ac:dyDescent="0.2">
      <c r="A10" s="296" t="s">
        <v>130</v>
      </c>
      <c r="B10" s="296">
        <v>2</v>
      </c>
      <c r="C10" s="296">
        <v>2</v>
      </c>
      <c r="D10" s="297">
        <v>29345.32</v>
      </c>
      <c r="E10" s="296">
        <v>0</v>
      </c>
      <c r="F10" s="297">
        <v>0</v>
      </c>
      <c r="G10" s="297">
        <v>29345.32</v>
      </c>
      <c r="I10" s="106" t="s">
        <v>141</v>
      </c>
      <c r="J10" t="s">
        <v>235</v>
      </c>
    </row>
    <row r="11" spans="1:10" x14ac:dyDescent="0.2">
      <c r="A11" s="296" t="s">
        <v>30</v>
      </c>
      <c r="B11" s="296">
        <v>2</v>
      </c>
      <c r="C11" s="296">
        <v>2</v>
      </c>
      <c r="D11" s="297">
        <v>25711.745885940003</v>
      </c>
      <c r="E11" s="296">
        <v>0</v>
      </c>
      <c r="F11" s="297">
        <v>0</v>
      </c>
      <c r="G11" s="297">
        <v>25711.745885940003</v>
      </c>
      <c r="I11" s="265" t="s">
        <v>143</v>
      </c>
      <c r="J11" t="s">
        <v>234</v>
      </c>
    </row>
    <row r="12" spans="1:10" x14ac:dyDescent="0.2">
      <c r="A12" s="296" t="s">
        <v>85</v>
      </c>
      <c r="B12" s="296">
        <v>1.5</v>
      </c>
      <c r="C12" s="296">
        <v>1</v>
      </c>
      <c r="D12" s="297">
        <v>22666.414424632498</v>
      </c>
      <c r="E12" s="296">
        <v>0.5</v>
      </c>
      <c r="F12" s="297">
        <v>2724.89</v>
      </c>
      <c r="G12" s="297">
        <v>25391.304424632497</v>
      </c>
    </row>
    <row r="13" spans="1:10" x14ac:dyDescent="0.2">
      <c r="A13" s="296" t="s">
        <v>170</v>
      </c>
      <c r="B13" s="296">
        <v>2</v>
      </c>
      <c r="C13" s="296">
        <v>2</v>
      </c>
      <c r="D13" s="297">
        <v>20920.490000000002</v>
      </c>
      <c r="E13" s="296">
        <v>0</v>
      </c>
      <c r="F13" s="297">
        <v>0</v>
      </c>
      <c r="G13" s="297">
        <v>20920.490000000002</v>
      </c>
    </row>
    <row r="14" spans="1:10" x14ac:dyDescent="0.2">
      <c r="A14" s="296" t="s">
        <v>46</v>
      </c>
      <c r="B14" s="296">
        <v>0.5</v>
      </c>
      <c r="C14" s="296">
        <v>0</v>
      </c>
      <c r="D14" s="297">
        <v>0</v>
      </c>
      <c r="E14" s="296">
        <v>0.5</v>
      </c>
      <c r="F14" s="297">
        <v>19825.63</v>
      </c>
      <c r="G14" s="297">
        <v>19825.63</v>
      </c>
    </row>
    <row r="15" spans="1:10" x14ac:dyDescent="0.2">
      <c r="A15" s="296" t="s">
        <v>225</v>
      </c>
      <c r="B15" s="296">
        <v>1</v>
      </c>
      <c r="C15" s="296">
        <v>1</v>
      </c>
      <c r="D15" s="297">
        <v>19035.93761868</v>
      </c>
      <c r="E15" s="296">
        <v>0</v>
      </c>
      <c r="F15" s="297">
        <v>0</v>
      </c>
      <c r="G15" s="297">
        <v>19035.93761868</v>
      </c>
    </row>
    <row r="16" spans="1:10" x14ac:dyDescent="0.2">
      <c r="A16" s="296" t="s">
        <v>27</v>
      </c>
      <c r="B16" s="296">
        <v>1</v>
      </c>
      <c r="C16" s="296">
        <v>1</v>
      </c>
      <c r="D16" s="297">
        <v>17579.405999999999</v>
      </c>
      <c r="E16" s="296">
        <v>0</v>
      </c>
      <c r="F16" s="297">
        <v>0</v>
      </c>
      <c r="G16" s="297">
        <v>17579.405999999999</v>
      </c>
    </row>
    <row r="17" spans="1:7" x14ac:dyDescent="0.2">
      <c r="A17" s="296" t="s">
        <v>49</v>
      </c>
      <c r="B17" s="296">
        <v>0.5</v>
      </c>
      <c r="C17" s="296">
        <v>0</v>
      </c>
      <c r="D17" s="297">
        <v>0</v>
      </c>
      <c r="E17" s="296">
        <v>0.5</v>
      </c>
      <c r="F17" s="297">
        <v>6304.46</v>
      </c>
      <c r="G17" s="297">
        <v>6304.46</v>
      </c>
    </row>
    <row r="18" spans="1:7" x14ac:dyDescent="0.2">
      <c r="A18" s="296" t="s">
        <v>32</v>
      </c>
      <c r="B18" s="296">
        <v>1</v>
      </c>
      <c r="C18" s="296">
        <v>1</v>
      </c>
      <c r="D18" s="297">
        <v>5471.0236960799994</v>
      </c>
      <c r="E18" s="296">
        <v>0</v>
      </c>
      <c r="F18" s="297">
        <v>0</v>
      </c>
      <c r="G18" s="297">
        <v>5471.0236960799994</v>
      </c>
    </row>
    <row r="19" spans="1:7" x14ac:dyDescent="0.2">
      <c r="A19" s="296" t="s">
        <v>224</v>
      </c>
      <c r="B19" s="296">
        <v>3</v>
      </c>
      <c r="C19" s="296">
        <v>3</v>
      </c>
      <c r="D19" s="297">
        <v>4872.9399999999996</v>
      </c>
      <c r="E19" s="296">
        <v>0</v>
      </c>
      <c r="F19" s="297">
        <v>0</v>
      </c>
      <c r="G19" s="297">
        <v>4872.9399999999996</v>
      </c>
    </row>
    <row r="20" spans="1:7" x14ac:dyDescent="0.2">
      <c r="A20" s="296" t="s">
        <v>47</v>
      </c>
      <c r="B20" s="296">
        <v>1</v>
      </c>
      <c r="C20" s="296">
        <v>1</v>
      </c>
      <c r="D20" s="297">
        <v>2522.6131549205998</v>
      </c>
      <c r="E20" s="296">
        <v>0</v>
      </c>
      <c r="F20" s="297">
        <v>0</v>
      </c>
      <c r="G20" s="297">
        <v>2522.6131549205998</v>
      </c>
    </row>
    <row r="21" spans="1:7" x14ac:dyDescent="0.2">
      <c r="A21" s="296" t="s">
        <v>97</v>
      </c>
      <c r="B21" s="296">
        <v>1</v>
      </c>
      <c r="C21" s="296">
        <v>1</v>
      </c>
      <c r="D21" s="297">
        <v>2456.67</v>
      </c>
      <c r="E21" s="296">
        <v>0</v>
      </c>
      <c r="F21" s="297">
        <v>0</v>
      </c>
      <c r="G21" s="297">
        <v>2456.67</v>
      </c>
    </row>
    <row r="22" spans="1:7" x14ac:dyDescent="0.2">
      <c r="A22" s="296" t="s">
        <v>12</v>
      </c>
      <c r="B22" s="296">
        <v>1</v>
      </c>
      <c r="C22" s="296">
        <v>1</v>
      </c>
      <c r="D22" s="297">
        <v>1603.01</v>
      </c>
      <c r="E22" s="296">
        <v>0</v>
      </c>
      <c r="F22" s="297">
        <v>0</v>
      </c>
      <c r="G22" s="297">
        <v>1603.01</v>
      </c>
    </row>
    <row r="23" spans="1:7" x14ac:dyDescent="0.2">
      <c r="A23" s="296" t="s">
        <v>76</v>
      </c>
      <c r="B23" s="296">
        <v>0</v>
      </c>
      <c r="C23" s="296">
        <v>0</v>
      </c>
      <c r="D23" s="297">
        <v>0</v>
      </c>
      <c r="E23" s="296">
        <v>0</v>
      </c>
      <c r="F23" s="297">
        <v>0</v>
      </c>
      <c r="G23" s="297">
        <v>0</v>
      </c>
    </row>
    <row r="24" spans="1:7" x14ac:dyDescent="0.2">
      <c r="A24" s="296" t="s">
        <v>20</v>
      </c>
      <c r="B24" s="296">
        <v>0</v>
      </c>
      <c r="C24" s="296">
        <v>0</v>
      </c>
      <c r="D24" s="297">
        <v>0</v>
      </c>
      <c r="E24" s="296">
        <v>0</v>
      </c>
      <c r="F24" s="297">
        <v>0</v>
      </c>
      <c r="G24" s="297">
        <v>0</v>
      </c>
    </row>
    <row r="25" spans="1:7" x14ac:dyDescent="0.2">
      <c r="A25" s="296" t="s">
        <v>48</v>
      </c>
      <c r="B25" s="296">
        <v>0</v>
      </c>
      <c r="C25" s="296">
        <v>0</v>
      </c>
      <c r="D25" s="297">
        <v>0</v>
      </c>
      <c r="E25" s="296">
        <v>0</v>
      </c>
      <c r="F25" s="297">
        <v>0</v>
      </c>
      <c r="G25" s="297">
        <v>0</v>
      </c>
    </row>
    <row r="26" spans="1:7" x14ac:dyDescent="0.2">
      <c r="A26" s="296" t="s">
        <v>78</v>
      </c>
      <c r="B26" s="296">
        <v>0</v>
      </c>
      <c r="C26" s="296">
        <v>0</v>
      </c>
      <c r="D26" s="297">
        <v>0</v>
      </c>
      <c r="E26" s="296">
        <v>0</v>
      </c>
      <c r="F26" s="297">
        <v>0</v>
      </c>
      <c r="G26" s="297">
        <v>0</v>
      </c>
    </row>
    <row r="27" spans="1:7" x14ac:dyDescent="0.2">
      <c r="A27" s="296" t="s">
        <v>38</v>
      </c>
      <c r="B27" s="296">
        <v>0</v>
      </c>
      <c r="C27" s="296">
        <v>0</v>
      </c>
      <c r="D27" s="297">
        <v>0</v>
      </c>
      <c r="E27" s="296">
        <v>0</v>
      </c>
      <c r="F27" s="297">
        <v>0</v>
      </c>
      <c r="G27" s="297">
        <v>0</v>
      </c>
    </row>
    <row r="28" spans="1:7" x14ac:dyDescent="0.2">
      <c r="A28" s="296" t="s">
        <v>18</v>
      </c>
      <c r="B28" s="296">
        <v>0</v>
      </c>
      <c r="C28" s="296">
        <v>0</v>
      </c>
      <c r="D28" s="297">
        <v>0</v>
      </c>
      <c r="E28" s="296">
        <v>0</v>
      </c>
      <c r="F28" s="297">
        <v>0</v>
      </c>
      <c r="G28" s="297">
        <v>0</v>
      </c>
    </row>
    <row r="29" spans="1:7" x14ac:dyDescent="0.2">
      <c r="A29" s="296" t="s">
        <v>124</v>
      </c>
      <c r="B29" s="296">
        <v>0</v>
      </c>
      <c r="C29" s="296">
        <v>0</v>
      </c>
      <c r="D29" s="297">
        <v>0</v>
      </c>
      <c r="E29" s="296">
        <v>0</v>
      </c>
      <c r="F29" s="297">
        <v>0</v>
      </c>
      <c r="G29" s="297">
        <v>0</v>
      </c>
    </row>
    <row r="30" spans="1:7" x14ac:dyDescent="0.2">
      <c r="A30" s="296" t="s">
        <v>98</v>
      </c>
      <c r="B30" s="296">
        <v>0</v>
      </c>
      <c r="C30" s="296">
        <v>0</v>
      </c>
      <c r="D30" s="297">
        <v>0</v>
      </c>
      <c r="E30" s="296">
        <v>0</v>
      </c>
      <c r="F30" s="297">
        <v>0</v>
      </c>
      <c r="G30" s="297">
        <v>0</v>
      </c>
    </row>
    <row r="31" spans="1:7" x14ac:dyDescent="0.2">
      <c r="A31" s="296" t="s">
        <v>17</v>
      </c>
      <c r="B31" s="296">
        <v>0</v>
      </c>
      <c r="C31" s="296">
        <v>0</v>
      </c>
      <c r="D31" s="297">
        <v>0</v>
      </c>
      <c r="E31" s="296">
        <v>0</v>
      </c>
      <c r="F31" s="297">
        <v>0</v>
      </c>
      <c r="G31" s="297">
        <v>0</v>
      </c>
    </row>
    <row r="32" spans="1:7" x14ac:dyDescent="0.2">
      <c r="A32" s="296" t="s">
        <v>41</v>
      </c>
      <c r="B32" s="296">
        <v>0</v>
      </c>
      <c r="C32" s="296">
        <v>0</v>
      </c>
      <c r="D32" s="297">
        <v>0</v>
      </c>
      <c r="E32" s="296">
        <v>0</v>
      </c>
      <c r="F32" s="297">
        <v>0</v>
      </c>
      <c r="G32" s="297">
        <v>0</v>
      </c>
    </row>
    <row r="33" spans="1:7" x14ac:dyDescent="0.2">
      <c r="A33" s="296" t="s">
        <v>37</v>
      </c>
      <c r="B33" s="296">
        <v>0</v>
      </c>
      <c r="C33" s="296">
        <v>0</v>
      </c>
      <c r="D33" s="297">
        <v>0</v>
      </c>
      <c r="E33" s="296">
        <v>0</v>
      </c>
      <c r="F33" s="297">
        <v>0</v>
      </c>
      <c r="G33" s="297">
        <v>0</v>
      </c>
    </row>
    <row r="34" spans="1:7" x14ac:dyDescent="0.2">
      <c r="A34" s="296" t="s">
        <v>25</v>
      </c>
      <c r="B34" s="296">
        <v>0</v>
      </c>
      <c r="C34" s="296">
        <v>0</v>
      </c>
      <c r="D34" s="297">
        <v>0</v>
      </c>
      <c r="E34" s="296">
        <v>0</v>
      </c>
      <c r="F34" s="297">
        <v>0</v>
      </c>
      <c r="G34" s="297">
        <v>0</v>
      </c>
    </row>
    <row r="35" spans="1:7" x14ac:dyDescent="0.2">
      <c r="A35" s="296" t="s">
        <v>28</v>
      </c>
      <c r="B35" s="296">
        <v>0</v>
      </c>
      <c r="C35" s="296">
        <v>0</v>
      </c>
      <c r="D35" s="297">
        <v>0</v>
      </c>
      <c r="E35" s="296">
        <v>0</v>
      </c>
      <c r="F35" s="297">
        <v>0</v>
      </c>
      <c r="G35" s="297">
        <v>0</v>
      </c>
    </row>
    <row r="36" spans="1:7" x14ac:dyDescent="0.2">
      <c r="A36" s="296" t="s">
        <v>71</v>
      </c>
      <c r="B36" s="296">
        <v>0</v>
      </c>
      <c r="C36" s="296">
        <v>0</v>
      </c>
      <c r="D36" s="297">
        <v>0</v>
      </c>
      <c r="E36" s="296">
        <v>0</v>
      </c>
      <c r="F36" s="297">
        <v>0</v>
      </c>
      <c r="G36" s="297">
        <v>0</v>
      </c>
    </row>
    <row r="37" spans="1:7" x14ac:dyDescent="0.2">
      <c r="A37" s="296" t="s">
        <v>29</v>
      </c>
      <c r="B37" s="296">
        <v>0</v>
      </c>
      <c r="C37" s="296">
        <v>0</v>
      </c>
      <c r="D37" s="297">
        <v>0</v>
      </c>
      <c r="E37" s="296">
        <v>0</v>
      </c>
      <c r="F37" s="297">
        <v>0</v>
      </c>
      <c r="G37" s="297">
        <v>0</v>
      </c>
    </row>
    <row r="38" spans="1:7" x14ac:dyDescent="0.2">
      <c r="A38" s="296" t="s">
        <v>22</v>
      </c>
      <c r="B38" s="296">
        <v>0</v>
      </c>
      <c r="C38" s="296">
        <v>0</v>
      </c>
      <c r="D38" s="297">
        <v>0</v>
      </c>
      <c r="E38" s="296">
        <v>0</v>
      </c>
      <c r="F38" s="297">
        <v>0</v>
      </c>
      <c r="G38" s="297">
        <v>0</v>
      </c>
    </row>
    <row r="39" spans="1:7" x14ac:dyDescent="0.2">
      <c r="A39" s="296" t="s">
        <v>105</v>
      </c>
      <c r="B39" s="296">
        <v>0</v>
      </c>
      <c r="C39" s="296">
        <v>0</v>
      </c>
      <c r="D39" s="297">
        <v>0</v>
      </c>
      <c r="E39" s="296">
        <v>0</v>
      </c>
      <c r="F39" s="297">
        <v>0</v>
      </c>
      <c r="G39" s="297">
        <v>0</v>
      </c>
    </row>
    <row r="40" spans="1:7" x14ac:dyDescent="0.2">
      <c r="A40" s="296" t="s">
        <v>24</v>
      </c>
      <c r="B40" s="296">
        <v>0</v>
      </c>
      <c r="C40" s="296">
        <v>0</v>
      </c>
      <c r="D40" s="297">
        <v>0</v>
      </c>
      <c r="E40" s="296">
        <v>0</v>
      </c>
      <c r="F40" s="297">
        <v>0</v>
      </c>
      <c r="G40" s="297">
        <v>0</v>
      </c>
    </row>
    <row r="41" spans="1:7" x14ac:dyDescent="0.2">
      <c r="A41" s="296" t="s">
        <v>116</v>
      </c>
      <c r="B41" s="296">
        <v>0</v>
      </c>
      <c r="C41" s="296">
        <v>0</v>
      </c>
      <c r="D41" s="297">
        <v>0</v>
      </c>
      <c r="E41" s="296">
        <v>0</v>
      </c>
      <c r="F41" s="297">
        <v>0</v>
      </c>
      <c r="G41" s="297">
        <v>0</v>
      </c>
    </row>
    <row r="42" spans="1:7" x14ac:dyDescent="0.2">
      <c r="A42" s="296" t="s">
        <v>43</v>
      </c>
      <c r="B42" s="296">
        <v>0</v>
      </c>
      <c r="C42" s="296">
        <v>0</v>
      </c>
      <c r="D42" s="297">
        <v>0</v>
      </c>
      <c r="E42" s="296">
        <v>0</v>
      </c>
      <c r="F42" s="297">
        <v>0</v>
      </c>
      <c r="G42" s="297">
        <v>0</v>
      </c>
    </row>
    <row r="43" spans="1:7" x14ac:dyDescent="0.2">
      <c r="A43" s="296" t="s">
        <v>19</v>
      </c>
      <c r="B43" s="296">
        <v>0</v>
      </c>
      <c r="C43" s="296">
        <v>0</v>
      </c>
      <c r="D43" s="297">
        <v>0</v>
      </c>
      <c r="E43" s="296">
        <v>0</v>
      </c>
      <c r="F43" s="297">
        <v>0</v>
      </c>
      <c r="G43" s="297">
        <v>0</v>
      </c>
    </row>
    <row r="44" spans="1:7" x14ac:dyDescent="0.2">
      <c r="A44" s="296" t="s">
        <v>72</v>
      </c>
      <c r="B44" s="296">
        <v>0</v>
      </c>
      <c r="C44" s="296">
        <v>0</v>
      </c>
      <c r="D44" s="297">
        <v>0</v>
      </c>
      <c r="E44" s="296">
        <v>0</v>
      </c>
      <c r="F44" s="297">
        <v>0</v>
      </c>
      <c r="G44" s="297">
        <v>0</v>
      </c>
    </row>
    <row r="45" spans="1:7" x14ac:dyDescent="0.2">
      <c r="A45" s="296" t="s">
        <v>131</v>
      </c>
      <c r="B45" s="296">
        <v>0</v>
      </c>
      <c r="C45" s="296">
        <v>0</v>
      </c>
      <c r="D45" s="297">
        <v>0</v>
      </c>
      <c r="E45" s="296">
        <v>0</v>
      </c>
      <c r="F45" s="297">
        <v>0</v>
      </c>
      <c r="G45" s="297">
        <v>0</v>
      </c>
    </row>
    <row r="46" spans="1:7" x14ac:dyDescent="0.2">
      <c r="A46" s="296" t="s">
        <v>26</v>
      </c>
      <c r="B46" s="296">
        <v>0</v>
      </c>
      <c r="C46" s="296">
        <v>0</v>
      </c>
      <c r="D46" s="297">
        <v>0</v>
      </c>
      <c r="E46" s="296">
        <v>0</v>
      </c>
      <c r="F46" s="297">
        <v>0</v>
      </c>
      <c r="G46" s="297">
        <v>0</v>
      </c>
    </row>
    <row r="47" spans="1:7" x14ac:dyDescent="0.2">
      <c r="A47" s="296" t="s">
        <v>31</v>
      </c>
      <c r="B47" s="296">
        <v>0</v>
      </c>
      <c r="C47" s="296">
        <v>0</v>
      </c>
      <c r="D47" s="297">
        <v>0</v>
      </c>
      <c r="E47" s="296">
        <v>0</v>
      </c>
      <c r="F47" s="297">
        <v>0</v>
      </c>
      <c r="G47" s="297">
        <v>0</v>
      </c>
    </row>
  </sheetData>
  <autoFilter ref="A1:G47" xr:uid="{00000000-0001-0000-0200-000000000000}">
    <sortState xmlns:xlrd2="http://schemas.microsoft.com/office/spreadsheetml/2017/richdata2" ref="A2:G47">
      <sortCondition descending="1" ref="G1:G47"/>
    </sortState>
  </autoFilter>
  <pageMargins left="0.7" right="0.7" top="0.75" bottom="0.75" header="0.3" footer="0.3"/>
  <ignoredErrors>
    <ignoredError sqref="A1:G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6CAAD-F4AA-0E48-A33F-796F7923F0A9}">
  <dimension ref="A4:O105"/>
  <sheetViews>
    <sheetView showGridLines="0" topLeftCell="A49" zoomScale="67" zoomScaleNormal="131" workbookViewId="0">
      <selection activeCell="E8" sqref="E8"/>
    </sheetView>
  </sheetViews>
  <sheetFormatPr baseColWidth="10" defaultColWidth="10.6640625" defaultRowHeight="16" x14ac:dyDescent="0.2"/>
  <cols>
    <col min="1" max="1" width="44.83203125" style="1" customWidth="1"/>
    <col min="2" max="2" width="21.33203125" style="1" customWidth="1"/>
    <col min="3" max="3" width="14.5" style="1" customWidth="1"/>
    <col min="4" max="4" width="13.1640625" style="51" customWidth="1"/>
    <col min="5" max="5" width="12.5" style="52" bestFit="1" customWidth="1"/>
    <col min="6" max="6" width="12.5" style="1" customWidth="1"/>
    <col min="7" max="7" width="14" style="53" customWidth="1"/>
    <col min="8" max="8" width="13" style="1" customWidth="1"/>
    <col min="9" max="9" width="27.1640625" style="1" customWidth="1"/>
    <col min="10" max="10" width="10.6640625" style="1" customWidth="1"/>
    <col min="11" max="11" width="15" style="1" customWidth="1"/>
    <col min="12" max="12" width="12.6640625" style="1" customWidth="1"/>
    <col min="13" max="13" width="22.1640625" style="1" customWidth="1"/>
    <col min="14" max="14" width="26.6640625" style="1" customWidth="1"/>
    <col min="15" max="15" width="10.6640625" style="1"/>
    <col min="16" max="16" width="33.6640625" style="1" customWidth="1"/>
    <col min="17" max="16384" width="10.6640625" style="1"/>
  </cols>
  <sheetData>
    <row r="4" spans="1:15" x14ac:dyDescent="0.15">
      <c r="A4" s="320" t="s">
        <v>239</v>
      </c>
      <c r="B4" s="320"/>
      <c r="C4" s="320"/>
      <c r="D4" s="320"/>
      <c r="E4" s="320"/>
      <c r="F4" s="320"/>
      <c r="G4" s="320"/>
      <c r="H4" s="320"/>
    </row>
    <row r="5" spans="1:15" ht="28" x14ac:dyDescent="0.15">
      <c r="A5" s="2" t="s">
        <v>1</v>
      </c>
      <c r="B5" s="3" t="s">
        <v>2</v>
      </c>
      <c r="C5" s="3" t="s">
        <v>3</v>
      </c>
      <c r="D5" s="4" t="s">
        <v>122</v>
      </c>
      <c r="E5" s="5" t="s">
        <v>5</v>
      </c>
      <c r="F5" s="3" t="s">
        <v>123</v>
      </c>
      <c r="G5" s="6" t="s">
        <v>7</v>
      </c>
      <c r="H5" s="112"/>
    </row>
    <row r="6" spans="1:15" ht="13" x14ac:dyDescent="0.15">
      <c r="A6" s="300" t="s">
        <v>76</v>
      </c>
      <c r="B6" s="250">
        <f>SUM(Tabla936173055235763909354663447734123[[#This Row],[Vida]],Tabla936173055235763909354663447734123[[#This Row],[Gmm]])</f>
        <v>3</v>
      </c>
      <c r="C6" s="113">
        <v>2</v>
      </c>
      <c r="D6" s="103">
        <v>11380.54</v>
      </c>
      <c r="E6" s="109">
        <f>_xlfn.XLOOKUP(Tabla936173055235763909354663447734123[[#This Row],[Asesor]],Tabla4851894224[Columna1],Tabla4851894224[Columna12],0)</f>
        <v>1</v>
      </c>
      <c r="F6" s="274">
        <f>_xlfn.XLOOKUP(Tabla936173055235763909354663447734123[[#This Row],[Asesor]],Tabla4851894224[Columna1],Tabla4851894224[Columna3],0)</f>
        <v>182186.96</v>
      </c>
      <c r="G6" s="254">
        <f>SUM(Tabla936173055235763909354663447734123[[#This Row],[Prima Pagada vida]],Tabla936173055235763909354663447734123[[#This Row],[Prima Pagada gmm]])</f>
        <v>193567.5</v>
      </c>
      <c r="H6" s="112"/>
      <c r="I6" s="112" t="s">
        <v>177</v>
      </c>
      <c r="J6" s="112" t="s">
        <v>223</v>
      </c>
      <c r="K6" s="113" t="s">
        <v>178</v>
      </c>
      <c r="L6" s="103" t="s">
        <v>179</v>
      </c>
      <c r="N6" s="1" t="s">
        <v>56</v>
      </c>
    </row>
    <row r="7" spans="1:15" ht="13" x14ac:dyDescent="0.15">
      <c r="A7" s="300" t="s">
        <v>43</v>
      </c>
      <c r="B7" s="250">
        <f>SUM(Tabla936173055235763909354663447734123[[#This Row],[Vida]],Tabla936173055235763909354663447734123[[#This Row],[Gmm]])</f>
        <v>2.5</v>
      </c>
      <c r="C7" s="113">
        <v>0</v>
      </c>
      <c r="D7" s="103">
        <v>0</v>
      </c>
      <c r="E7" s="109">
        <f>_xlfn.XLOOKUP(Tabla936173055235763909354663447734123[[#This Row],[Asesor]],Tabla4851894224[Columna1],Tabla4851894224[Columna12],0)</f>
        <v>2.5</v>
      </c>
      <c r="F7" s="274">
        <f>_xlfn.XLOOKUP(Tabla936173055235763909354663447734123[[#This Row],[Asesor]],Tabla4851894224[Columna1],Tabla4851894224[Columna3],0)</f>
        <v>54265.49</v>
      </c>
      <c r="G7" s="254">
        <f>SUM(Tabla936173055235763909354663447734123[[#This Row],[Prima Pagada vida]],Tabla936173055235763909354663447734123[[#This Row],[Prima Pagada gmm]])</f>
        <v>54265.49</v>
      </c>
      <c r="H7" s="112"/>
      <c r="I7" s="300" t="s">
        <v>76</v>
      </c>
      <c r="J7" s="112">
        <f>Tabla4851894224[[#This Row],[Columna2]]/2</f>
        <v>1</v>
      </c>
      <c r="K7" s="301">
        <v>2</v>
      </c>
      <c r="L7" s="302">
        <v>182186.96</v>
      </c>
      <c r="N7" s="106" t="s">
        <v>132</v>
      </c>
      <c r="O7" s="1" t="s">
        <v>182</v>
      </c>
    </row>
    <row r="8" spans="1:15" ht="13" x14ac:dyDescent="0.15">
      <c r="A8" s="300" t="s">
        <v>10</v>
      </c>
      <c r="B8" s="250">
        <f>SUM(Tabla936173055235763909354663447734123[[#This Row],[Vida]],Tabla936173055235763909354663447734123[[#This Row],[Gmm]])</f>
        <v>2.5</v>
      </c>
      <c r="C8" s="113">
        <v>2</v>
      </c>
      <c r="D8" s="103">
        <v>96052.28</v>
      </c>
      <c r="E8" s="109">
        <f>_xlfn.XLOOKUP(Tabla936173055235763909354663447734123[[#This Row],[Asesor]],Tabla4851894224[Columna1],Tabla4851894224[Columna12],0)</f>
        <v>0.5</v>
      </c>
      <c r="F8" s="274">
        <f>_xlfn.XLOOKUP(Tabla936173055235763909354663447734123[[#This Row],[Asesor]],Tabla4851894224[Columna1],Tabla4851894224[Columna3],0)</f>
        <v>35721.82</v>
      </c>
      <c r="G8" s="254">
        <f>SUM(Tabla936173055235763909354663447734123[[#This Row],[Prima Pagada vida]],Tabla936173055235763909354663447734123[[#This Row],[Prima Pagada gmm]])</f>
        <v>131774.1</v>
      </c>
      <c r="H8" s="112"/>
      <c r="I8" s="300" t="s">
        <v>13</v>
      </c>
      <c r="J8" s="112">
        <f>Tabla4851894224[[#This Row],[Columna2]]/2</f>
        <v>0.5</v>
      </c>
      <c r="K8" s="301">
        <v>1</v>
      </c>
      <c r="L8" s="302">
        <v>34372.230000000003</v>
      </c>
      <c r="N8" s="106" t="s">
        <v>134</v>
      </c>
      <c r="O8" s="1" t="s">
        <v>118</v>
      </c>
    </row>
    <row r="9" spans="1:15" ht="13" x14ac:dyDescent="0.15">
      <c r="A9" s="300" t="s">
        <v>13</v>
      </c>
      <c r="B9" s="250">
        <f>SUM(Tabla936173055235763909354663447734123[[#This Row],[Vida]],Tabla936173055235763909354663447734123[[#This Row],[Gmm]])</f>
        <v>6.5</v>
      </c>
      <c r="C9" s="113">
        <v>6</v>
      </c>
      <c r="D9" s="103">
        <v>308451.52</v>
      </c>
      <c r="E9" s="109">
        <f>_xlfn.XLOOKUP(Tabla936173055235763909354663447734123[[#This Row],[Asesor]],Tabla4851894224[Columna1],Tabla4851894224[Columna12],0)</f>
        <v>0.5</v>
      </c>
      <c r="F9" s="274">
        <f>_xlfn.XLOOKUP(Tabla936173055235763909354663447734123[[#This Row],[Asesor]],Tabla4851894224[Columna1],Tabla4851894224[Columna3],0)</f>
        <v>34372.230000000003</v>
      </c>
      <c r="G9" s="254">
        <f>SUM(Tabla936173055235763909354663447734123[[#This Row],[Prima Pagada vida]],Tabla936173055235763909354663447734123[[#This Row],[Prima Pagada gmm]])</f>
        <v>342823.75</v>
      </c>
      <c r="H9" s="112"/>
      <c r="I9" s="300" t="s">
        <v>43</v>
      </c>
      <c r="J9" s="112">
        <f>Tabla4851894224[[#This Row],[Columna2]]/2</f>
        <v>2.5</v>
      </c>
      <c r="K9" s="301">
        <v>5</v>
      </c>
      <c r="L9" s="302">
        <v>54265.49</v>
      </c>
      <c r="N9" s="106" t="s">
        <v>136</v>
      </c>
      <c r="O9" s="1" t="s">
        <v>182</v>
      </c>
    </row>
    <row r="10" spans="1:15" x14ac:dyDescent="0.15">
      <c r="A10" s="300" t="s">
        <v>32</v>
      </c>
      <c r="B10" s="250">
        <f>SUM(Tabla936173055235763909354663447734123[[#This Row],[Vida]],Tabla936173055235763909354663447734123[[#This Row],[Gmm]])</f>
        <v>1.5</v>
      </c>
      <c r="C10" s="113">
        <v>1</v>
      </c>
      <c r="D10" s="103">
        <v>0</v>
      </c>
      <c r="E10" s="109">
        <f>_xlfn.XLOOKUP(Tabla936173055235763909354663447734123[[#This Row],[Asesor]],Tabla4851894224[Columna1],Tabla4851894224[Columna12],0)</f>
        <v>0.5</v>
      </c>
      <c r="F10" s="274">
        <f>_xlfn.XLOOKUP(Tabla936173055235763909354663447734123[[#This Row],[Asesor]],Tabla4851894224[Columna1],Tabla4851894224[Columna3],0)</f>
        <v>24780</v>
      </c>
      <c r="G10" s="279">
        <f>SUM(Tabla936173055235763909354663447734123[[#This Row],[Prima Pagada vida]],Tabla936173055235763909354663447734123[[#This Row],[Prima Pagada gmm]])</f>
        <v>24780</v>
      </c>
      <c r="H10" s="112"/>
      <c r="I10" s="300" t="s">
        <v>10</v>
      </c>
      <c r="J10" s="112">
        <f>Tabla4851894224[[#This Row],[Columna2]]/2</f>
        <v>0.5</v>
      </c>
      <c r="K10" s="301">
        <v>1</v>
      </c>
      <c r="L10" s="302">
        <v>35721.82</v>
      </c>
      <c r="N10" s="106" t="s">
        <v>137</v>
      </c>
      <c r="O10" s="1" t="s">
        <v>126</v>
      </c>
    </row>
    <row r="11" spans="1:15" ht="13" x14ac:dyDescent="0.15">
      <c r="A11" s="300" t="s">
        <v>78</v>
      </c>
      <c r="B11" s="250">
        <f>SUM(Tabla936173055235763909354663447734123[[#This Row],[Vida]],Tabla936173055235763909354663447734123[[#This Row],[Gmm]])</f>
        <v>1</v>
      </c>
      <c r="C11" s="113">
        <v>0</v>
      </c>
      <c r="D11" s="103">
        <v>0</v>
      </c>
      <c r="E11" s="109">
        <f>_xlfn.XLOOKUP(Tabla936173055235763909354663447734123[[#This Row],[Asesor]],Tabla4851894224[Columna1],Tabla4851894224[Columna12],0)</f>
        <v>1</v>
      </c>
      <c r="F11" s="274">
        <f>_xlfn.XLOOKUP(Tabla936173055235763909354663447734123[[#This Row],[Asesor]],Tabla4851894224[Columna1],Tabla4851894224[Columna3],0)</f>
        <v>6734.74</v>
      </c>
      <c r="G11" s="254">
        <f>SUM(Tabla936173055235763909354663447734123[[#This Row],[Prima Pagada vida]],Tabla936173055235763909354663447734123[[#This Row],[Prima Pagada gmm]])</f>
        <v>6734.74</v>
      </c>
      <c r="H11" s="112"/>
      <c r="I11" s="300" t="s">
        <v>32</v>
      </c>
      <c r="J11" s="112">
        <f>Tabla4851894224[[#This Row],[Columna2]]/2</f>
        <v>0.5</v>
      </c>
      <c r="K11" s="301">
        <v>1</v>
      </c>
      <c r="L11" s="302">
        <v>24780</v>
      </c>
      <c r="N11" s="106" t="s">
        <v>138</v>
      </c>
      <c r="O11" s="1" t="s">
        <v>237</v>
      </c>
    </row>
    <row r="12" spans="1:15" ht="13" x14ac:dyDescent="0.15">
      <c r="A12" s="300" t="s">
        <v>224</v>
      </c>
      <c r="B12" s="250">
        <f>SUM(Tabla936173055235763909354663447734123[[#This Row],[Vida]],Tabla936173055235763909354663447734123[[#This Row],[Gmm]])</f>
        <v>2</v>
      </c>
      <c r="C12" s="113">
        <v>1</v>
      </c>
      <c r="D12" s="103">
        <v>1188.9100000000001</v>
      </c>
      <c r="E12" s="109">
        <f>_xlfn.XLOOKUP(Tabla936173055235763909354663447734123[[#This Row],[Asesor]],Tabla4851894224[Columna1],Tabla4851894224[Columna12],0)</f>
        <v>1</v>
      </c>
      <c r="F12" s="274">
        <f>_xlfn.XLOOKUP(Tabla936173055235763909354663447734123[[#This Row],[Asesor]],Tabla4851894224[Columna1],Tabla4851894224[Columna3],0)</f>
        <v>5295.33</v>
      </c>
      <c r="G12" s="254">
        <f>SUM(Tabla936173055235763909354663447734123[[#This Row],[Prima Pagada vida]],Tabla936173055235763909354663447734123[[#This Row],[Prima Pagada gmm]])</f>
        <v>6484.24</v>
      </c>
      <c r="H12" s="112"/>
      <c r="I12" s="300" t="s">
        <v>29</v>
      </c>
      <c r="J12" s="112">
        <f>Tabla4851894224[[#This Row],[Columna2]]/2</f>
        <v>0.5</v>
      </c>
      <c r="K12" s="301">
        <v>1</v>
      </c>
      <c r="L12" s="302">
        <v>3285.35</v>
      </c>
      <c r="N12" s="106" t="s">
        <v>140</v>
      </c>
      <c r="O12" s="1" t="s">
        <v>238</v>
      </c>
    </row>
    <row r="13" spans="1:15" ht="13" x14ac:dyDescent="0.15">
      <c r="A13" s="300" t="s">
        <v>29</v>
      </c>
      <c r="B13" s="250">
        <f>SUM(Tabla936173055235763909354663447734123[[#This Row],[Vida]],Tabla936173055235763909354663447734123[[#This Row],[Gmm]])</f>
        <v>3.5</v>
      </c>
      <c r="C13" s="113">
        <v>3</v>
      </c>
      <c r="D13" s="103">
        <v>5872.79</v>
      </c>
      <c r="E13" s="109">
        <f>_xlfn.XLOOKUP(Tabla936173055235763909354663447734123[[#This Row],[Asesor]],Tabla4851894224[Columna1],Tabla4851894224[Columna12],0)</f>
        <v>0.5</v>
      </c>
      <c r="F13" s="274">
        <f>_xlfn.XLOOKUP(Tabla936173055235763909354663447734123[[#This Row],[Asesor]],Tabla4851894224[Columna1],Tabla4851894224[Columna3],0)</f>
        <v>3285.35</v>
      </c>
      <c r="G13" s="254">
        <f>SUM(Tabla936173055235763909354663447734123[[#This Row],[Prima Pagada vida]],Tabla936173055235763909354663447734123[[#This Row],[Prima Pagada gmm]])</f>
        <v>9158.14</v>
      </c>
      <c r="H13" s="112"/>
      <c r="I13" s="300" t="s">
        <v>78</v>
      </c>
      <c r="J13" s="112">
        <f>Tabla4851894224[[#This Row],[Columna2]]/2</f>
        <v>1</v>
      </c>
      <c r="K13" s="301">
        <v>2</v>
      </c>
      <c r="L13" s="302">
        <v>6734.74</v>
      </c>
      <c r="N13" s="106" t="s">
        <v>141</v>
      </c>
      <c r="O13" s="1" t="s">
        <v>237</v>
      </c>
    </row>
    <row r="14" spans="1:15" ht="13" x14ac:dyDescent="0.15">
      <c r="A14" s="300" t="s">
        <v>12</v>
      </c>
      <c r="B14" s="250">
        <f>SUM(Tabla936173055235763909354663447734123[[#This Row],[Vida]],Tabla936173055235763909354663447734123[[#This Row],[Gmm]])</f>
        <v>4</v>
      </c>
      <c r="C14" s="113">
        <v>4</v>
      </c>
      <c r="D14" s="103">
        <v>1421726.6</v>
      </c>
      <c r="E14" s="109">
        <f>_xlfn.XLOOKUP(Tabla936173055235763909354663447734123[[#This Row],[Asesor]],Tabla4851894224[Columna1],Tabla4851894224[Columna12],0)</f>
        <v>0</v>
      </c>
      <c r="F14" s="274">
        <f>_xlfn.XLOOKUP(Tabla936173055235763909354663447734123[[#This Row],[Asesor]],Tabla4851894224[Columna1],Tabla4851894224[Columna3],0)</f>
        <v>0</v>
      </c>
      <c r="G14" s="254">
        <f>SUM(Tabla936173055235763909354663447734123[[#This Row],[Prima Pagada vida]],Tabla936173055235763909354663447734123[[#This Row],[Prima Pagada gmm]])</f>
        <v>1421726.6</v>
      </c>
      <c r="H14" s="112"/>
      <c r="I14" s="300" t="s">
        <v>49</v>
      </c>
      <c r="J14" s="112">
        <f>Tabla4851894224[[#This Row],[Columna2]]/2</f>
        <v>0</v>
      </c>
      <c r="K14" s="301">
        <v>0</v>
      </c>
      <c r="L14" s="302">
        <v>0</v>
      </c>
      <c r="N14" s="265" t="s">
        <v>143</v>
      </c>
      <c r="O14" s="1" t="s">
        <v>238</v>
      </c>
    </row>
    <row r="15" spans="1:15" ht="13" x14ac:dyDescent="0.15">
      <c r="A15" s="300" t="s">
        <v>31</v>
      </c>
      <c r="B15" s="250">
        <f>SUM(Tabla936173055235763909354663447734123[[#This Row],[Vida]],Tabla936173055235763909354663447734123[[#This Row],[Gmm]])</f>
        <v>1</v>
      </c>
      <c r="C15" s="113">
        <v>1</v>
      </c>
      <c r="D15" s="103">
        <v>191362.05</v>
      </c>
      <c r="E15" s="109">
        <f>_xlfn.XLOOKUP(Tabla936173055235763909354663447734123[[#This Row],[Asesor]],Tabla4851894224[Columna1],Tabla4851894224[Columna12],0)</f>
        <v>0</v>
      </c>
      <c r="F15" s="274">
        <f>_xlfn.XLOOKUP(Tabla936173055235763909354663447734123[[#This Row],[Asesor]],Tabla4851894224[Columna1],Tabla4851894224[Columna3],0)</f>
        <v>0</v>
      </c>
      <c r="G15" s="254">
        <f>SUM(Tabla936173055235763909354663447734123[[#This Row],[Prima Pagada vida]],Tabla936173055235763909354663447734123[[#This Row],[Prima Pagada gmm]])</f>
        <v>191362.05</v>
      </c>
      <c r="H15" s="112"/>
      <c r="I15" s="300" t="s">
        <v>26</v>
      </c>
      <c r="J15" s="112">
        <f>Tabla4851894224[[#This Row],[Columna2]]/2</f>
        <v>0</v>
      </c>
      <c r="K15" s="301">
        <v>0</v>
      </c>
      <c r="L15" s="302">
        <v>0</v>
      </c>
    </row>
    <row r="16" spans="1:15" ht="13" x14ac:dyDescent="0.15">
      <c r="A16" s="300" t="s">
        <v>11</v>
      </c>
      <c r="B16" s="250">
        <f>SUM(Tabla936173055235763909354663447734123[[#This Row],[Vida]],Tabla936173055235763909354663447734123[[#This Row],[Gmm]])</f>
        <v>1</v>
      </c>
      <c r="C16" s="113">
        <v>1</v>
      </c>
      <c r="D16" s="103">
        <v>63633.32</v>
      </c>
      <c r="E16" s="109">
        <f>_xlfn.XLOOKUP(Tabla936173055235763909354663447734123[[#This Row],[Asesor]],Tabla4851894224[Columna1],Tabla4851894224[Columna12],0)</f>
        <v>0</v>
      </c>
      <c r="F16" s="274">
        <f>_xlfn.XLOOKUP(Tabla936173055235763909354663447734123[[#This Row],[Asesor]],Tabla4851894224[Columna1],Tabla4851894224[Columna3],0)</f>
        <v>0</v>
      </c>
      <c r="G16" s="254">
        <f>SUM(Tabla936173055235763909354663447734123[[#This Row],[Prima Pagada vida]],Tabla936173055235763909354663447734123[[#This Row],[Prima Pagada gmm]])</f>
        <v>63633.32</v>
      </c>
      <c r="H16" s="112"/>
      <c r="I16" s="300" t="s">
        <v>116</v>
      </c>
      <c r="J16" s="112">
        <f>Tabla4851894224[[#This Row],[Columna2]]/2</f>
        <v>0</v>
      </c>
      <c r="K16" s="301">
        <v>0</v>
      </c>
      <c r="L16" s="302">
        <v>0</v>
      </c>
    </row>
    <row r="17" spans="1:12" ht="13" x14ac:dyDescent="0.15">
      <c r="A17" s="300" t="s">
        <v>186</v>
      </c>
      <c r="B17" s="250">
        <f>SUM(Tabla936173055235763909354663447734123[[#This Row],[Vida]],Tabla936173055235763909354663447734123[[#This Row],[Gmm]])</f>
        <v>2</v>
      </c>
      <c r="C17" s="113">
        <v>2</v>
      </c>
      <c r="D17" s="103">
        <v>52787.07</v>
      </c>
      <c r="E17" s="109">
        <f>_xlfn.XLOOKUP(Tabla936173055235763909354663447734123[[#This Row],[Asesor]],Tabla4851894224[Columna1],Tabla4851894224[Columna12],0)</f>
        <v>0</v>
      </c>
      <c r="F17" s="274">
        <f>_xlfn.XLOOKUP(Tabla936173055235763909354663447734123[[#This Row],[Asesor]],Tabla4851894224[Columna1],Tabla4851894224[Columna3],0)</f>
        <v>0</v>
      </c>
      <c r="G17" s="254">
        <f>SUM(Tabla936173055235763909354663447734123[[#This Row],[Prima Pagada vida]],Tabla936173055235763909354663447734123[[#This Row],[Prima Pagada gmm]])</f>
        <v>52787.07</v>
      </c>
      <c r="H17" s="112"/>
      <c r="I17" s="300" t="s">
        <v>110</v>
      </c>
      <c r="J17" s="112">
        <f>Tabla4851894224[[#This Row],[Columna2]]/2</f>
        <v>0</v>
      </c>
      <c r="K17" s="301">
        <v>0</v>
      </c>
      <c r="L17" s="302">
        <v>0</v>
      </c>
    </row>
    <row r="18" spans="1:12" x14ac:dyDescent="0.15">
      <c r="A18" s="300" t="s">
        <v>236</v>
      </c>
      <c r="B18" s="250">
        <f>SUM(Tabla936173055235763909354663447734123[[#This Row],[Vida]],Tabla936173055235763909354663447734123[[#This Row],[Gmm]])</f>
        <v>2</v>
      </c>
      <c r="C18" s="113">
        <v>2</v>
      </c>
      <c r="D18" s="103">
        <v>16380.01</v>
      </c>
      <c r="E18" s="109">
        <f>_xlfn.XLOOKUP(Tabla936173055235763909354663447734123[[#This Row],[Asesor]],Tabla4851894224[Columna1],Tabla4851894224[Columna12],0)</f>
        <v>0</v>
      </c>
      <c r="F18" s="274">
        <f>_xlfn.XLOOKUP(Tabla936173055235763909354663447734123[[#This Row],[Asesor]],Tabla4851894224[Columna1],Tabla4851894224[Columna3],0)</f>
        <v>0</v>
      </c>
      <c r="G18" s="279">
        <f>SUM(Tabla936173055235763909354663447734123[[#This Row],[Prima Pagada vida]],Tabla936173055235763909354663447734123[[#This Row],[Prima Pagada gmm]])</f>
        <v>16380.01</v>
      </c>
      <c r="H18" s="112"/>
      <c r="I18" s="300" t="s">
        <v>224</v>
      </c>
      <c r="J18" s="112">
        <f>Tabla4851894224[[#This Row],[Columna2]]/2</f>
        <v>1</v>
      </c>
      <c r="K18" s="301">
        <v>2</v>
      </c>
      <c r="L18" s="302">
        <v>5295.33</v>
      </c>
    </row>
    <row r="19" spans="1:12" ht="13" x14ac:dyDescent="0.15">
      <c r="A19" s="300" t="s">
        <v>30</v>
      </c>
      <c r="B19" s="250">
        <f>SUM(Tabla936173055235763909354663447734123[[#This Row],[Vida]],Tabla936173055235763909354663447734123[[#This Row],[Gmm]])</f>
        <v>4</v>
      </c>
      <c r="C19" s="113">
        <v>4</v>
      </c>
      <c r="D19" s="103">
        <v>11737.38</v>
      </c>
      <c r="E19" s="109">
        <f>_xlfn.XLOOKUP(Tabla936173055235763909354663447734123[[#This Row],[Asesor]],Tabla4851894224[Columna1],Tabla4851894224[Columna12],0)</f>
        <v>0</v>
      </c>
      <c r="F19" s="274">
        <f>_xlfn.XLOOKUP(Tabla936173055235763909354663447734123[[#This Row],[Asesor]],Tabla4851894224[Columna1],Tabla4851894224[Columna3],0)</f>
        <v>0</v>
      </c>
      <c r="G19" s="254">
        <f>SUM(Tabla936173055235763909354663447734123[[#This Row],[Prima Pagada vida]],Tabla936173055235763909354663447734123[[#This Row],[Prima Pagada gmm]])</f>
        <v>11737.38</v>
      </c>
      <c r="H19" s="112"/>
      <c r="I19" s="300"/>
      <c r="J19" s="112">
        <f>Tabla4851894224[[#This Row],[Columna2]]/2</f>
        <v>0</v>
      </c>
      <c r="K19" s="113"/>
      <c r="L19" s="103"/>
    </row>
    <row r="20" spans="1:12" ht="13" x14ac:dyDescent="0.15">
      <c r="A20" s="300" t="s">
        <v>25</v>
      </c>
      <c r="B20" s="250">
        <f>SUM(Tabla936173055235763909354663447734123[[#This Row],[Vida]],Tabla936173055235763909354663447734123[[#This Row],[Gmm]])</f>
        <v>2</v>
      </c>
      <c r="C20" s="113">
        <v>2</v>
      </c>
      <c r="D20" s="103">
        <v>11392.35</v>
      </c>
      <c r="E20" s="109">
        <f>_xlfn.XLOOKUP(Tabla936173055235763909354663447734123[[#This Row],[Asesor]],Tabla4851894224[Columna1],Tabla4851894224[Columna12],0)</f>
        <v>0</v>
      </c>
      <c r="F20" s="274">
        <f>_xlfn.XLOOKUP(Tabla936173055235763909354663447734123[[#This Row],[Asesor]],Tabla4851894224[Columna1],Tabla4851894224[Columna3],0)</f>
        <v>0</v>
      </c>
      <c r="G20" s="254">
        <f>SUM(Tabla936173055235763909354663447734123[[#This Row],[Prima Pagada vida]],Tabla936173055235763909354663447734123[[#This Row],[Prima Pagada gmm]])</f>
        <v>11392.35</v>
      </c>
      <c r="H20" s="112"/>
      <c r="I20" s="300"/>
      <c r="J20" s="112">
        <f>Tabla4851894224[[#This Row],[Columna2]]/2</f>
        <v>0</v>
      </c>
      <c r="K20" s="113"/>
      <c r="L20" s="103"/>
    </row>
    <row r="21" spans="1:12" ht="13" x14ac:dyDescent="0.15">
      <c r="A21" s="300" t="s">
        <v>26</v>
      </c>
      <c r="B21" s="250">
        <f>SUM(Tabla936173055235763909354663447734123[[#This Row],[Vida]],Tabla936173055235763909354663447734123[[#This Row],[Gmm]])</f>
        <v>1</v>
      </c>
      <c r="C21" s="113">
        <v>1</v>
      </c>
      <c r="D21" s="103">
        <v>6316.29</v>
      </c>
      <c r="E21" s="109">
        <f>_xlfn.XLOOKUP(Tabla936173055235763909354663447734123[[#This Row],[Asesor]],Tabla4851894224[Columna1],Tabla4851894224[Columna12],0)</f>
        <v>0</v>
      </c>
      <c r="F21" s="274">
        <f>_xlfn.XLOOKUP(Tabla936173055235763909354663447734123[[#This Row],[Asesor]],Tabla4851894224[Columna1],Tabla4851894224[Columna3],0)</f>
        <v>0</v>
      </c>
      <c r="G21" s="254">
        <f>SUM(Tabla936173055235763909354663447734123[[#This Row],[Prima Pagada vida]],Tabla936173055235763909354663447734123[[#This Row],[Prima Pagada gmm]])</f>
        <v>6316.29</v>
      </c>
      <c r="H21" s="112"/>
      <c r="I21" s="300"/>
      <c r="J21" s="112">
        <f>Tabla4851894224[[#This Row],[Columna2]]/2</f>
        <v>0</v>
      </c>
      <c r="K21" s="113"/>
      <c r="L21" s="103"/>
    </row>
    <row r="22" spans="1:12" ht="13" x14ac:dyDescent="0.15">
      <c r="A22" s="300" t="s">
        <v>20</v>
      </c>
      <c r="B22" s="250">
        <f>SUM(Tabla936173055235763909354663447734123[[#This Row],[Vida]],Tabla936173055235763909354663447734123[[#This Row],[Gmm]])</f>
        <v>2</v>
      </c>
      <c r="C22" s="113">
        <v>2</v>
      </c>
      <c r="D22" s="103">
        <v>3925.24</v>
      </c>
      <c r="E22" s="109">
        <f>_xlfn.XLOOKUP(Tabla936173055235763909354663447734123[[#This Row],[Asesor]],Tabla4851894224[Columna1],Tabla4851894224[Columna12],0)</f>
        <v>0</v>
      </c>
      <c r="F22" s="274">
        <f>_xlfn.XLOOKUP(Tabla936173055235763909354663447734123[[#This Row],[Asesor]],Tabla4851894224[Columna1],Tabla4851894224[Columna3],0)</f>
        <v>0</v>
      </c>
      <c r="G22" s="254">
        <f>SUM(Tabla936173055235763909354663447734123[[#This Row],[Prima Pagada vida]],Tabla936173055235763909354663447734123[[#This Row],[Prima Pagada gmm]])</f>
        <v>3925.24</v>
      </c>
      <c r="H22" s="112"/>
      <c r="I22" s="300"/>
      <c r="J22" s="112">
        <f>Tabla4851894224[[#This Row],[Columna2]]/2</f>
        <v>0</v>
      </c>
      <c r="K22" s="113"/>
      <c r="L22" s="103"/>
    </row>
    <row r="23" spans="1:12" ht="13" x14ac:dyDescent="0.15">
      <c r="A23" s="300" t="s">
        <v>130</v>
      </c>
      <c r="B23" s="250">
        <f>SUM(Tabla936173055235763909354663447734123[[#This Row],[Vida]],Tabla936173055235763909354663447734123[[#This Row],[Gmm]])</f>
        <v>2</v>
      </c>
      <c r="C23" s="113">
        <v>2</v>
      </c>
      <c r="D23" s="103">
        <v>3215.45</v>
      </c>
      <c r="E23" s="109">
        <f>_xlfn.XLOOKUP(Tabla936173055235763909354663447734123[[#This Row],[Asesor]],Tabla4851894224[Columna1],Tabla4851894224[Columna12],0)</f>
        <v>0</v>
      </c>
      <c r="F23" s="274">
        <f>_xlfn.XLOOKUP(Tabla936173055235763909354663447734123[[#This Row],[Asesor]],Tabla4851894224[Columna1],Tabla4851894224[Columna3],0)</f>
        <v>0</v>
      </c>
      <c r="G23" s="254">
        <f>SUM(Tabla936173055235763909354663447734123[[#This Row],[Prima Pagada vida]],Tabla936173055235763909354663447734123[[#This Row],[Prima Pagada gmm]])</f>
        <v>3215.45</v>
      </c>
      <c r="H23" s="112"/>
      <c r="I23" s="300"/>
      <c r="J23" s="112">
        <f>Tabla4851894224[[#This Row],[Columna2]]/2</f>
        <v>0</v>
      </c>
      <c r="K23" s="113"/>
      <c r="L23" s="103"/>
    </row>
    <row r="24" spans="1:12" ht="13" x14ac:dyDescent="0.15">
      <c r="A24" s="300" t="s">
        <v>35</v>
      </c>
      <c r="B24" s="250">
        <f>SUM(Tabla936173055235763909354663447734123[[#This Row],[Vida]],Tabla936173055235763909354663447734123[[#This Row],[Gmm]])</f>
        <v>1</v>
      </c>
      <c r="C24" s="113">
        <v>1</v>
      </c>
      <c r="D24" s="103">
        <v>3013.57</v>
      </c>
      <c r="E24" s="109">
        <f>_xlfn.XLOOKUP(Tabla936173055235763909354663447734123[[#This Row],[Asesor]],Tabla4851894224[Columna1],Tabla4851894224[Columna12],0)</f>
        <v>0</v>
      </c>
      <c r="F24" s="274">
        <f>_xlfn.XLOOKUP(Tabla936173055235763909354663447734123[[#This Row],[Asesor]],Tabla4851894224[Columna1],Tabla4851894224[Columna3],0)</f>
        <v>0</v>
      </c>
      <c r="G24" s="254">
        <f>SUM(Tabla936173055235763909354663447734123[[#This Row],[Prima Pagada vida]],Tabla936173055235763909354663447734123[[#This Row],[Prima Pagada gmm]])</f>
        <v>3013.57</v>
      </c>
      <c r="H24" s="112"/>
      <c r="I24" s="300"/>
      <c r="J24" s="112">
        <f>Tabla4851894224[[#This Row],[Columna2]]/2</f>
        <v>0</v>
      </c>
      <c r="K24" s="113"/>
      <c r="L24" s="103"/>
    </row>
    <row r="25" spans="1:12" ht="13" x14ac:dyDescent="0.15">
      <c r="A25" s="300" t="s">
        <v>85</v>
      </c>
      <c r="B25" s="250">
        <f>SUM(Tabla936173055235763909354663447734123[[#This Row],[Vida]],Tabla936173055235763909354663447734123[[#This Row],[Gmm]])</f>
        <v>1</v>
      </c>
      <c r="C25" s="113">
        <v>1</v>
      </c>
      <c r="D25" s="103">
        <v>2073.34</v>
      </c>
      <c r="E25" s="109">
        <f>_xlfn.XLOOKUP(Tabla936173055235763909354663447734123[[#This Row],[Asesor]],Tabla4851894224[Columna1],Tabla4851894224[Columna12],0)</f>
        <v>0</v>
      </c>
      <c r="F25" s="274">
        <f>_xlfn.XLOOKUP(Tabla936173055235763909354663447734123[[#This Row],[Asesor]],Tabla4851894224[Columna1],Tabla4851894224[Columna3],0)</f>
        <v>0</v>
      </c>
      <c r="G25" s="254">
        <f>SUM(Tabla936173055235763909354663447734123[[#This Row],[Prima Pagada vida]],Tabla936173055235763909354663447734123[[#This Row],[Prima Pagada gmm]])</f>
        <v>2073.34</v>
      </c>
      <c r="H25" s="112"/>
      <c r="I25" s="300"/>
      <c r="J25" s="112">
        <f>Tabla4851894224[[#This Row],[Columna2]]/2</f>
        <v>0</v>
      </c>
      <c r="K25" s="113"/>
      <c r="L25" s="103"/>
    </row>
    <row r="26" spans="1:12" ht="13" x14ac:dyDescent="0.15">
      <c r="A26" s="300" t="s">
        <v>17</v>
      </c>
      <c r="B26" s="250">
        <f>SUM(Tabla936173055235763909354663447734123[[#This Row],[Vida]],Tabla936173055235763909354663447734123[[#This Row],[Gmm]])</f>
        <v>1</v>
      </c>
      <c r="C26" s="113">
        <v>1</v>
      </c>
      <c r="D26" s="103">
        <v>1671.19</v>
      </c>
      <c r="E26" s="109">
        <f>_xlfn.XLOOKUP(Tabla936173055235763909354663447734123[[#This Row],[Asesor]],Tabla4851894224[Columna1],Tabla4851894224[Columna12],0)</f>
        <v>0</v>
      </c>
      <c r="F26" s="274">
        <f>_xlfn.XLOOKUP(Tabla936173055235763909354663447734123[[#This Row],[Asesor]],Tabla4851894224[Columna1],Tabla4851894224[Columna3],0)</f>
        <v>0</v>
      </c>
      <c r="G26" s="254">
        <f>SUM(Tabla936173055235763909354663447734123[[#This Row],[Prima Pagada vida]],Tabla936173055235763909354663447734123[[#This Row],[Prima Pagada gmm]])</f>
        <v>1671.19</v>
      </c>
      <c r="H26" s="112"/>
      <c r="I26" s="300"/>
      <c r="J26" s="112">
        <f>Tabla4851894224[[#This Row],[Columna2]]/2</f>
        <v>0</v>
      </c>
      <c r="K26" s="113"/>
      <c r="L26" s="103"/>
    </row>
    <row r="27" spans="1:12" ht="13" x14ac:dyDescent="0.15">
      <c r="A27" s="300" t="s">
        <v>37</v>
      </c>
      <c r="B27" s="250">
        <f>SUM(Tabla936173055235763909354663447734123[[#This Row],[Vida]],Tabla936173055235763909354663447734123[[#This Row],[Gmm]])</f>
        <v>1</v>
      </c>
      <c r="C27" s="113">
        <v>1</v>
      </c>
      <c r="D27" s="103">
        <v>88.15</v>
      </c>
      <c r="E27" s="277">
        <f>_xlfn.XLOOKUP(Tabla936173055235763909354663447734123[[#This Row],[Asesor]],Tabla4851894224[Columna1],Tabla4851894224[Columna12],0)</f>
        <v>0</v>
      </c>
      <c r="F27" s="274">
        <f>_xlfn.XLOOKUP(Tabla936173055235763909354663447734123[[#This Row],[Asesor]],Tabla4851894224[Columna1],Tabla4851894224[Columna3],0)</f>
        <v>0</v>
      </c>
      <c r="G27" s="254">
        <f>SUM(Tabla936173055235763909354663447734123[[#This Row],[Prima Pagada vida]],Tabla936173055235763909354663447734123[[#This Row],[Prima Pagada gmm]])</f>
        <v>88.15</v>
      </c>
      <c r="I27" s="112"/>
      <c r="J27" s="112">
        <f>Tabla4851894224[[#This Row],[Columna2]]/2</f>
        <v>0</v>
      </c>
      <c r="K27" s="113"/>
      <c r="L27" s="103"/>
    </row>
    <row r="28" spans="1:12" ht="13" x14ac:dyDescent="0.15">
      <c r="A28" s="300" t="s">
        <v>39</v>
      </c>
      <c r="B28" s="250">
        <f>SUM(Tabla936173055235763909354663447734123[[#This Row],[Vida]],Tabla936173055235763909354663447734123[[#This Row],[Gmm]])</f>
        <v>0</v>
      </c>
      <c r="C28" s="113">
        <v>0</v>
      </c>
      <c r="D28" s="103">
        <v>0</v>
      </c>
      <c r="E28" s="109">
        <f>_xlfn.XLOOKUP(Tabla936173055235763909354663447734123[[#This Row],[Asesor]],Tabla4851894224[Columna1],Tabla4851894224[Columna12],0)</f>
        <v>0</v>
      </c>
      <c r="F28" s="274">
        <f>_xlfn.XLOOKUP(Tabla936173055235763909354663447734123[[#This Row],[Asesor]],Tabla4851894224[Columna1],Tabla4851894224[Columna3],0)</f>
        <v>0</v>
      </c>
      <c r="G28" s="254">
        <f>SUM(Tabla936173055235763909354663447734123[[#This Row],[Prima Pagada vida]],Tabla936173055235763909354663447734123[[#This Row],[Prima Pagada gmm]])</f>
        <v>0</v>
      </c>
      <c r="I28" s="112"/>
      <c r="J28" s="112">
        <f>Tabla4851894224[[#This Row],[Columna2]]/2</f>
        <v>0</v>
      </c>
      <c r="K28" s="113"/>
      <c r="L28" s="103"/>
    </row>
    <row r="29" spans="1:12" ht="13" x14ac:dyDescent="0.15">
      <c r="A29" s="300" t="s">
        <v>98</v>
      </c>
      <c r="B29" s="250">
        <f>SUM(Tabla936173055235763909354663447734123[[#This Row],[Vida]],Tabla936173055235763909354663447734123[[#This Row],[Gmm]])</f>
        <v>0</v>
      </c>
      <c r="C29" s="113">
        <v>0</v>
      </c>
      <c r="D29" s="103">
        <v>0</v>
      </c>
      <c r="E29" s="109">
        <f>_xlfn.XLOOKUP(Tabla936173055235763909354663447734123[[#This Row],[Asesor]],Tabla4851894224[Columna1],Tabla4851894224[Columna12],0)</f>
        <v>0</v>
      </c>
      <c r="F29" s="274">
        <f>_xlfn.XLOOKUP(Tabla936173055235763909354663447734123[[#This Row],[Asesor]],Tabla4851894224[Columna1],Tabla4851894224[Columna3],0)</f>
        <v>0</v>
      </c>
      <c r="G29" s="254">
        <f>SUM(Tabla936173055235763909354663447734123[[#This Row],[Prima Pagada vida]],Tabla936173055235763909354663447734123[[#This Row],[Prima Pagada gmm]])</f>
        <v>0</v>
      </c>
      <c r="I29" s="112"/>
      <c r="J29" s="112">
        <f>Tabla4851894224[[#This Row],[Columna2]]/2</f>
        <v>0</v>
      </c>
      <c r="K29" s="113"/>
      <c r="L29" s="103"/>
    </row>
    <row r="30" spans="1:12" ht="13" x14ac:dyDescent="0.15">
      <c r="A30" s="300" t="s">
        <v>27</v>
      </c>
      <c r="B30" s="250">
        <f>SUM(Tabla936173055235763909354663447734123[[#This Row],[Vida]],Tabla936173055235763909354663447734123[[#This Row],[Gmm]])</f>
        <v>0</v>
      </c>
      <c r="C30" s="113">
        <v>0</v>
      </c>
      <c r="D30" s="103">
        <v>0</v>
      </c>
      <c r="E30" s="109">
        <f>_xlfn.XLOOKUP(Tabla936173055235763909354663447734123[[#This Row],[Asesor]],Tabla4851894224[Columna1],Tabla4851894224[Columna12],0)</f>
        <v>0</v>
      </c>
      <c r="F30" s="274">
        <f>_xlfn.XLOOKUP(Tabla936173055235763909354663447734123[[#This Row],[Asesor]],Tabla4851894224[Columna1],Tabla4851894224[Columna3],0)</f>
        <v>0</v>
      </c>
      <c r="G30" s="254">
        <f>SUM(Tabla936173055235763909354663447734123[[#This Row],[Prima Pagada vida]],Tabla936173055235763909354663447734123[[#This Row],[Prima Pagada gmm]])</f>
        <v>0</v>
      </c>
      <c r="I30" s="112"/>
      <c r="J30" s="112">
        <f>Tabla4851894224[[#This Row],[Columna2]]/2</f>
        <v>0</v>
      </c>
      <c r="K30" s="113"/>
      <c r="L30" s="103"/>
    </row>
    <row r="31" spans="1:12" ht="13" x14ac:dyDescent="0.15">
      <c r="A31" s="300" t="s">
        <v>110</v>
      </c>
      <c r="B31" s="250">
        <f>SUM(Tabla936173055235763909354663447734123[[#This Row],[Vida]],Tabla936173055235763909354663447734123[[#This Row],[Gmm]])</f>
        <v>0</v>
      </c>
      <c r="C31" s="113">
        <v>0</v>
      </c>
      <c r="D31" s="103">
        <v>0</v>
      </c>
      <c r="E31" s="109">
        <f>_xlfn.XLOOKUP(Tabla936173055235763909354663447734123[[#This Row],[Asesor]],Tabla4851894224[Columna1],Tabla4851894224[Columna12],0)</f>
        <v>0</v>
      </c>
      <c r="F31" s="274">
        <f>_xlfn.XLOOKUP(Tabla936173055235763909354663447734123[[#This Row],[Asesor]],Tabla4851894224[Columna1],Tabla4851894224[Columna3],0)</f>
        <v>0</v>
      </c>
      <c r="G31" s="254">
        <f>SUM(Tabla936173055235763909354663447734123[[#This Row],[Prima Pagada vida]],Tabla936173055235763909354663447734123[[#This Row],[Prima Pagada gmm]])</f>
        <v>0</v>
      </c>
      <c r="I31" s="112"/>
      <c r="J31" s="112">
        <f>Tabla4851894224[[#This Row],[Columna2]]/2</f>
        <v>0</v>
      </c>
      <c r="K31" s="113"/>
      <c r="L31" s="103"/>
    </row>
    <row r="32" spans="1:12" ht="13" x14ac:dyDescent="0.15">
      <c r="A32" s="300" t="s">
        <v>18</v>
      </c>
      <c r="B32" s="250">
        <f>SUM(Tabla936173055235763909354663447734123[[#This Row],[Vida]],Tabla936173055235763909354663447734123[[#This Row],[Gmm]])</f>
        <v>0</v>
      </c>
      <c r="C32" s="113">
        <v>0</v>
      </c>
      <c r="D32" s="103">
        <v>0</v>
      </c>
      <c r="E32" s="109">
        <f>_xlfn.XLOOKUP(Tabla936173055235763909354663447734123[[#This Row],[Asesor]],Tabla4851894224[Columna1],Tabla4851894224[Columna12],0)</f>
        <v>0</v>
      </c>
      <c r="F32" s="274">
        <f>_xlfn.XLOOKUP(Tabla936173055235763909354663447734123[[#This Row],[Asesor]],Tabla4851894224[Columna1],Tabla4851894224[Columna3],0)</f>
        <v>0</v>
      </c>
      <c r="G32" s="254">
        <f>SUM(Tabla936173055235763909354663447734123[[#This Row],[Prima Pagada vida]],Tabla936173055235763909354663447734123[[#This Row],[Prima Pagada gmm]])</f>
        <v>0</v>
      </c>
    </row>
    <row r="33" spans="1:13" ht="13" x14ac:dyDescent="0.15">
      <c r="A33" s="300" t="s">
        <v>97</v>
      </c>
      <c r="B33" s="250">
        <f>SUM(Tabla936173055235763909354663447734123[[#This Row],[Vida]],Tabla936173055235763909354663447734123[[#This Row],[Gmm]])</f>
        <v>0</v>
      </c>
      <c r="C33" s="113">
        <v>0</v>
      </c>
      <c r="D33" s="103">
        <v>0</v>
      </c>
      <c r="E33" s="109">
        <f>_xlfn.XLOOKUP(Tabla936173055235763909354663447734123[[#This Row],[Asesor]],Tabla4851894224[Columna1],Tabla4851894224[Columna12],0)</f>
        <v>0</v>
      </c>
      <c r="F33" s="274">
        <f>_xlfn.XLOOKUP(Tabla936173055235763909354663447734123[[#This Row],[Asesor]],Tabla4851894224[Columna1],Tabla4851894224[Columna3],0)</f>
        <v>0</v>
      </c>
      <c r="G33" s="254">
        <f>SUM(Tabla936173055235763909354663447734123[[#This Row],[Prima Pagada vida]],Tabla936173055235763909354663447734123[[#This Row],[Prima Pagada gmm]])</f>
        <v>0</v>
      </c>
      <c r="M33" s="1" t="s">
        <v>212</v>
      </c>
    </row>
    <row r="34" spans="1:13" ht="13" x14ac:dyDescent="0.15">
      <c r="A34" s="300" t="s">
        <v>41</v>
      </c>
      <c r="B34" s="250">
        <f>SUM(Tabla936173055235763909354663447734123[[#This Row],[Vida]],Tabla936173055235763909354663447734123[[#This Row],[Gmm]])</f>
        <v>0</v>
      </c>
      <c r="C34" s="113">
        <v>0</v>
      </c>
      <c r="D34" s="103">
        <v>0</v>
      </c>
      <c r="E34" s="109">
        <f>_xlfn.XLOOKUP(Tabla936173055235763909354663447734123[[#This Row],[Asesor]],Tabla4851894224[Columna1],Tabla4851894224[Columna12],0)</f>
        <v>0</v>
      </c>
      <c r="F34" s="274">
        <f>_xlfn.XLOOKUP(Tabla936173055235763909354663447734123[[#This Row],[Asesor]],Tabla4851894224[Columna1],Tabla4851894224[Columna3],0)</f>
        <v>0</v>
      </c>
      <c r="G34" s="254">
        <f>SUM(Tabla936173055235763909354663447734123[[#This Row],[Prima Pagada vida]],Tabla936173055235763909354663447734123[[#This Row],[Prima Pagada gmm]])</f>
        <v>0</v>
      </c>
    </row>
    <row r="35" spans="1:13" ht="13" x14ac:dyDescent="0.15">
      <c r="A35" s="300" t="s">
        <v>14</v>
      </c>
      <c r="B35" s="250">
        <f>SUM(Tabla936173055235763909354663447734123[[#This Row],[Vida]],Tabla936173055235763909354663447734123[[#This Row],[Gmm]])</f>
        <v>0</v>
      </c>
      <c r="C35" s="113">
        <v>0</v>
      </c>
      <c r="D35" s="103">
        <v>0</v>
      </c>
      <c r="E35" s="109">
        <f>_xlfn.XLOOKUP(Tabla936173055235763909354663447734123[[#This Row],[Asesor]],Tabla4851894224[Columna1],Tabla4851894224[Columna12],0)</f>
        <v>0</v>
      </c>
      <c r="F35" s="274">
        <f>_xlfn.XLOOKUP(Tabla936173055235763909354663447734123[[#This Row],[Asesor]],Tabla4851894224[Columna1],Tabla4851894224[Columna3],0)</f>
        <v>0</v>
      </c>
      <c r="G35" s="254">
        <f>SUM(Tabla936173055235763909354663447734123[[#This Row],[Prima Pagada vida]],Tabla936173055235763909354663447734123[[#This Row],[Prima Pagada gmm]])</f>
        <v>0</v>
      </c>
    </row>
    <row r="36" spans="1:13" ht="13" x14ac:dyDescent="0.15">
      <c r="A36" s="300" t="s">
        <v>96</v>
      </c>
      <c r="B36" s="280">
        <f>SUM(Tabla936173055235763909354663447734123[[#This Row],[Vida]],Tabla936173055235763909354663447734123[[#This Row],[Gmm]])</f>
        <v>0</v>
      </c>
      <c r="C36" s="113">
        <v>0</v>
      </c>
      <c r="D36" s="103">
        <v>0</v>
      </c>
      <c r="E36" s="109">
        <f>_xlfn.XLOOKUP(Tabla936173055235763909354663447734123[[#This Row],[Asesor]],Tabla4851894224[Columna1],Tabla4851894224[Columna12],0)</f>
        <v>0</v>
      </c>
      <c r="F36" s="274">
        <f>_xlfn.XLOOKUP(Tabla936173055235763909354663447734123[[#This Row],[Asesor]],Tabla4851894224[Columna1],Tabla4851894224[Columna3],0)</f>
        <v>0</v>
      </c>
      <c r="G36" s="254">
        <f>SUM(Tabla936173055235763909354663447734123[[#This Row],[Prima Pagada vida]],Tabla936173055235763909354663447734123[[#This Row],[Prima Pagada gmm]])</f>
        <v>0</v>
      </c>
    </row>
    <row r="37" spans="1:13" ht="13" x14ac:dyDescent="0.15">
      <c r="A37" s="300" t="s">
        <v>28</v>
      </c>
      <c r="B37" s="280">
        <f>SUM(Tabla936173055235763909354663447734123[[#This Row],[Vida]],Tabla936173055235763909354663447734123[[#This Row],[Gmm]])</f>
        <v>0</v>
      </c>
      <c r="C37" s="113">
        <v>0</v>
      </c>
      <c r="D37" s="103">
        <v>0</v>
      </c>
      <c r="E37" s="109">
        <f>_xlfn.XLOOKUP(Tabla936173055235763909354663447734123[[#This Row],[Asesor]],Tabla4851894224[Columna1],Tabla4851894224[Columna12],0)</f>
        <v>0</v>
      </c>
      <c r="F37" s="274">
        <f>_xlfn.XLOOKUP(Tabla936173055235763909354663447734123[[#This Row],[Asesor]],Tabla4851894224[Columna1],Tabla4851894224[Columna3],0)</f>
        <v>0</v>
      </c>
      <c r="G37" s="254">
        <f>SUM(Tabla936173055235763909354663447734123[[#This Row],[Prima Pagada vida]],Tabla936173055235763909354663447734123[[#This Row],[Prima Pagada gmm]])</f>
        <v>0</v>
      </c>
    </row>
    <row r="38" spans="1:13" ht="13" x14ac:dyDescent="0.15">
      <c r="A38" s="300" t="s">
        <v>124</v>
      </c>
      <c r="B38" s="280">
        <f>SUM(Tabla936173055235763909354663447734123[[#This Row],[Vida]],Tabla936173055235763909354663447734123[[#This Row],[Gmm]])</f>
        <v>0</v>
      </c>
      <c r="C38" s="113">
        <v>0</v>
      </c>
      <c r="D38" s="103">
        <v>0</v>
      </c>
      <c r="E38" s="109">
        <f>_xlfn.XLOOKUP(Tabla936173055235763909354663447734123[[#This Row],[Asesor]],Tabla4851894224[Columna1],Tabla4851894224[Columna12],0)</f>
        <v>0</v>
      </c>
      <c r="F38" s="274">
        <f>_xlfn.XLOOKUP(Tabla936173055235763909354663447734123[[#This Row],[Asesor]],Tabla4851894224[Columna1],Tabla4851894224[Columna3],0)</f>
        <v>0</v>
      </c>
      <c r="G38" s="254">
        <f>SUM(Tabla936173055235763909354663447734123[[#This Row],[Prima Pagada vida]],Tabla936173055235763909354663447734123[[#This Row],[Prima Pagada gmm]])</f>
        <v>0</v>
      </c>
    </row>
    <row r="39" spans="1:13" ht="13" x14ac:dyDescent="0.15">
      <c r="A39" s="300" t="s">
        <v>47</v>
      </c>
      <c r="B39" s="280">
        <f>SUM(Tabla936173055235763909354663447734123[[#This Row],[Vida]],Tabla936173055235763909354663447734123[[#This Row],[Gmm]])</f>
        <v>0</v>
      </c>
      <c r="C39" s="113">
        <v>0</v>
      </c>
      <c r="D39" s="103">
        <v>0</v>
      </c>
      <c r="E39" s="109">
        <f>_xlfn.XLOOKUP(Tabla936173055235763909354663447734123[[#This Row],[Asesor]],Tabla4851894224[Columna1],Tabla4851894224[Columna12],0)</f>
        <v>0</v>
      </c>
      <c r="F39" s="274">
        <f>_xlfn.XLOOKUP(Tabla936173055235763909354663447734123[[#This Row],[Asesor]],Tabla4851894224[Columna1],Tabla4851894224[Columna3],0)</f>
        <v>0</v>
      </c>
      <c r="G39" s="254">
        <f>SUM(Tabla936173055235763909354663447734123[[#This Row],[Prima Pagada vida]],Tabla936173055235763909354663447734123[[#This Row],[Prima Pagada gmm]])</f>
        <v>0</v>
      </c>
    </row>
    <row r="40" spans="1:13" ht="13" x14ac:dyDescent="0.15">
      <c r="A40" s="300" t="s">
        <v>38</v>
      </c>
      <c r="B40" s="280">
        <f>SUM(Tabla936173055235763909354663447734123[[#This Row],[Vida]],Tabla936173055235763909354663447734123[[#This Row],[Gmm]])</f>
        <v>0</v>
      </c>
      <c r="C40" s="113">
        <v>0</v>
      </c>
      <c r="D40" s="103">
        <v>0</v>
      </c>
      <c r="E40" s="109">
        <f>_xlfn.XLOOKUP(Tabla936173055235763909354663447734123[[#This Row],[Asesor]],Tabla4851894224[Columna1],Tabla4851894224[Columna12],0)</f>
        <v>0</v>
      </c>
      <c r="F40" s="253">
        <f>_xlfn.XLOOKUP(Tabla936173055235763909354663447734123[[#This Row],[Asesor]],Tabla4851894224[Columna1],Tabla4851894224[Columna3],0)</f>
        <v>0</v>
      </c>
      <c r="G40" s="254">
        <f>SUM(Tabla936173055235763909354663447734123[[#This Row],[Prima Pagada vida]],Tabla936173055235763909354663447734123[[#This Row],[Prima Pagada gmm]])</f>
        <v>0</v>
      </c>
    </row>
    <row r="41" spans="1:13" ht="13" x14ac:dyDescent="0.15">
      <c r="A41" s="300" t="s">
        <v>105</v>
      </c>
      <c r="B41" s="280">
        <f>SUM(Tabla936173055235763909354663447734123[[#This Row],[Vida]],Tabla936173055235763909354663447734123[[#This Row],[Gmm]])</f>
        <v>0</v>
      </c>
      <c r="C41" s="113">
        <v>0</v>
      </c>
      <c r="D41" s="103">
        <v>0</v>
      </c>
      <c r="E41" s="277">
        <f>_xlfn.XLOOKUP(Tabla936173055235763909354663447734123[[#This Row],[Asesor]],Tabla4851894224[Columna1],Tabla4851894224[Columna12],0)</f>
        <v>0</v>
      </c>
      <c r="F41" s="253">
        <f>_xlfn.XLOOKUP(Tabla936173055235763909354663447734123[[#This Row],[Asesor]],Tabla4851894224[Columna1],Tabla4851894224[Columna3],0)</f>
        <v>0</v>
      </c>
      <c r="G41" s="254">
        <f>SUM(Tabla936173055235763909354663447734123[[#This Row],[Prima Pagada vida]],Tabla936173055235763909354663447734123[[#This Row],[Prima Pagada gmm]])</f>
        <v>0</v>
      </c>
    </row>
    <row r="42" spans="1:13" ht="13" x14ac:dyDescent="0.15">
      <c r="A42" s="300" t="s">
        <v>24</v>
      </c>
      <c r="B42" s="280">
        <f>SUM(Tabla936173055235763909354663447734123[[#This Row],[Vida]],Tabla936173055235763909354663447734123[[#This Row],[Gmm]])</f>
        <v>0</v>
      </c>
      <c r="C42" s="113">
        <v>0</v>
      </c>
      <c r="D42" s="103">
        <v>0</v>
      </c>
      <c r="E42" s="277">
        <f>_xlfn.XLOOKUP(Tabla936173055235763909354663447734123[[#This Row],[Asesor]],Tabla4851894224[Columna1],Tabla4851894224[Columna12],0)</f>
        <v>0</v>
      </c>
      <c r="F42" s="253">
        <f>_xlfn.XLOOKUP(Tabla936173055235763909354663447734123[[#This Row],[Asesor]],Tabla4851894224[Columna1],Tabla4851894224[Columna3],0)</f>
        <v>0</v>
      </c>
      <c r="G42" s="254">
        <f>SUM(Tabla936173055235763909354663447734123[[#This Row],[Prima Pagada vida]],Tabla936173055235763909354663447734123[[#This Row],[Prima Pagada gmm]])</f>
        <v>0</v>
      </c>
    </row>
    <row r="43" spans="1:13" ht="13" x14ac:dyDescent="0.15">
      <c r="A43" s="300" t="s">
        <v>46</v>
      </c>
      <c r="B43" s="280">
        <f>SUM(Tabla936173055235763909354663447734123[[#This Row],[Vida]],Tabla936173055235763909354663447734123[[#This Row],[Gmm]])</f>
        <v>0</v>
      </c>
      <c r="C43" s="113">
        <v>0</v>
      </c>
      <c r="D43" s="103">
        <v>0</v>
      </c>
      <c r="E43" s="277">
        <f>_xlfn.XLOOKUP(Tabla936173055235763909354663447734123[[#This Row],[Asesor]],Tabla4851894224[Columna1],Tabla4851894224[Columna12],0)</f>
        <v>0</v>
      </c>
      <c r="F43" s="253">
        <f>_xlfn.XLOOKUP(Tabla936173055235763909354663447734123[[#This Row],[Asesor]],Tabla4851894224[Columna1],Tabla4851894224[Columna3],0)</f>
        <v>0</v>
      </c>
      <c r="G43" s="254">
        <f>SUM(Tabla936173055235763909354663447734123[[#This Row],[Prima Pagada vida]],Tabla936173055235763909354663447734123[[#This Row],[Prima Pagada gmm]])</f>
        <v>0</v>
      </c>
    </row>
    <row r="44" spans="1:13" ht="13" x14ac:dyDescent="0.15">
      <c r="A44" s="300" t="s">
        <v>170</v>
      </c>
      <c r="B44" s="280">
        <f>SUM(Tabla936173055235763909354663447734123[[#This Row],[Vida]],Tabla936173055235763909354663447734123[[#This Row],[Gmm]])</f>
        <v>0</v>
      </c>
      <c r="C44" s="113">
        <v>0</v>
      </c>
      <c r="D44" s="103">
        <v>0</v>
      </c>
      <c r="E44" s="277">
        <f>_xlfn.XLOOKUP(Tabla936173055235763909354663447734123[[#This Row],[Asesor]],Tabla4851894224[Columna1],Tabla4851894224[Columna12],0)</f>
        <v>0</v>
      </c>
      <c r="F44" s="253">
        <f>_xlfn.XLOOKUP(Tabla936173055235763909354663447734123[[#This Row],[Asesor]],Tabla4851894224[Columna1],Tabla4851894224[Columna3],0)</f>
        <v>0</v>
      </c>
      <c r="G44" s="254">
        <f>SUM(Tabla936173055235763909354663447734123[[#This Row],[Prima Pagada vida]],Tabla936173055235763909354663447734123[[#This Row],[Prima Pagada gmm]])</f>
        <v>0</v>
      </c>
    </row>
    <row r="45" spans="1:13" ht="13" x14ac:dyDescent="0.15">
      <c r="A45" s="300" t="s">
        <v>22</v>
      </c>
      <c r="B45" s="280">
        <f>SUM(Tabla936173055235763909354663447734123[[#This Row],[Vida]],Tabla936173055235763909354663447734123[[#This Row],[Gmm]])</f>
        <v>0</v>
      </c>
      <c r="C45" s="113">
        <v>0</v>
      </c>
      <c r="D45" s="103">
        <v>0</v>
      </c>
      <c r="E45" s="277">
        <f>_xlfn.XLOOKUP(Tabla936173055235763909354663447734123[[#This Row],[Asesor]],Tabla4851894224[Columna1],Tabla4851894224[Columna12],0)</f>
        <v>0</v>
      </c>
      <c r="F45" s="253">
        <f>_xlfn.XLOOKUP(Tabla936173055235763909354663447734123[[#This Row],[Asesor]],Tabla4851894224[Columna1],Tabla4851894224[Columna3],0)</f>
        <v>0</v>
      </c>
      <c r="G45" s="254">
        <f>SUM(Tabla936173055235763909354663447734123[[#This Row],[Prima Pagada vida]],Tabla936173055235763909354663447734123[[#This Row],[Prima Pagada gmm]])</f>
        <v>0</v>
      </c>
    </row>
    <row r="46" spans="1:13" ht="13" x14ac:dyDescent="0.15">
      <c r="A46" s="300" t="s">
        <v>19</v>
      </c>
      <c r="B46" s="280">
        <f>SUM(Tabla936173055235763909354663447734123[[#This Row],[Vida]],Tabla936173055235763909354663447734123[[#This Row],[Gmm]])</f>
        <v>0</v>
      </c>
      <c r="C46" s="113">
        <v>0</v>
      </c>
      <c r="D46" s="103">
        <v>0</v>
      </c>
      <c r="E46" s="277">
        <f>_xlfn.XLOOKUP(Tabla936173055235763909354663447734123[[#This Row],[Asesor]],Tabla4851894224[Columna1],Tabla4851894224[Columna12],0)</f>
        <v>0</v>
      </c>
      <c r="F46" s="253">
        <f>_xlfn.XLOOKUP(Tabla936173055235763909354663447734123[[#This Row],[Asesor]],Tabla4851894224[Columna1],Tabla4851894224[Columna3],0)</f>
        <v>0</v>
      </c>
      <c r="G46" s="254">
        <f>SUM(Tabla936173055235763909354663447734123[[#This Row],[Prima Pagada vida]],Tabla936173055235763909354663447734123[[#This Row],[Prima Pagada gmm]])</f>
        <v>0</v>
      </c>
    </row>
    <row r="47" spans="1:13" ht="13" x14ac:dyDescent="0.15">
      <c r="A47" s="300" t="s">
        <v>131</v>
      </c>
      <c r="B47" s="280">
        <f>SUM(Tabla936173055235763909354663447734123[[#This Row],[Vida]],Tabla936173055235763909354663447734123[[#This Row],[Gmm]])</f>
        <v>0</v>
      </c>
      <c r="C47" s="113">
        <v>0</v>
      </c>
      <c r="D47" s="103">
        <v>0</v>
      </c>
      <c r="E47" s="277">
        <f>_xlfn.XLOOKUP(Tabla936173055235763909354663447734123[[#This Row],[Asesor]],Tabla4851894224[Columna1],Tabla4851894224[Columna12],0)</f>
        <v>0</v>
      </c>
      <c r="F47" s="253">
        <f>_xlfn.XLOOKUP(Tabla936173055235763909354663447734123[[#This Row],[Asesor]],Tabla4851894224[Columna1],Tabla4851894224[Columna3],0)</f>
        <v>0</v>
      </c>
      <c r="G47" s="254">
        <f>SUM(Tabla936173055235763909354663447734123[[#This Row],[Prima Pagada vida]],Tabla936173055235763909354663447734123[[#This Row],[Prima Pagada gmm]])</f>
        <v>0</v>
      </c>
    </row>
    <row r="48" spans="1:13" ht="13" x14ac:dyDescent="0.15">
      <c r="A48" s="300" t="s">
        <v>116</v>
      </c>
      <c r="B48" s="280">
        <f>SUM(Tabla936173055235763909354663447734123[[#This Row],[Vida]],Tabla936173055235763909354663447734123[[#This Row],[Gmm]])</f>
        <v>0</v>
      </c>
      <c r="C48" s="113">
        <v>0</v>
      </c>
      <c r="D48" s="103">
        <v>0</v>
      </c>
      <c r="E48" s="277">
        <f>_xlfn.XLOOKUP(Tabla936173055235763909354663447734123[[#This Row],[Asesor]],Tabla4851894224[Columna1],Tabla4851894224[Columna12],0)</f>
        <v>0</v>
      </c>
      <c r="F48" s="253">
        <f>_xlfn.XLOOKUP(Tabla936173055235763909354663447734123[[#This Row],[Asesor]],Tabla4851894224[Columna1],Tabla4851894224[Columna3],0)</f>
        <v>0</v>
      </c>
      <c r="G48" s="254">
        <f>SUM(Tabla936173055235763909354663447734123[[#This Row],[Prima Pagada vida]],Tabla936173055235763909354663447734123[[#This Row],[Prima Pagada gmm]])</f>
        <v>0</v>
      </c>
    </row>
    <row r="49" spans="1:11" ht="13" x14ac:dyDescent="0.15">
      <c r="A49" s="112"/>
      <c r="B49" s="280">
        <f>SUM(Tabla936173055235763909354663447734123[[#This Row],[Vida]],Tabla936173055235763909354663447734123[[#This Row],[Gmm]])</f>
        <v>0</v>
      </c>
      <c r="C49" s="113">
        <v>0</v>
      </c>
      <c r="D49" s="103">
        <v>0</v>
      </c>
      <c r="E49" s="277">
        <f>_xlfn.XLOOKUP(Tabla936173055235763909354663447734123[[#This Row],[Asesor]],Tabla4851894224[Columna1],Tabla4851894224[Columna12],0)</f>
        <v>0</v>
      </c>
      <c r="F49" s="253">
        <f>_xlfn.XLOOKUP(Tabla936173055235763909354663447734123[[#This Row],[Asesor]],Tabla4851894224[Columna1],Tabla4851894224[Columna3],0)</f>
        <v>0</v>
      </c>
      <c r="G49" s="254">
        <f>SUM(Tabla936173055235763909354663447734123[[#This Row],[Prima Pagada vida]],Tabla936173055235763909354663447734123[[#This Row],[Prima Pagada gmm]])</f>
        <v>0</v>
      </c>
    </row>
    <row r="50" spans="1:11" ht="13" x14ac:dyDescent="0.15">
      <c r="A50" s="112"/>
      <c r="B50" s="280">
        <f>SUM(Tabla936173055235763909354663447734123[[#This Row],[Vida]],Tabla936173055235763909354663447734123[[#This Row],[Gmm]])</f>
        <v>0</v>
      </c>
      <c r="C50" s="113">
        <v>0</v>
      </c>
      <c r="D50" s="103">
        <v>0</v>
      </c>
      <c r="E50" s="277">
        <f>_xlfn.XLOOKUP(Tabla936173055235763909354663447734123[[#This Row],[Asesor]],Tabla4851894224[Columna1],Tabla4851894224[Columna12],0)</f>
        <v>0</v>
      </c>
      <c r="F50" s="253">
        <f>_xlfn.XLOOKUP(Tabla936173055235763909354663447734123[[#This Row],[Asesor]],Tabla4851894224[Columna1],Tabla4851894224[Columna3],0)</f>
        <v>0</v>
      </c>
      <c r="G50" s="254">
        <f>SUM(Tabla936173055235763909354663447734123[[#This Row],[Prima Pagada vida]],Tabla936173055235763909354663447734123[[#This Row],[Prima Pagada gmm]])</f>
        <v>0</v>
      </c>
    </row>
    <row r="51" spans="1:11" ht="13" x14ac:dyDescent="0.15">
      <c r="A51" s="112"/>
      <c r="B51" s="284">
        <f>SUM(Tabla936173055235763909354663447734123[[#This Row],[Vida]],Tabla936173055235763909354663447734123[[#This Row],[Gmm]])</f>
        <v>0</v>
      </c>
      <c r="C51" s="113">
        <v>0</v>
      </c>
      <c r="D51" s="286"/>
      <c r="E51" s="287">
        <f>_xlfn.XLOOKUP(Tabla936173055235763909354663447734123[[#This Row],[Asesor]],Tabla4851894224[Columna1],Tabla4851894224[Columna12],0)</f>
        <v>0</v>
      </c>
      <c r="F51" s="288">
        <f>_xlfn.XLOOKUP(Tabla936173055235763909354663447734123[[#This Row],[Asesor]],Tabla4851894224[Columna1],Tabla4851894224[Columna3],0)</f>
        <v>0</v>
      </c>
      <c r="G51" s="289">
        <f>SUM(Tabla936173055235763909354663447734123[[#This Row],[Prima Pagada vida]],Tabla936173055235763909354663447734123[[#This Row],[Prima Pagada gmm]])</f>
        <v>0</v>
      </c>
    </row>
    <row r="52" spans="1:11" ht="13" x14ac:dyDescent="0.15">
      <c r="A52" s="43" t="s">
        <v>50</v>
      </c>
      <c r="B52" s="214">
        <f>SUM(Tabla936173055235763909354663447734123[[Pólizas ]])</f>
        <v>47.5</v>
      </c>
      <c r="C52" s="215">
        <f>SUM(Tabla936173055235763909354663447734123[Vida])</f>
        <v>40</v>
      </c>
      <c r="D52" s="216">
        <f>SUM(Tabla936173055235763909354663447734123[Prima Pagada vida])</f>
        <v>2212268.0499999998</v>
      </c>
      <c r="E52" s="290">
        <f>SUM(Tabla936173055235763909354663447734123[Gmm])</f>
        <v>7.5</v>
      </c>
      <c r="F52" s="216">
        <f>SUM(Tabla936173055235763909354663447734123[Prima Pagada gmm])</f>
        <v>346641.91999999993</v>
      </c>
      <c r="G52" s="216">
        <f>SUM(Tabla936173055235763909354663447734123[Prima total])</f>
        <v>2558909.9699999993</v>
      </c>
    </row>
    <row r="57" spans="1:11" x14ac:dyDescent="0.2">
      <c r="G57" s="295"/>
    </row>
    <row r="58" spans="1:11" ht="13" x14ac:dyDescent="0.15">
      <c r="A58" s="1" t="s">
        <v>187</v>
      </c>
      <c r="B58" s="1" t="s">
        <v>188</v>
      </c>
      <c r="C58" s="1" t="s">
        <v>189</v>
      </c>
      <c r="D58" s="1" t="s">
        <v>190</v>
      </c>
      <c r="E58" s="1" t="s">
        <v>191</v>
      </c>
      <c r="G58" s="1"/>
    </row>
    <row r="59" spans="1:11" ht="15" hidden="1" x14ac:dyDescent="0.15">
      <c r="A59" s="303" t="s">
        <v>159</v>
      </c>
      <c r="B59" s="306" t="s">
        <v>199</v>
      </c>
      <c r="C59" s="307" t="s">
        <v>197</v>
      </c>
      <c r="D59" s="308">
        <v>24906.443788799996</v>
      </c>
      <c r="E59" s="230" cm="1">
        <f t="array" ref="E59">D59/_xlfn.IFS(B59="MENSUAL",12,B59="TRIMESTRAL",4,B59="SEMESTRAL",2,B59="ANUAL",1)</f>
        <v>2075.5369823999995</v>
      </c>
      <c r="G59" s="273"/>
      <c r="H59" s="281"/>
      <c r="I59" s="282"/>
      <c r="J59" s="283"/>
      <c r="K59" s="230"/>
    </row>
    <row r="60" spans="1:11" hidden="1" x14ac:dyDescent="0.2">
      <c r="A60" s="303" t="s">
        <v>240</v>
      </c>
      <c r="B60" s="306" t="s">
        <v>199</v>
      </c>
      <c r="C60" s="307" t="s">
        <v>197</v>
      </c>
      <c r="D60" s="308">
        <v>37328.318264267989</v>
      </c>
      <c r="E60" s="230" cm="1">
        <f t="array" ref="E60">D60/_xlfn.IFS(B60="MENSUAL",12,B60="TRIMESTRAL",4,B60="SEMESTRAL",2,B60="ANUAL",1)</f>
        <v>3110.6931886889993</v>
      </c>
      <c r="G60" s="273"/>
      <c r="H60" s="281"/>
      <c r="I60" s="298"/>
      <c r="J60" s="283"/>
      <c r="K60" s="230"/>
    </row>
    <row r="61" spans="1:11" ht="15" hidden="1" x14ac:dyDescent="0.15">
      <c r="A61" s="303" t="s">
        <v>226</v>
      </c>
      <c r="B61" s="306" t="s">
        <v>198</v>
      </c>
      <c r="C61" s="307" t="s">
        <v>194</v>
      </c>
      <c r="D61" s="308">
        <v>35721.82</v>
      </c>
      <c r="E61" s="230" cm="1">
        <f t="array" ref="E61">D61/_xlfn.IFS(B61="MENSUAL",12,B61="TRIMESTRAL",4,B61="SEMESTRAL",2,B61="ANUAL",1)</f>
        <v>35721.82</v>
      </c>
      <c r="G61" s="273"/>
      <c r="H61" s="281"/>
      <c r="I61" s="299"/>
      <c r="J61" s="283"/>
      <c r="K61" s="230"/>
    </row>
    <row r="62" spans="1:11" ht="15" hidden="1" x14ac:dyDescent="0.15">
      <c r="A62" s="303" t="s">
        <v>226</v>
      </c>
      <c r="B62" s="306" t="s">
        <v>198</v>
      </c>
      <c r="C62" s="307" t="s">
        <v>197</v>
      </c>
      <c r="D62" s="308">
        <v>59995.921658799998</v>
      </c>
      <c r="E62" s="230" cm="1">
        <f t="array" ref="E62">D62/_xlfn.IFS(B62="MENSUAL",12,B62="TRIMESTRAL",4,B62="SEMESTRAL",2,B62="ANUAL",1)</f>
        <v>59995.921658799998</v>
      </c>
      <c r="G62" s="273"/>
      <c r="H62" s="281"/>
      <c r="I62" s="282"/>
      <c r="J62" s="283"/>
      <c r="K62" s="230"/>
    </row>
    <row r="63" spans="1:11" ht="15" hidden="1" x14ac:dyDescent="0.15">
      <c r="A63" s="303" t="s">
        <v>226</v>
      </c>
      <c r="B63" s="306" t="s">
        <v>198</v>
      </c>
      <c r="C63" s="307" t="s">
        <v>197</v>
      </c>
      <c r="D63" s="308">
        <v>36063.319340720001</v>
      </c>
      <c r="E63" s="230" cm="1">
        <f t="array" ref="E63">D63/_xlfn.IFS(B63="MENSUAL",12,B63="TRIMESTRAL",4,B63="SEMESTRAL",2,B63="ANUAL",1)</f>
        <v>36063.319340720001</v>
      </c>
      <c r="G63" s="273"/>
      <c r="H63" s="281"/>
      <c r="I63" s="282"/>
      <c r="J63" s="283"/>
      <c r="K63" s="230"/>
    </row>
    <row r="64" spans="1:11" hidden="1" x14ac:dyDescent="0.2">
      <c r="A64" s="303" t="s">
        <v>195</v>
      </c>
      <c r="B64" s="306" t="s">
        <v>198</v>
      </c>
      <c r="C64" s="307" t="s">
        <v>197</v>
      </c>
      <c r="D64" s="308">
        <v>49779.00217629</v>
      </c>
      <c r="E64" s="230" cm="1">
        <f t="array" ref="E64">D64/_xlfn.IFS(B64="MENSUAL",12,B64="TRIMESTRAL",4,B64="SEMESTRAL",2,B64="ANUAL",1)</f>
        <v>49779.00217629</v>
      </c>
      <c r="G64" s="295"/>
    </row>
    <row r="65" spans="1:5" hidden="1" x14ac:dyDescent="0.2">
      <c r="A65" s="303" t="s">
        <v>195</v>
      </c>
      <c r="B65" s="306" t="s">
        <v>198</v>
      </c>
      <c r="C65" s="307" t="s">
        <v>197</v>
      </c>
      <c r="D65" s="308">
        <v>65650.100248799994</v>
      </c>
      <c r="E65" s="230" cm="1">
        <f t="array" ref="E65">D65/_xlfn.IFS(B65="MENSUAL",12,B65="TRIMESTRAL",4,B65="SEMESTRAL",2,B65="ANUAL",1)</f>
        <v>65650.100248799994</v>
      </c>
    </row>
    <row r="66" spans="1:5" hidden="1" x14ac:dyDescent="0.2">
      <c r="A66" s="303" t="s">
        <v>145</v>
      </c>
      <c r="B66" s="306" t="s">
        <v>199</v>
      </c>
      <c r="C66" s="307" t="s">
        <v>194</v>
      </c>
      <c r="D66" s="308">
        <v>39424.199999999997</v>
      </c>
      <c r="E66" s="230" cm="1">
        <f t="array" ref="E66">D66/_xlfn.IFS(B66="MENSUAL",12,B66="TRIMESTRAL",4,B66="SEMESTRAL",2,B66="ANUAL",1)</f>
        <v>3285.35</v>
      </c>
    </row>
    <row r="67" spans="1:5" hidden="1" x14ac:dyDescent="0.2">
      <c r="A67" s="303" t="s">
        <v>145</v>
      </c>
      <c r="B67" s="306" t="s">
        <v>199</v>
      </c>
      <c r="C67" s="307" t="s">
        <v>197</v>
      </c>
      <c r="D67" s="308">
        <v>18971.418459840002</v>
      </c>
      <c r="E67" s="230" cm="1">
        <f t="array" ref="E67">D67/_xlfn.IFS(B67="MENSUAL",12,B67="TRIMESTRAL",4,B67="SEMESTRAL",2,B67="ANUAL",1)</f>
        <v>1580.9515383200003</v>
      </c>
    </row>
    <row r="68" spans="1:5" hidden="1" x14ac:dyDescent="0.2">
      <c r="A68" s="303" t="s">
        <v>145</v>
      </c>
      <c r="B68" s="306" t="s">
        <v>199</v>
      </c>
      <c r="C68" s="307" t="s">
        <v>197</v>
      </c>
      <c r="D68" s="308">
        <v>21503.624989439999</v>
      </c>
      <c r="E68" s="230" cm="1">
        <f t="array" ref="E68">D68/_xlfn.IFS(B68="MENSUAL",12,B68="TRIMESTRAL",4,B68="SEMESTRAL",2,B68="ANUAL",1)</f>
        <v>1791.96874912</v>
      </c>
    </row>
    <row r="69" spans="1:5" hidden="1" x14ac:dyDescent="0.2">
      <c r="A69" s="303" t="s">
        <v>145</v>
      </c>
      <c r="B69" s="306" t="s">
        <v>199</v>
      </c>
      <c r="C69" s="307" t="s">
        <v>197</v>
      </c>
      <c r="D69" s="308">
        <v>30109.948688159999</v>
      </c>
      <c r="E69" s="230" cm="1">
        <f t="array" ref="E69">D69/_xlfn.IFS(B69="MENSUAL",12,B69="TRIMESTRAL",4,B69="SEMESTRAL",2,B69="ANUAL",1)</f>
        <v>2509.16239068</v>
      </c>
    </row>
    <row r="70" spans="1:5" hidden="1" x14ac:dyDescent="0.2">
      <c r="A70" s="303" t="s">
        <v>147</v>
      </c>
      <c r="B70" s="306" t="s">
        <v>199</v>
      </c>
      <c r="C70" s="307" t="s">
        <v>197</v>
      </c>
      <c r="D70" s="308">
        <v>36223.239460800003</v>
      </c>
      <c r="E70" s="230" cm="1">
        <f t="array" ref="E70">D70/_xlfn.IFS(B70="MENSUAL",12,B70="TRIMESTRAL",4,B70="SEMESTRAL",2,B70="ANUAL",1)</f>
        <v>3018.6032884000001</v>
      </c>
    </row>
    <row r="71" spans="1:5" hidden="1" x14ac:dyDescent="0.2">
      <c r="A71" s="303" t="s">
        <v>241</v>
      </c>
      <c r="B71" s="306" t="s">
        <v>196</v>
      </c>
      <c r="C71" s="307" t="s">
        <v>197</v>
      </c>
      <c r="D71" s="308">
        <v>33075.082135320001</v>
      </c>
      <c r="E71" s="230" cm="1">
        <f t="array" ref="E71">D71/_xlfn.IFS(B71="MENSUAL",12,B71="TRIMESTRAL",4,B71="SEMESTRAL",2,B71="ANUAL",1)</f>
        <v>8268.7705338300002</v>
      </c>
    </row>
    <row r="72" spans="1:5" hidden="1" x14ac:dyDescent="0.2">
      <c r="A72" s="303" t="s">
        <v>241</v>
      </c>
      <c r="B72" s="306" t="s">
        <v>196</v>
      </c>
      <c r="C72" s="307" t="s">
        <v>197</v>
      </c>
      <c r="D72" s="308">
        <v>32503.75161096</v>
      </c>
      <c r="E72" s="230" cm="1">
        <f t="array" ref="E72">D72/_xlfn.IFS(B72="MENSUAL",12,B72="TRIMESTRAL",4,B72="SEMESTRAL",2,B72="ANUAL",1)</f>
        <v>8125.93790274</v>
      </c>
    </row>
    <row r="73" spans="1:5" hidden="1" x14ac:dyDescent="0.2">
      <c r="A73" s="303" t="s">
        <v>242</v>
      </c>
      <c r="B73" s="306" t="s">
        <v>199</v>
      </c>
      <c r="C73" s="307" t="s">
        <v>197</v>
      </c>
      <c r="D73" s="308">
        <v>17161.679819451598</v>
      </c>
      <c r="E73" s="230" cm="1">
        <f t="array" ref="E73">D73/_xlfn.IFS(B73="MENSUAL",12,B73="TRIMESTRAL",4,B73="SEMESTRAL",2,B73="ANUAL",1)</f>
        <v>1430.1399849542997</v>
      </c>
    </row>
    <row r="74" spans="1:5" hidden="1" x14ac:dyDescent="0.2">
      <c r="A74" s="303" t="s">
        <v>201</v>
      </c>
      <c r="B74" s="306" t="s">
        <v>199</v>
      </c>
      <c r="C74" s="307" t="s">
        <v>194</v>
      </c>
      <c r="D74" s="308">
        <v>30041.279999999999</v>
      </c>
      <c r="E74" s="230" cm="1">
        <f t="array" ref="E74">D74/_xlfn.IFS(B74="MENSUAL",12,B74="TRIMESTRAL",4,B74="SEMESTRAL",2,B74="ANUAL",1)</f>
        <v>2503.44</v>
      </c>
    </row>
    <row r="75" spans="1:5" hidden="1" x14ac:dyDescent="0.2">
      <c r="A75" s="303" t="s">
        <v>201</v>
      </c>
      <c r="B75" s="306" t="s">
        <v>199</v>
      </c>
      <c r="C75" s="307" t="s">
        <v>194</v>
      </c>
      <c r="D75" s="308">
        <v>50775.600000000006</v>
      </c>
      <c r="E75" s="230" cm="1">
        <f t="array" ref="E75">D75/_xlfn.IFS(B75="MENSUAL",12,B75="TRIMESTRAL",4,B75="SEMESTRAL",2,B75="ANUAL",1)</f>
        <v>4231.3</v>
      </c>
    </row>
    <row r="76" spans="1:5" hidden="1" x14ac:dyDescent="0.2">
      <c r="A76" s="303" t="s">
        <v>161</v>
      </c>
      <c r="B76" s="306" t="s">
        <v>198</v>
      </c>
      <c r="C76" s="307" t="s">
        <v>197</v>
      </c>
      <c r="D76" s="308">
        <v>145893.4610406</v>
      </c>
      <c r="E76" s="230" cm="1">
        <f t="array" ref="E76">D76/_xlfn.IFS(B76="MENSUAL",12,B76="TRIMESTRAL",4,B76="SEMESTRAL",2,B76="ANUAL",1)</f>
        <v>145893.4610406</v>
      </c>
    </row>
    <row r="77" spans="1:5" hidden="1" x14ac:dyDescent="0.2">
      <c r="A77" s="303" t="s">
        <v>243</v>
      </c>
      <c r="B77" s="306" t="s">
        <v>198</v>
      </c>
      <c r="C77" s="307" t="s">
        <v>197</v>
      </c>
      <c r="D77" s="308">
        <v>191564.73908906002</v>
      </c>
      <c r="E77" s="230" cm="1">
        <f t="array" ref="E77">D77/_xlfn.IFS(B77="MENSUAL",12,B77="TRIMESTRAL",4,B77="SEMESTRAL",2,B77="ANUAL",1)</f>
        <v>191564.73908906002</v>
      </c>
    </row>
    <row r="78" spans="1:5" hidden="1" x14ac:dyDescent="0.2">
      <c r="A78" s="303" t="s">
        <v>231</v>
      </c>
      <c r="B78" s="306" t="s">
        <v>193</v>
      </c>
      <c r="C78" s="307" t="s">
        <v>197</v>
      </c>
      <c r="D78" s="308">
        <v>35758.326685800006</v>
      </c>
      <c r="E78" s="230" cm="1">
        <f t="array" ref="E78">D78/_xlfn.IFS(B78="MENSUAL",12,B78="TRIMESTRAL",4,B78="SEMESTRAL",2,B78="ANUAL",1)</f>
        <v>17879.163342900003</v>
      </c>
    </row>
    <row r="79" spans="1:5" hidden="1" x14ac:dyDescent="0.2">
      <c r="A79" s="303" t="s">
        <v>231</v>
      </c>
      <c r="B79" s="306" t="s">
        <v>198</v>
      </c>
      <c r="C79" s="307" t="s">
        <v>194</v>
      </c>
      <c r="D79" s="308">
        <v>24780</v>
      </c>
      <c r="E79" s="230" cm="1">
        <f t="array" ref="E79">D79/_xlfn.IFS(B79="MENSUAL",12,B79="TRIMESTRAL",4,B79="SEMESTRAL",2,B79="ANUAL",1)</f>
        <v>24780</v>
      </c>
    </row>
    <row r="80" spans="1:5" hidden="1" x14ac:dyDescent="0.2">
      <c r="A80" s="303" t="s">
        <v>163</v>
      </c>
      <c r="B80" s="306" t="s">
        <v>193</v>
      </c>
      <c r="C80" s="307" t="s">
        <v>197</v>
      </c>
      <c r="D80" s="308">
        <v>19756.742717399997</v>
      </c>
      <c r="E80" s="230" cm="1">
        <f t="array" ref="E80">D80/_xlfn.IFS(B80="MENSUAL",12,B80="TRIMESTRAL",4,B80="SEMESTRAL",2,B80="ANUAL",1)</f>
        <v>9878.3713586999984</v>
      </c>
    </row>
    <row r="81" spans="1:5" hidden="1" x14ac:dyDescent="0.2">
      <c r="A81" s="303" t="s">
        <v>163</v>
      </c>
      <c r="B81" s="306" t="s">
        <v>199</v>
      </c>
      <c r="C81" s="307" t="s">
        <v>197</v>
      </c>
      <c r="D81" s="308">
        <v>28714.2149941752</v>
      </c>
      <c r="E81" s="230" cm="1">
        <f t="array" ref="E81">D81/_xlfn.IFS(B81="MENSUAL",12,B81="TRIMESTRAL",4,B81="SEMESTRAL",2,B81="ANUAL",1)</f>
        <v>2392.8512495146001</v>
      </c>
    </row>
    <row r="82" spans="1:5" hidden="1" x14ac:dyDescent="0.2">
      <c r="A82" s="303" t="s">
        <v>149</v>
      </c>
      <c r="B82" s="306" t="s">
        <v>198</v>
      </c>
      <c r="C82" s="307" t="s">
        <v>194</v>
      </c>
      <c r="D82" s="308">
        <v>10508.23</v>
      </c>
      <c r="E82" s="230" cm="1">
        <f t="array" ref="E82">D82/_xlfn.IFS(B82="MENSUAL",12,B82="TRIMESTRAL",4,B82="SEMESTRAL",2,B82="ANUAL",1)</f>
        <v>10508.23</v>
      </c>
    </row>
    <row r="83" spans="1:5" hidden="1" x14ac:dyDescent="0.2">
      <c r="A83" s="303" t="s">
        <v>149</v>
      </c>
      <c r="B83" s="306" t="s">
        <v>198</v>
      </c>
      <c r="C83" s="307" t="s">
        <v>194</v>
      </c>
      <c r="D83" s="308">
        <v>19875.68</v>
      </c>
      <c r="E83" s="230" cm="1">
        <f t="array" ref="E83">D83/_xlfn.IFS(B83="MENSUAL",12,B83="TRIMESTRAL",4,B83="SEMESTRAL",2,B83="ANUAL",1)</f>
        <v>19875.68</v>
      </c>
    </row>
    <row r="84" spans="1:5" hidden="1" x14ac:dyDescent="0.2">
      <c r="A84" s="303" t="s">
        <v>149</v>
      </c>
      <c r="B84" s="306" t="s">
        <v>198</v>
      </c>
      <c r="C84" s="307" t="s">
        <v>194</v>
      </c>
      <c r="D84" s="308">
        <v>13844.84</v>
      </c>
      <c r="E84" s="230" cm="1">
        <f t="array" ref="E84">D84/_xlfn.IFS(B84="MENSUAL",12,B84="TRIMESTRAL",4,B84="SEMESTRAL",2,B84="ANUAL",1)</f>
        <v>13844.84</v>
      </c>
    </row>
    <row r="85" spans="1:5" hidden="1" x14ac:dyDescent="0.2">
      <c r="A85" s="303" t="s">
        <v>149</v>
      </c>
      <c r="B85" s="306" t="s">
        <v>199</v>
      </c>
      <c r="C85" s="307" t="s">
        <v>194</v>
      </c>
      <c r="D85" s="308">
        <v>37671.96</v>
      </c>
      <c r="E85" s="230" cm="1">
        <f t="array" ref="E85">D85/_xlfn.IFS(B85="MENSUAL",12,B85="TRIMESTRAL",4,B85="SEMESTRAL",2,B85="ANUAL",1)</f>
        <v>3139.33</v>
      </c>
    </row>
    <row r="86" spans="1:5" hidden="1" x14ac:dyDescent="0.2">
      <c r="A86" s="303" t="s">
        <v>149</v>
      </c>
      <c r="B86" s="306" t="s">
        <v>198</v>
      </c>
      <c r="C86" s="307" t="s">
        <v>194</v>
      </c>
      <c r="D86" s="308">
        <v>6897.41</v>
      </c>
      <c r="E86" s="230" cm="1">
        <f t="array" ref="E86">D86/_xlfn.IFS(B86="MENSUAL",12,B86="TRIMESTRAL",4,B86="SEMESTRAL",2,B86="ANUAL",1)</f>
        <v>6897.41</v>
      </c>
    </row>
    <row r="87" spans="1:5" hidden="1" x14ac:dyDescent="0.2">
      <c r="A87" s="303" t="s">
        <v>153</v>
      </c>
      <c r="B87" s="306" t="s">
        <v>199</v>
      </c>
      <c r="C87" s="307" t="s">
        <v>197</v>
      </c>
      <c r="D87" s="308">
        <v>65400.111213749988</v>
      </c>
      <c r="E87" s="230" cm="1">
        <f t="array" ref="E87">D87/_xlfn.IFS(B87="MENSUAL",12,B87="TRIMESTRAL",4,B87="SEMESTRAL",2,B87="ANUAL",1)</f>
        <v>5450.0092678124993</v>
      </c>
    </row>
    <row r="88" spans="1:5" hidden="1" x14ac:dyDescent="0.2">
      <c r="A88" s="303" t="s">
        <v>153</v>
      </c>
      <c r="B88" s="306" t="s">
        <v>199</v>
      </c>
      <c r="C88" s="307" t="s">
        <v>197</v>
      </c>
      <c r="D88" s="308">
        <v>65765.734326635997</v>
      </c>
      <c r="E88" s="230" cm="1">
        <f t="array" ref="E88">D88/_xlfn.IFS(B88="MENSUAL",12,B88="TRIMESTRAL",4,B88="SEMESTRAL",2,B88="ANUAL",1)</f>
        <v>5480.477860553</v>
      </c>
    </row>
    <row r="89" spans="1:5" hidden="1" x14ac:dyDescent="0.2">
      <c r="A89" s="303" t="s">
        <v>153</v>
      </c>
      <c r="B89" s="306" t="s">
        <v>199</v>
      </c>
      <c r="C89" s="307" t="s">
        <v>197</v>
      </c>
      <c r="D89" s="308">
        <v>64994.054531699992</v>
      </c>
      <c r="E89" s="230" cm="1">
        <f t="array" ref="E89">D89/_xlfn.IFS(B89="MENSUAL",12,B89="TRIMESTRAL",4,B89="SEMESTRAL",2,B89="ANUAL",1)</f>
        <v>5416.1712109749997</v>
      </c>
    </row>
    <row r="90" spans="1:5" x14ac:dyDescent="0.2">
      <c r="A90" s="303" t="s">
        <v>155</v>
      </c>
      <c r="B90" s="306" t="s">
        <v>198</v>
      </c>
      <c r="C90" s="307" t="s">
        <v>194</v>
      </c>
      <c r="D90" s="308">
        <v>20551.52</v>
      </c>
      <c r="E90" s="230" cm="1">
        <f t="array" ref="E90">D90/_xlfn.IFS(B90="MENSUAL",12,B90="TRIMESTRAL",4,B90="SEMESTRAL",2,B90="ANUAL",1)</f>
        <v>20551.52</v>
      </c>
    </row>
    <row r="91" spans="1:5" x14ac:dyDescent="0.2">
      <c r="A91" s="303" t="s">
        <v>155</v>
      </c>
      <c r="B91" s="306" t="s">
        <v>198</v>
      </c>
      <c r="C91" s="307" t="s">
        <v>194</v>
      </c>
      <c r="D91" s="308">
        <v>161635.44</v>
      </c>
      <c r="E91" s="230" cm="1">
        <f t="array" ref="E91">D91/_xlfn.IFS(B91="MENSUAL",12,B91="TRIMESTRAL",4,B91="SEMESTRAL",2,B91="ANUAL",1)</f>
        <v>161635.44</v>
      </c>
    </row>
    <row r="92" spans="1:5" x14ac:dyDescent="0.2">
      <c r="A92" s="303" t="s">
        <v>155</v>
      </c>
      <c r="B92" s="306" t="s">
        <v>199</v>
      </c>
      <c r="C92" s="307" t="s">
        <v>197</v>
      </c>
      <c r="D92" s="308">
        <v>47674.43560836</v>
      </c>
      <c r="E92" s="230" cm="1">
        <f t="array" ref="E92">D92/_xlfn.IFS(B92="MENSUAL",12,B92="TRIMESTRAL",4,B92="SEMESTRAL",2,B92="ANUAL",1)</f>
        <v>3972.8696340299998</v>
      </c>
    </row>
    <row r="93" spans="1:5" x14ac:dyDescent="0.2">
      <c r="A93" s="303" t="s">
        <v>155</v>
      </c>
      <c r="B93" s="306" t="s">
        <v>199</v>
      </c>
      <c r="C93" s="307" t="s">
        <v>197</v>
      </c>
      <c r="D93" s="308">
        <v>88995.49463999999</v>
      </c>
      <c r="E93" s="304" cm="1">
        <f t="array" ref="E93">D93/_xlfn.IFS(B93="MENSUAL",12,B93="TRIMESTRAL",4,B93="SEMESTRAL",2,B93="ANUAL",1)</f>
        <v>7416.2912199999992</v>
      </c>
    </row>
    <row r="94" spans="1:5" hidden="1" x14ac:dyDescent="0.2">
      <c r="A94" s="303" t="s">
        <v>203</v>
      </c>
      <c r="B94" s="306" t="s">
        <v>198</v>
      </c>
      <c r="C94" s="307" t="s">
        <v>197</v>
      </c>
      <c r="D94" s="308">
        <v>28936.077418360001</v>
      </c>
      <c r="E94" s="304" cm="1">
        <f t="array" ref="E94">D94/_xlfn.IFS(B94="MENSUAL",12,B94="TRIMESTRAL",4,B94="SEMESTRAL",2,B94="ANUAL",1)</f>
        <v>28936.077418360001</v>
      </c>
    </row>
    <row r="95" spans="1:5" hidden="1" x14ac:dyDescent="0.2">
      <c r="A95" s="303" t="s">
        <v>203</v>
      </c>
      <c r="B95" s="306" t="s">
        <v>198</v>
      </c>
      <c r="C95" s="307" t="s">
        <v>197</v>
      </c>
      <c r="D95" s="308">
        <v>23866.29423241</v>
      </c>
      <c r="E95" s="304" cm="1">
        <f t="array" ref="E95">D95/_xlfn.IFS(B95="MENSUAL",12,B95="TRIMESTRAL",4,B95="SEMESTRAL",2,B95="ANUAL",1)</f>
        <v>23866.29423241</v>
      </c>
    </row>
    <row r="96" spans="1:5" hidden="1" x14ac:dyDescent="0.2">
      <c r="A96" s="303" t="s">
        <v>157</v>
      </c>
      <c r="B96" s="306" t="s">
        <v>199</v>
      </c>
      <c r="C96" s="307" t="s">
        <v>197</v>
      </c>
      <c r="D96" s="308">
        <v>25856.183505600005</v>
      </c>
      <c r="E96" s="304" cm="1">
        <f t="array" ref="E96">D96/_xlfn.IFS(B96="MENSUAL",12,B96="TRIMESTRAL",4,B96="SEMESTRAL",2,B96="ANUAL",1)</f>
        <v>2154.6819588000003</v>
      </c>
    </row>
    <row r="97" spans="1:5" hidden="1" x14ac:dyDescent="0.2">
      <c r="A97" s="303" t="s">
        <v>157</v>
      </c>
      <c r="B97" s="306" t="s">
        <v>199</v>
      </c>
      <c r="C97" s="307" t="s">
        <v>197</v>
      </c>
      <c r="D97" s="308">
        <v>21291.369463679999</v>
      </c>
      <c r="E97" s="304" cm="1">
        <f t="array" ref="E97">D97/_xlfn.IFS(B97="MENSUAL",12,B97="TRIMESTRAL",4,B97="SEMESTRAL",2,B97="ANUAL",1)</f>
        <v>1774.2807886399999</v>
      </c>
    </row>
    <row r="98" spans="1:5" hidden="1" x14ac:dyDescent="0.2">
      <c r="A98" s="303" t="s">
        <v>205</v>
      </c>
      <c r="B98" s="306" t="s">
        <v>198</v>
      </c>
      <c r="C98" s="307" t="s">
        <v>197</v>
      </c>
      <c r="D98" s="308">
        <v>138938.2231</v>
      </c>
      <c r="E98" s="304" cm="1">
        <f t="array" ref="E98">D98/_xlfn.IFS(B98="MENSUAL",12,B98="TRIMESTRAL",4,B98="SEMESTRAL",2,B98="ANUAL",1)</f>
        <v>138938.2231</v>
      </c>
    </row>
    <row r="99" spans="1:5" hidden="1" x14ac:dyDescent="0.2">
      <c r="A99" s="303" t="s">
        <v>205</v>
      </c>
      <c r="B99" s="306" t="s">
        <v>198</v>
      </c>
      <c r="C99" s="307" t="s">
        <v>197</v>
      </c>
      <c r="D99" s="308">
        <v>20123.50344</v>
      </c>
      <c r="E99" s="304" cm="1">
        <f t="array" ref="E99">D99/_xlfn.IFS(B99="MENSUAL",12,B99="TRIMESTRAL",4,B99="SEMESTRAL",2,B99="ANUAL",1)</f>
        <v>20123.50344</v>
      </c>
    </row>
    <row r="100" spans="1:5" hidden="1" x14ac:dyDescent="0.2">
      <c r="A100" s="303" t="s">
        <v>205</v>
      </c>
      <c r="B100" s="306" t="s">
        <v>198</v>
      </c>
      <c r="C100" s="307" t="s">
        <v>197</v>
      </c>
      <c r="D100" s="308">
        <v>121996.848</v>
      </c>
      <c r="E100" s="304" cm="1">
        <f t="array" ref="E100">D100/_xlfn.IFS(B100="MENSUAL",12,B100="TRIMESTRAL",4,B100="SEMESTRAL",2,B100="ANUAL",1)</f>
        <v>121996.848</v>
      </c>
    </row>
    <row r="101" spans="1:5" hidden="1" x14ac:dyDescent="0.2">
      <c r="A101" s="303" t="s">
        <v>205</v>
      </c>
      <c r="B101" s="306" t="s">
        <v>198</v>
      </c>
      <c r="C101" s="307" t="s">
        <v>194</v>
      </c>
      <c r="D101" s="308">
        <v>34372.230000000003</v>
      </c>
      <c r="E101" s="304" cm="1">
        <f t="array" ref="E101">D101/_xlfn.IFS(B101="MENSUAL",12,B101="TRIMESTRAL",4,B101="SEMESTRAL",2,B101="ANUAL",1)</f>
        <v>34372.230000000003</v>
      </c>
    </row>
    <row r="102" spans="1:5" hidden="1" x14ac:dyDescent="0.2">
      <c r="A102" s="303" t="s">
        <v>205</v>
      </c>
      <c r="B102" s="306" t="s">
        <v>198</v>
      </c>
      <c r="C102" s="307" t="s">
        <v>197</v>
      </c>
      <c r="D102" s="308">
        <v>19944.129127200002</v>
      </c>
      <c r="E102" s="304" cm="1">
        <f t="array" ref="E102">D102/_xlfn.IFS(B102="MENSUAL",12,B102="TRIMESTRAL",4,B102="SEMESTRAL",2,B102="ANUAL",1)</f>
        <v>19944.129127200002</v>
      </c>
    </row>
    <row r="103" spans="1:5" hidden="1" x14ac:dyDescent="0.2">
      <c r="A103" s="303" t="s">
        <v>205</v>
      </c>
      <c r="B103" s="306" t="s">
        <v>199</v>
      </c>
      <c r="C103" s="307" t="s">
        <v>197</v>
      </c>
      <c r="D103" s="308">
        <v>21385.522891200002</v>
      </c>
      <c r="E103" s="304" cm="1">
        <f t="array" ref="E103">D103/_xlfn.IFS(B103="MENSUAL",12,B103="TRIMESTRAL",4,B103="SEMESTRAL",2,B103="ANUAL",1)</f>
        <v>1782.1269076000001</v>
      </c>
    </row>
    <row r="104" spans="1:5" hidden="1" x14ac:dyDescent="0.2">
      <c r="A104" s="303" t="s">
        <v>205</v>
      </c>
      <c r="B104" s="306" t="s">
        <v>199</v>
      </c>
      <c r="C104" s="307" t="s">
        <v>197</v>
      </c>
      <c r="D104" s="308">
        <v>18435.808956000001</v>
      </c>
      <c r="E104" s="304" cm="1">
        <f t="array" ref="E104">D104/_xlfn.IFS(B104="MENSUAL",12,B104="TRIMESTRAL",4,B104="SEMESTRAL",2,B104="ANUAL",1)</f>
        <v>1536.317413</v>
      </c>
    </row>
    <row r="105" spans="1:5" hidden="1" x14ac:dyDescent="0.2">
      <c r="A105" s="305"/>
      <c r="B105" s="306"/>
      <c r="C105" s="307"/>
      <c r="D105" s="308"/>
      <c r="E105" s="304"/>
    </row>
  </sheetData>
  <mergeCells count="1">
    <mergeCell ref="A4:H4"/>
  </mergeCells>
  <conditionalFormatting sqref="A6">
    <cfRule type="expression" dxfId="57" priority="25" stopIfTrue="1">
      <formula>$S$34=1</formula>
    </cfRule>
  </conditionalFormatting>
  <conditionalFormatting sqref="A7:A50">
    <cfRule type="expression" dxfId="56" priority="23" stopIfTrue="1">
      <formula>$S7=1</formula>
    </cfRule>
    <cfRule type="expression" dxfId="55" priority="24" stopIfTrue="1">
      <formula>$S6=1</formula>
    </cfRule>
  </conditionalFormatting>
  <conditionalFormatting sqref="A51">
    <cfRule type="expression" dxfId="54" priority="30" stopIfTrue="1">
      <formula>$T50=1</formula>
    </cfRule>
    <cfRule type="expression" dxfId="53" priority="29" stopIfTrue="1">
      <formula>$T51=1</formula>
    </cfRule>
  </conditionalFormatting>
  <conditionalFormatting sqref="A59:A105">
    <cfRule type="expression" dxfId="52" priority="7">
      <formula>$F59="TERMINADA"</formula>
    </cfRule>
    <cfRule type="expression" dxfId="51" priority="8">
      <formula>$F59="ANULADA"</formula>
    </cfRule>
  </conditionalFormatting>
  <conditionalFormatting sqref="B59:B105">
    <cfRule type="expression" dxfId="50" priority="5">
      <formula>$F59="TERMINADA"</formula>
    </cfRule>
    <cfRule type="expression" dxfId="49" priority="6">
      <formula>$F59="ANULADA"</formula>
    </cfRule>
  </conditionalFormatting>
  <conditionalFormatting sqref="C59:C105">
    <cfRule type="expression" dxfId="48" priority="2">
      <formula>$F59="ANULADA"</formula>
    </cfRule>
    <cfRule type="expression" dxfId="47" priority="1">
      <formula>$F59="TERMINADA"</formula>
    </cfRule>
  </conditionalFormatting>
  <conditionalFormatting sqref="C6:D6">
    <cfRule type="expression" dxfId="46" priority="39" stopIfTrue="1">
      <formula>#REF!=1</formula>
    </cfRule>
  </conditionalFormatting>
  <conditionalFormatting sqref="C7:D31 J8:J26 I27:J31">
    <cfRule type="expression" dxfId="45" priority="37" stopIfTrue="1">
      <formula>$T6=1</formula>
    </cfRule>
    <cfRule type="expression" dxfId="44" priority="36" stopIfTrue="1">
      <formula>$T7=1</formula>
    </cfRule>
  </conditionalFormatting>
  <conditionalFormatting sqref="C32:D32">
    <cfRule type="expression" dxfId="43" priority="67" stopIfTrue="1">
      <formula>$T31=1</formula>
    </cfRule>
  </conditionalFormatting>
  <conditionalFormatting sqref="C32:D51">
    <cfRule type="expression" dxfId="42" priority="40" stopIfTrue="1">
      <formula>$S32=1</formula>
    </cfRule>
  </conditionalFormatting>
  <conditionalFormatting sqref="C33:D51">
    <cfRule type="expression" dxfId="41" priority="41" stopIfTrue="1">
      <formula>$S32=1</formula>
    </cfRule>
  </conditionalFormatting>
  <conditionalFormatting sqref="D59:D105">
    <cfRule type="expression" dxfId="40" priority="3">
      <formula>$F59="TERMINADA"</formula>
    </cfRule>
    <cfRule type="expression" dxfId="39" priority="4">
      <formula>$F59="ANULADA"</formula>
    </cfRule>
  </conditionalFormatting>
  <conditionalFormatting sqref="E6:E28">
    <cfRule type="expression" dxfId="38" priority="63" stopIfTrue="1">
      <formula>$S9=1</formula>
    </cfRule>
  </conditionalFormatting>
  <conditionalFormatting sqref="E6:E47">
    <cfRule type="expression" dxfId="37" priority="53" stopIfTrue="1">
      <formula>#REF!=1</formula>
    </cfRule>
  </conditionalFormatting>
  <conditionalFormatting sqref="E29:E47">
    <cfRule type="expression" dxfId="36" priority="54" stopIfTrue="1">
      <formula>$R32=1</formula>
    </cfRule>
  </conditionalFormatting>
  <conditionalFormatting sqref="E40:E47">
    <cfRule type="expression" dxfId="35" priority="61" stopIfTrue="1">
      <formula>$R43=1</formula>
    </cfRule>
  </conditionalFormatting>
  <conditionalFormatting sqref="E40:E51">
    <cfRule type="expression" dxfId="34" priority="60" stopIfTrue="1">
      <formula>#REF!=1</formula>
    </cfRule>
  </conditionalFormatting>
  <conditionalFormatting sqref="E48:E51">
    <cfRule type="expression" dxfId="33" priority="69" stopIfTrue="1">
      <formula>$R52=1</formula>
    </cfRule>
    <cfRule type="expression" dxfId="32" priority="68" stopIfTrue="1">
      <formula>#REF!=1</formula>
    </cfRule>
    <cfRule type="expression" dxfId="31" priority="62" stopIfTrue="1">
      <formula>$R52=1</formula>
    </cfRule>
  </conditionalFormatting>
  <conditionalFormatting sqref="F6">
    <cfRule type="expression" dxfId="30" priority="65" stopIfTrue="1">
      <formula>$T5=1</formula>
    </cfRule>
  </conditionalFormatting>
  <conditionalFormatting sqref="F6:F31">
    <cfRule type="expression" dxfId="29" priority="64" stopIfTrue="1">
      <formula>$U6=1</formula>
    </cfRule>
  </conditionalFormatting>
  <conditionalFormatting sqref="F7:F32">
    <cfRule type="expression" dxfId="28" priority="66" stopIfTrue="1">
      <formula>$U6=1</formula>
    </cfRule>
  </conditionalFormatting>
  <conditionalFormatting sqref="F32:F51">
    <cfRule type="expression" dxfId="27" priority="55" stopIfTrue="1">
      <formula>$T32=1</formula>
    </cfRule>
  </conditionalFormatting>
  <conditionalFormatting sqref="F33:F51">
    <cfRule type="expression" dxfId="26" priority="56" stopIfTrue="1">
      <formula>$T32=1</formula>
    </cfRule>
  </conditionalFormatting>
  <conditionalFormatting sqref="F40:F51">
    <cfRule type="expression" dxfId="25" priority="58" stopIfTrue="1">
      <formula>$T39=1</formula>
    </cfRule>
    <cfRule type="expression" dxfId="24" priority="57" stopIfTrue="1">
      <formula>$T40=1</formula>
    </cfRule>
  </conditionalFormatting>
  <conditionalFormatting sqref="G59:H63 J59:J63">
    <cfRule type="expression" dxfId="23" priority="31">
      <formula>$F59="TERMINADA"</formula>
    </cfRule>
    <cfRule type="expression" dxfId="22" priority="32">
      <formula>$F59="ANULADA"</formula>
    </cfRule>
  </conditionalFormatting>
  <conditionalFormatting sqref="H5">
    <cfRule type="expression" dxfId="21" priority="49" stopIfTrue="1">
      <formula>#REF!=1</formula>
    </cfRule>
  </conditionalFormatting>
  <conditionalFormatting sqref="H6">
    <cfRule type="expression" dxfId="20" priority="59" stopIfTrue="1">
      <formula>$T5=1</formula>
    </cfRule>
  </conditionalFormatting>
  <conditionalFormatting sqref="H6:H26">
    <cfRule type="expression" dxfId="19" priority="50" stopIfTrue="1">
      <formula>$U6=1</formula>
    </cfRule>
  </conditionalFormatting>
  <conditionalFormatting sqref="H7:H21 H23:H26">
    <cfRule type="expression" dxfId="18" priority="51" stopIfTrue="1">
      <formula>$U6=1</formula>
    </cfRule>
  </conditionalFormatting>
  <conditionalFormatting sqref="H22">
    <cfRule type="expression" dxfId="17" priority="52" stopIfTrue="1">
      <formula>#REF!=1</formula>
    </cfRule>
  </conditionalFormatting>
  <conditionalFormatting sqref="I6">
    <cfRule type="expression" dxfId="16" priority="38" stopIfTrue="1">
      <formula>#REF!=1</formula>
    </cfRule>
  </conditionalFormatting>
  <conditionalFormatting sqref="I7">
    <cfRule type="expression" dxfId="15" priority="22" stopIfTrue="1">
      <formula>$S$34=1</formula>
    </cfRule>
  </conditionalFormatting>
  <conditionalFormatting sqref="I8:I26">
    <cfRule type="expression" dxfId="14" priority="20" stopIfTrue="1">
      <formula>$S8=1</formula>
    </cfRule>
    <cfRule type="expression" dxfId="13" priority="21" stopIfTrue="1">
      <formula>$S7=1</formula>
    </cfRule>
  </conditionalFormatting>
  <conditionalFormatting sqref="I59">
    <cfRule type="expression" dxfId="12" priority="46">
      <formula>#REF!="ANULADA"</formula>
    </cfRule>
    <cfRule type="expression" dxfId="11" priority="45">
      <formula>#REF!="TERMINADA"</formula>
    </cfRule>
  </conditionalFormatting>
  <conditionalFormatting sqref="I60">
    <cfRule type="expression" dxfId="10" priority="44">
      <formula>$F44="ANULADA"</formula>
    </cfRule>
    <cfRule type="expression" dxfId="9" priority="43">
      <formula>$F44="TERMINADA"</formula>
    </cfRule>
  </conditionalFormatting>
  <conditionalFormatting sqref="I61:I63">
    <cfRule type="expression" dxfId="8" priority="48">
      <formula>$F46="ANULADA"</formula>
    </cfRule>
    <cfRule type="expression" dxfId="7" priority="47">
      <formula>$F46="TERMINADA"</formula>
    </cfRule>
  </conditionalFormatting>
  <conditionalFormatting sqref="J6:J7">
    <cfRule type="expression" dxfId="6" priority="42" stopIfTrue="1">
      <formula>#REF!=1</formula>
    </cfRule>
  </conditionalFormatting>
  <conditionalFormatting sqref="K6:L6">
    <cfRule type="expression" dxfId="5" priority="35" stopIfTrue="1">
      <formula>#REF!=1</formula>
    </cfRule>
  </conditionalFormatting>
  <conditionalFormatting sqref="K7:L7">
    <cfRule type="expression" dxfId="4" priority="19" stopIfTrue="1">
      <formula>$S$34=1</formula>
    </cfRule>
  </conditionalFormatting>
  <conditionalFormatting sqref="K8:L18">
    <cfRule type="expression" dxfId="3" priority="17" stopIfTrue="1">
      <formula>$S8=1</formula>
    </cfRule>
    <cfRule type="expression" dxfId="2" priority="18" stopIfTrue="1">
      <formula>$S7=1</formula>
    </cfRule>
  </conditionalFormatting>
  <conditionalFormatting sqref="K19:L29">
    <cfRule type="expression" dxfId="1" priority="34" stopIfTrue="1">
      <formula>$T18=1</formula>
    </cfRule>
    <cfRule type="expression" dxfId="0" priority="33" stopIfTrue="1">
      <formula>$T19=1</formula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5AD-C6B0-7340-9C1F-71FB9C4BF6FE}">
  <dimension ref="A1:J47"/>
  <sheetViews>
    <sheetView tabSelected="1" topLeftCell="A9" zoomScale="82" workbookViewId="0">
      <selection activeCell="J34" sqref="J34"/>
    </sheetView>
  </sheetViews>
  <sheetFormatPr baseColWidth="10" defaultRowHeight="16" x14ac:dyDescent="0.2"/>
  <cols>
    <col min="1" max="1" width="33.5" bestFit="1" customWidth="1"/>
    <col min="4" max="4" width="14.6640625" style="309" customWidth="1"/>
    <col min="6" max="6" width="15.6640625" style="309" customWidth="1"/>
    <col min="7" max="7" width="17.1640625" style="309" customWidth="1"/>
    <col min="9" max="9" width="21.83203125" customWidth="1"/>
    <col min="10" max="10" width="21.5" customWidth="1"/>
  </cols>
  <sheetData>
    <row r="1" spans="1:10" x14ac:dyDescent="0.2">
      <c r="A1" t="s">
        <v>1</v>
      </c>
      <c r="B1" t="s">
        <v>2</v>
      </c>
      <c r="C1" t="s">
        <v>3</v>
      </c>
      <c r="D1" s="309" t="s">
        <v>122</v>
      </c>
      <c r="E1" t="s">
        <v>5</v>
      </c>
      <c r="F1" s="309" t="s">
        <v>123</v>
      </c>
      <c r="G1" s="309" t="s">
        <v>7</v>
      </c>
      <c r="I1" s="317" t="s">
        <v>125</v>
      </c>
      <c r="J1" s="317"/>
    </row>
    <row r="2" spans="1:10" x14ac:dyDescent="0.2">
      <c r="A2" t="s">
        <v>12</v>
      </c>
      <c r="B2">
        <v>6</v>
      </c>
      <c r="C2">
        <v>6</v>
      </c>
      <c r="D2" s="309">
        <v>1421726.6</v>
      </c>
      <c r="E2">
        <v>0</v>
      </c>
      <c r="F2" s="309">
        <v>0</v>
      </c>
      <c r="G2" s="309">
        <v>1421726.6</v>
      </c>
      <c r="I2" s="313" t="s">
        <v>252</v>
      </c>
      <c r="J2" s="310">
        <f>SUM(D2:D45)</f>
        <v>2426188.5056438991</v>
      </c>
    </row>
    <row r="3" spans="1:10" x14ac:dyDescent="0.2">
      <c r="A3" t="s">
        <v>13</v>
      </c>
      <c r="B3">
        <v>6.5</v>
      </c>
      <c r="C3">
        <v>6</v>
      </c>
      <c r="D3" s="309">
        <v>304321.14798779995</v>
      </c>
      <c r="E3">
        <v>0.5</v>
      </c>
      <c r="F3" s="309">
        <v>34372.230000000003</v>
      </c>
      <c r="G3" s="309">
        <v>338693.37798779993</v>
      </c>
      <c r="I3" s="313" t="s">
        <v>253</v>
      </c>
      <c r="J3" s="311">
        <f>SUM(C2:C46)</f>
        <v>42</v>
      </c>
    </row>
    <row r="4" spans="1:10" x14ac:dyDescent="0.2">
      <c r="A4" t="s">
        <v>76</v>
      </c>
      <c r="B4">
        <v>3</v>
      </c>
      <c r="C4">
        <v>2</v>
      </c>
      <c r="D4" s="309">
        <v>11389.160854029999</v>
      </c>
      <c r="E4">
        <v>1</v>
      </c>
      <c r="F4" s="309">
        <v>182186.96</v>
      </c>
      <c r="G4" s="309">
        <v>193576.12085402998</v>
      </c>
      <c r="I4" s="313" t="s">
        <v>254</v>
      </c>
      <c r="J4" s="310">
        <f>SUM(F2:F46)</f>
        <v>346641.91999999998</v>
      </c>
    </row>
    <row r="5" spans="1:10" ht="17" thickBot="1" x14ac:dyDescent="0.25">
      <c r="A5" t="s">
        <v>31</v>
      </c>
      <c r="B5">
        <v>1</v>
      </c>
      <c r="C5">
        <v>1</v>
      </c>
      <c r="D5" s="309">
        <v>191564.73908906002</v>
      </c>
      <c r="E5">
        <v>0</v>
      </c>
      <c r="F5" s="309">
        <v>0</v>
      </c>
      <c r="G5" s="309">
        <v>191564.73908906002</v>
      </c>
      <c r="I5" s="314" t="s">
        <v>255</v>
      </c>
      <c r="J5" s="312">
        <f>SUM(E2:E46)</f>
        <v>7.5</v>
      </c>
    </row>
    <row r="6" spans="1:10" x14ac:dyDescent="0.2">
      <c r="A6" t="s">
        <v>26</v>
      </c>
      <c r="B6">
        <v>1</v>
      </c>
      <c r="C6">
        <v>1</v>
      </c>
      <c r="D6" s="309">
        <v>145893.4610406</v>
      </c>
      <c r="E6">
        <v>0</v>
      </c>
      <c r="F6" s="309">
        <v>0</v>
      </c>
      <c r="G6" s="309">
        <v>145893.4610406</v>
      </c>
      <c r="I6" s="313" t="s">
        <v>256</v>
      </c>
      <c r="J6" s="311">
        <f>SUM(J3,J5)</f>
        <v>49.5</v>
      </c>
    </row>
    <row r="7" spans="1:10" x14ac:dyDescent="0.2">
      <c r="A7" t="s">
        <v>209</v>
      </c>
      <c r="B7">
        <v>2.5</v>
      </c>
      <c r="C7">
        <v>2</v>
      </c>
      <c r="D7" s="309">
        <v>96059.24099952</v>
      </c>
      <c r="E7">
        <v>0.5</v>
      </c>
      <c r="F7" s="309">
        <v>35721.82</v>
      </c>
      <c r="G7" s="309">
        <v>131781.06099952001</v>
      </c>
      <c r="I7" s="313" t="s">
        <v>257</v>
      </c>
      <c r="J7" s="310">
        <f>SUM(J2,J4)</f>
        <v>2772830.425643899</v>
      </c>
    </row>
    <row r="8" spans="1:10" x14ac:dyDescent="0.2">
      <c r="A8" t="s">
        <v>210</v>
      </c>
      <c r="B8">
        <v>2</v>
      </c>
      <c r="C8">
        <v>2</v>
      </c>
      <c r="D8" s="309">
        <v>115429.10242508999</v>
      </c>
      <c r="E8">
        <v>0</v>
      </c>
      <c r="F8" s="309">
        <v>0</v>
      </c>
      <c r="G8" s="309">
        <v>115429.10242508999</v>
      </c>
    </row>
    <row r="9" spans="1:10" x14ac:dyDescent="0.2">
      <c r="A9" t="s">
        <v>43</v>
      </c>
      <c r="B9">
        <v>2.5</v>
      </c>
      <c r="C9">
        <v>0</v>
      </c>
      <c r="D9" s="309">
        <v>0</v>
      </c>
      <c r="E9">
        <v>2.5</v>
      </c>
      <c r="F9" s="309">
        <v>54265.49</v>
      </c>
      <c r="G9" s="309">
        <v>54265.49</v>
      </c>
    </row>
    <row r="10" spans="1:10" x14ac:dyDescent="0.2">
      <c r="A10" t="s">
        <v>186</v>
      </c>
      <c r="B10">
        <v>2</v>
      </c>
      <c r="C10">
        <v>2</v>
      </c>
      <c r="D10" s="309">
        <v>52802.371650770001</v>
      </c>
      <c r="E10">
        <v>0</v>
      </c>
      <c r="F10" s="309">
        <v>0</v>
      </c>
      <c r="G10" s="309">
        <v>52802.371650770001</v>
      </c>
    </row>
    <row r="11" spans="1:10" x14ac:dyDescent="0.2">
      <c r="A11" t="s">
        <v>32</v>
      </c>
      <c r="B11">
        <v>1.5</v>
      </c>
      <c r="C11">
        <v>1</v>
      </c>
      <c r="D11" s="309">
        <v>17879.163342900003</v>
      </c>
      <c r="E11">
        <v>0.5</v>
      </c>
      <c r="F11" s="309">
        <v>24780</v>
      </c>
      <c r="G11" s="309">
        <v>42659.163342900007</v>
      </c>
      <c r="I11" s="318" t="s">
        <v>56</v>
      </c>
      <c r="J11" s="319"/>
    </row>
    <row r="12" spans="1:10" x14ac:dyDescent="0.2">
      <c r="A12" t="s">
        <v>236</v>
      </c>
      <c r="B12">
        <v>2</v>
      </c>
      <c r="C12">
        <v>2</v>
      </c>
      <c r="D12" s="309">
        <v>16394.708436569999</v>
      </c>
      <c r="E12">
        <v>0</v>
      </c>
      <c r="F12" s="309">
        <v>0</v>
      </c>
      <c r="G12" s="309">
        <v>16394.708436569999</v>
      </c>
      <c r="I12" s="315" t="s">
        <v>132</v>
      </c>
      <c r="J12" s="296" t="s">
        <v>182</v>
      </c>
    </row>
    <row r="13" spans="1:10" x14ac:dyDescent="0.2">
      <c r="A13" t="s">
        <v>30</v>
      </c>
      <c r="B13">
        <v>3</v>
      </c>
      <c r="C13">
        <v>3</v>
      </c>
      <c r="D13" s="309">
        <v>16346.658339340498</v>
      </c>
      <c r="E13">
        <v>0</v>
      </c>
      <c r="F13" s="309">
        <v>0</v>
      </c>
      <c r="G13" s="309">
        <v>16346.658339340498</v>
      </c>
      <c r="I13" s="315" t="s">
        <v>134</v>
      </c>
      <c r="J13" s="296" t="s">
        <v>126</v>
      </c>
    </row>
    <row r="14" spans="1:10" x14ac:dyDescent="0.2">
      <c r="A14" t="s">
        <v>25</v>
      </c>
      <c r="B14">
        <v>2</v>
      </c>
      <c r="C14">
        <v>2</v>
      </c>
      <c r="D14" s="309">
        <v>12271.222608214599</v>
      </c>
      <c r="E14">
        <v>0</v>
      </c>
      <c r="F14" s="309">
        <v>0</v>
      </c>
      <c r="G14" s="309">
        <v>12271.222608214599</v>
      </c>
      <c r="I14" s="315" t="s">
        <v>136</v>
      </c>
      <c r="J14" s="296" t="s">
        <v>182</v>
      </c>
    </row>
    <row r="15" spans="1:10" x14ac:dyDescent="0.2">
      <c r="A15" t="s">
        <v>29</v>
      </c>
      <c r="B15">
        <v>3.5</v>
      </c>
      <c r="C15">
        <v>3</v>
      </c>
      <c r="D15" s="309">
        <v>5882.0826781200003</v>
      </c>
      <c r="E15">
        <v>0.5</v>
      </c>
      <c r="F15" s="309">
        <v>3285.35</v>
      </c>
      <c r="G15" s="309">
        <v>9167.4326781199998</v>
      </c>
      <c r="I15" s="315" t="s">
        <v>137</v>
      </c>
      <c r="J15" s="296" t="s">
        <v>126</v>
      </c>
    </row>
    <row r="16" spans="1:10" x14ac:dyDescent="0.2">
      <c r="A16" t="s">
        <v>78</v>
      </c>
      <c r="B16">
        <v>1</v>
      </c>
      <c r="C16">
        <v>0</v>
      </c>
      <c r="D16" s="309">
        <v>0</v>
      </c>
      <c r="E16">
        <v>1</v>
      </c>
      <c r="F16" s="309">
        <v>6734.74</v>
      </c>
      <c r="G16" s="309">
        <v>6734.74</v>
      </c>
      <c r="I16" s="315" t="s">
        <v>138</v>
      </c>
      <c r="J16" s="296" t="s">
        <v>237</v>
      </c>
    </row>
    <row r="17" spans="1:10" x14ac:dyDescent="0.2">
      <c r="A17" t="s">
        <v>224</v>
      </c>
      <c r="B17">
        <v>2</v>
      </c>
      <c r="C17">
        <v>1</v>
      </c>
      <c r="D17" s="309">
        <v>1188.9100000000001</v>
      </c>
      <c r="E17">
        <v>1</v>
      </c>
      <c r="F17" s="309">
        <v>5295.33</v>
      </c>
      <c r="G17" s="309">
        <v>6484.24</v>
      </c>
      <c r="I17" s="315" t="s">
        <v>140</v>
      </c>
      <c r="J17" s="296" t="s">
        <v>238</v>
      </c>
    </row>
    <row r="18" spans="1:10" x14ac:dyDescent="0.2">
      <c r="A18" t="s">
        <v>244</v>
      </c>
      <c r="B18">
        <v>2</v>
      </c>
      <c r="C18">
        <v>2</v>
      </c>
      <c r="D18" s="309">
        <v>3928.9627474400004</v>
      </c>
      <c r="E18">
        <v>0</v>
      </c>
      <c r="F18" s="309">
        <v>0</v>
      </c>
      <c r="G18" s="309">
        <v>3928.9627474400004</v>
      </c>
      <c r="I18" s="315" t="s">
        <v>141</v>
      </c>
      <c r="J18" s="296" t="s">
        <v>237</v>
      </c>
    </row>
    <row r="19" spans="1:10" x14ac:dyDescent="0.2">
      <c r="A19" t="s">
        <v>130</v>
      </c>
      <c r="B19">
        <v>2</v>
      </c>
      <c r="C19">
        <v>2</v>
      </c>
      <c r="D19" s="309">
        <v>3476</v>
      </c>
      <c r="E19">
        <v>0</v>
      </c>
      <c r="F19" s="309">
        <v>0</v>
      </c>
      <c r="G19" s="309">
        <v>3215.45</v>
      </c>
      <c r="I19" s="316" t="s">
        <v>143</v>
      </c>
      <c r="J19" s="296" t="s">
        <v>128</v>
      </c>
    </row>
    <row r="20" spans="1:10" x14ac:dyDescent="0.2">
      <c r="A20" t="s">
        <v>247</v>
      </c>
      <c r="B20">
        <v>1</v>
      </c>
      <c r="C20">
        <v>1</v>
      </c>
      <c r="D20" s="309">
        <v>3110.6931886889993</v>
      </c>
      <c r="E20">
        <v>0</v>
      </c>
      <c r="F20" s="309">
        <v>0</v>
      </c>
      <c r="G20" s="309">
        <v>3110.6931886889993</v>
      </c>
    </row>
    <row r="21" spans="1:10" x14ac:dyDescent="0.2">
      <c r="A21" t="s">
        <v>245</v>
      </c>
      <c r="B21">
        <v>1</v>
      </c>
      <c r="C21">
        <v>1</v>
      </c>
      <c r="D21" s="309">
        <v>3018.6032884000001</v>
      </c>
      <c r="E21">
        <v>0</v>
      </c>
      <c r="F21" s="309">
        <v>0</v>
      </c>
      <c r="G21" s="309">
        <v>3018.6032884000001</v>
      </c>
    </row>
    <row r="22" spans="1:10" x14ac:dyDescent="0.2">
      <c r="A22" t="s">
        <v>246</v>
      </c>
      <c r="B22">
        <v>1</v>
      </c>
      <c r="C22">
        <v>1</v>
      </c>
      <c r="D22" s="309">
        <v>2075.5369823999995</v>
      </c>
      <c r="E22">
        <v>0</v>
      </c>
      <c r="F22" s="309">
        <v>0</v>
      </c>
      <c r="G22" s="309">
        <v>2075.5369823999995</v>
      </c>
    </row>
    <row r="23" spans="1:10" x14ac:dyDescent="0.2">
      <c r="A23" t="s">
        <v>37</v>
      </c>
      <c r="B23">
        <v>1</v>
      </c>
      <c r="C23">
        <v>1</v>
      </c>
      <c r="D23" s="309">
        <v>1430.1399849542997</v>
      </c>
      <c r="E23">
        <v>0</v>
      </c>
      <c r="F23" s="309">
        <v>0</v>
      </c>
      <c r="G23" s="309">
        <v>1430.1399849542997</v>
      </c>
    </row>
    <row r="24" spans="1:10" x14ac:dyDescent="0.2">
      <c r="A24" t="s">
        <v>39</v>
      </c>
      <c r="B24">
        <v>0</v>
      </c>
      <c r="C24">
        <v>0</v>
      </c>
      <c r="D24" s="309">
        <v>0</v>
      </c>
      <c r="E24">
        <v>0</v>
      </c>
      <c r="F24" s="309">
        <v>0</v>
      </c>
      <c r="G24" s="309">
        <v>0</v>
      </c>
    </row>
    <row r="25" spans="1:10" x14ac:dyDescent="0.2">
      <c r="A25" t="s">
        <v>248</v>
      </c>
      <c r="B25">
        <v>0</v>
      </c>
      <c r="C25">
        <v>0</v>
      </c>
      <c r="D25" s="309">
        <v>0</v>
      </c>
      <c r="E25">
        <v>0</v>
      </c>
      <c r="F25" s="309">
        <v>0</v>
      </c>
      <c r="G25" s="309">
        <v>0</v>
      </c>
    </row>
    <row r="26" spans="1:10" x14ac:dyDescent="0.2">
      <c r="A26" t="s">
        <v>27</v>
      </c>
      <c r="B26">
        <v>0</v>
      </c>
      <c r="C26">
        <v>0</v>
      </c>
      <c r="D26" s="309">
        <v>0</v>
      </c>
      <c r="E26">
        <v>0</v>
      </c>
      <c r="F26" s="309">
        <v>0</v>
      </c>
      <c r="G26" s="309">
        <v>0</v>
      </c>
    </row>
    <row r="27" spans="1:10" x14ac:dyDescent="0.2">
      <c r="A27" t="s">
        <v>110</v>
      </c>
      <c r="B27">
        <v>0</v>
      </c>
      <c r="C27">
        <v>0</v>
      </c>
      <c r="D27" s="309">
        <v>0</v>
      </c>
      <c r="E27">
        <v>0</v>
      </c>
      <c r="F27" s="309">
        <v>0</v>
      </c>
      <c r="G27" s="309">
        <v>0</v>
      </c>
    </row>
    <row r="28" spans="1:10" x14ac:dyDescent="0.2">
      <c r="A28" t="s">
        <v>249</v>
      </c>
      <c r="B28">
        <v>0</v>
      </c>
      <c r="C28">
        <v>0</v>
      </c>
      <c r="D28" s="309">
        <v>0</v>
      </c>
      <c r="E28">
        <v>0</v>
      </c>
      <c r="F28" s="309">
        <v>0</v>
      </c>
      <c r="G28" s="309">
        <v>0</v>
      </c>
    </row>
    <row r="29" spans="1:10" x14ac:dyDescent="0.2">
      <c r="A29" t="s">
        <v>97</v>
      </c>
      <c r="B29">
        <v>0</v>
      </c>
      <c r="C29">
        <v>0</v>
      </c>
      <c r="D29" s="309">
        <v>0</v>
      </c>
      <c r="E29">
        <v>0</v>
      </c>
      <c r="F29" s="309">
        <v>0</v>
      </c>
      <c r="G29" s="309">
        <v>0</v>
      </c>
    </row>
    <row r="30" spans="1:10" x14ac:dyDescent="0.2">
      <c r="A30" t="s">
        <v>41</v>
      </c>
      <c r="B30">
        <v>0</v>
      </c>
      <c r="C30">
        <v>0</v>
      </c>
      <c r="D30" s="309">
        <v>0</v>
      </c>
      <c r="E30">
        <v>0</v>
      </c>
      <c r="F30" s="309">
        <v>0</v>
      </c>
      <c r="G30" s="309">
        <v>0</v>
      </c>
    </row>
    <row r="31" spans="1:10" x14ac:dyDescent="0.2">
      <c r="A31" t="s">
        <v>250</v>
      </c>
      <c r="B31">
        <v>0</v>
      </c>
      <c r="C31">
        <v>0</v>
      </c>
      <c r="D31" s="309">
        <v>0</v>
      </c>
      <c r="E31">
        <v>0</v>
      </c>
      <c r="F31" s="309">
        <v>0</v>
      </c>
      <c r="G31" s="309">
        <v>0</v>
      </c>
    </row>
    <row r="32" spans="1:10" x14ac:dyDescent="0.2">
      <c r="A32" t="s">
        <v>96</v>
      </c>
      <c r="B32">
        <v>0</v>
      </c>
      <c r="C32">
        <v>0</v>
      </c>
      <c r="D32" s="309">
        <v>0</v>
      </c>
      <c r="E32">
        <v>0</v>
      </c>
      <c r="F32" s="309">
        <v>0</v>
      </c>
      <c r="G32" s="309">
        <v>0</v>
      </c>
    </row>
    <row r="33" spans="1:10" x14ac:dyDescent="0.2">
      <c r="A33" t="s">
        <v>28</v>
      </c>
      <c r="B33">
        <v>0</v>
      </c>
      <c r="C33">
        <v>0</v>
      </c>
      <c r="D33" s="309">
        <v>0</v>
      </c>
      <c r="E33">
        <v>0</v>
      </c>
      <c r="F33" s="309">
        <v>0</v>
      </c>
      <c r="G33" s="309">
        <v>0</v>
      </c>
    </row>
    <row r="34" spans="1:10" x14ac:dyDescent="0.2">
      <c r="A34" t="s">
        <v>124</v>
      </c>
      <c r="B34">
        <v>0</v>
      </c>
      <c r="C34">
        <v>0</v>
      </c>
      <c r="D34" s="309">
        <v>0</v>
      </c>
      <c r="E34">
        <v>0</v>
      </c>
      <c r="F34" s="309">
        <v>0</v>
      </c>
      <c r="G34" s="309">
        <v>0</v>
      </c>
      <c r="J34" s="324"/>
    </row>
    <row r="35" spans="1:10" x14ac:dyDescent="0.2">
      <c r="A35" t="s">
        <v>47</v>
      </c>
      <c r="B35">
        <v>0</v>
      </c>
      <c r="C35">
        <v>0</v>
      </c>
      <c r="D35" s="309">
        <v>0</v>
      </c>
      <c r="E35">
        <v>0</v>
      </c>
      <c r="F35" s="309">
        <v>0</v>
      </c>
      <c r="G35" s="309">
        <v>0</v>
      </c>
    </row>
    <row r="36" spans="1:10" x14ac:dyDescent="0.2">
      <c r="A36" t="s">
        <v>38</v>
      </c>
      <c r="B36">
        <v>0</v>
      </c>
      <c r="C36">
        <v>0</v>
      </c>
      <c r="D36" s="309">
        <v>0</v>
      </c>
      <c r="E36">
        <v>0</v>
      </c>
      <c r="F36" s="309">
        <v>0</v>
      </c>
      <c r="G36" s="309">
        <v>0</v>
      </c>
    </row>
    <row r="37" spans="1:10" x14ac:dyDescent="0.2">
      <c r="A37" t="s">
        <v>105</v>
      </c>
      <c r="B37">
        <v>0</v>
      </c>
      <c r="C37">
        <v>0</v>
      </c>
      <c r="D37" s="309">
        <v>0</v>
      </c>
      <c r="E37">
        <v>0</v>
      </c>
      <c r="F37" s="309">
        <v>0</v>
      </c>
      <c r="G37" s="309">
        <v>0</v>
      </c>
    </row>
    <row r="38" spans="1:10" x14ac:dyDescent="0.2">
      <c r="A38" t="s">
        <v>251</v>
      </c>
      <c r="B38">
        <v>0</v>
      </c>
      <c r="C38">
        <v>0</v>
      </c>
      <c r="D38" s="309">
        <v>0</v>
      </c>
      <c r="E38">
        <v>0</v>
      </c>
      <c r="F38" s="309">
        <v>0</v>
      </c>
      <c r="G38" s="309">
        <v>0</v>
      </c>
    </row>
    <row r="39" spans="1:10" x14ac:dyDescent="0.2">
      <c r="A39" t="s">
        <v>46</v>
      </c>
      <c r="B39">
        <v>0</v>
      </c>
      <c r="C39">
        <v>0</v>
      </c>
      <c r="D39" s="309">
        <v>0</v>
      </c>
      <c r="E39">
        <v>0</v>
      </c>
      <c r="F39" s="309">
        <v>0</v>
      </c>
      <c r="G39" s="309">
        <v>0</v>
      </c>
    </row>
    <row r="40" spans="1:10" x14ac:dyDescent="0.2">
      <c r="A40" t="s">
        <v>170</v>
      </c>
      <c r="B40">
        <v>0</v>
      </c>
      <c r="C40">
        <v>0</v>
      </c>
      <c r="D40" s="309">
        <v>0</v>
      </c>
      <c r="E40">
        <v>0</v>
      </c>
      <c r="F40" s="309">
        <v>0</v>
      </c>
      <c r="G40" s="309">
        <v>0</v>
      </c>
    </row>
    <row r="41" spans="1:10" x14ac:dyDescent="0.2">
      <c r="A41" t="s">
        <v>22</v>
      </c>
      <c r="B41">
        <v>0</v>
      </c>
      <c r="C41">
        <v>0</v>
      </c>
      <c r="D41" s="309">
        <v>0</v>
      </c>
      <c r="E41">
        <v>0</v>
      </c>
      <c r="F41" s="309">
        <v>0</v>
      </c>
      <c r="G41" s="309">
        <v>0</v>
      </c>
    </row>
    <row r="42" spans="1:10" x14ac:dyDescent="0.2">
      <c r="A42" t="s">
        <v>19</v>
      </c>
      <c r="B42">
        <v>0</v>
      </c>
      <c r="C42">
        <v>0</v>
      </c>
      <c r="D42" s="309">
        <v>0</v>
      </c>
      <c r="E42">
        <v>0</v>
      </c>
      <c r="F42" s="309">
        <v>0</v>
      </c>
      <c r="G42" s="309">
        <v>0</v>
      </c>
    </row>
    <row r="43" spans="1:10" x14ac:dyDescent="0.2">
      <c r="A43" t="s">
        <v>131</v>
      </c>
      <c r="B43">
        <v>0</v>
      </c>
      <c r="C43">
        <v>0</v>
      </c>
      <c r="D43" s="309">
        <v>0</v>
      </c>
      <c r="E43">
        <v>0</v>
      </c>
      <c r="F43" s="309">
        <v>0</v>
      </c>
      <c r="G43" s="309">
        <v>0</v>
      </c>
    </row>
    <row r="44" spans="1:10" x14ac:dyDescent="0.2">
      <c r="A44" t="s">
        <v>116</v>
      </c>
      <c r="B44">
        <v>0</v>
      </c>
      <c r="C44">
        <v>0</v>
      </c>
      <c r="D44" s="309">
        <v>0</v>
      </c>
      <c r="E44">
        <v>0</v>
      </c>
      <c r="F44" s="309">
        <v>0</v>
      </c>
      <c r="G44" s="309">
        <v>0</v>
      </c>
    </row>
    <row r="45" spans="1:10" x14ac:dyDescent="0.2">
      <c r="A45" t="s">
        <v>49</v>
      </c>
      <c r="B45">
        <v>0</v>
      </c>
      <c r="C45">
        <v>0</v>
      </c>
      <c r="D45" s="309">
        <v>0</v>
      </c>
      <c r="E45">
        <v>0</v>
      </c>
      <c r="F45" s="309">
        <v>0</v>
      </c>
      <c r="G45" s="309">
        <v>0</v>
      </c>
    </row>
    <row r="46" spans="1:10" x14ac:dyDescent="0.2">
      <c r="A46" s="296"/>
      <c r="B46" s="296"/>
      <c r="C46" s="296"/>
      <c r="D46" s="297"/>
      <c r="E46" s="296"/>
      <c r="F46" s="297"/>
      <c r="G46" s="297"/>
    </row>
    <row r="47" spans="1:10" x14ac:dyDescent="0.2">
      <c r="A47" s="296"/>
      <c r="B47" s="296"/>
      <c r="C47" s="296"/>
      <c r="D47" s="297"/>
      <c r="E47" s="296"/>
      <c r="F47" s="297"/>
      <c r="G47" s="297"/>
    </row>
  </sheetData>
  <autoFilter ref="A1:G47" xr:uid="{00000000-0001-0000-0200-000000000000}">
    <sortState xmlns:xlrd2="http://schemas.microsoft.com/office/spreadsheetml/2017/richdata2" ref="A2:G47">
      <sortCondition descending="1" ref="G1:G47"/>
    </sortState>
  </autoFilter>
  <mergeCells count="2">
    <mergeCell ref="I1:J1"/>
    <mergeCell ref="I11:J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 Mensuales </vt:lpstr>
      <vt:lpstr>MAYO</vt:lpstr>
      <vt:lpstr>MAYO_CORREGIDO</vt:lpstr>
      <vt:lpstr>JUNIO</vt:lpstr>
      <vt:lpstr>JUNIO_CORREGIDO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2026-06-05T00:20:21Z</dcterms:created>
  <dcterms:modified xsi:type="dcterms:W3CDTF">2026-07-07T21:14:55Z</dcterms:modified>
</cp:coreProperties>
</file>