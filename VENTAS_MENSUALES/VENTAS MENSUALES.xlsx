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013312DF-4106-8946-8839-36590704856C}" xr6:coauthVersionLast="47" xr6:coauthVersionMax="47" xr10:uidLastSave="{00000000-0000-0000-0000-000000000000}"/>
  <bookViews>
    <workbookView xWindow="6140" yWindow="920" windowWidth="24480" windowHeight="16140" activeTab="6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</sheets>
  <definedNames>
    <definedName name="_xlnm._FilterDatabase" localSheetId="6" hidden="1">JULIO_CORREGIDO!$A$1:$G$1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B7" i="7"/>
  <c r="G14" i="7"/>
  <c r="B14" i="7"/>
  <c r="G8" i="7"/>
  <c r="B8" i="7"/>
  <c r="G13" i="7"/>
  <c r="B13" i="7"/>
  <c r="G5" i="7"/>
  <c r="B5" i="7"/>
  <c r="G12" i="7"/>
  <c r="B12" i="7"/>
  <c r="G11" i="7"/>
  <c r="B11" i="7"/>
  <c r="G10" i="7"/>
  <c r="B10" i="7"/>
  <c r="G2" i="7"/>
  <c r="B2" i="7"/>
  <c r="J5" i="7"/>
  <c r="G4" i="7"/>
  <c r="B4" i="7"/>
  <c r="J4" i="7"/>
  <c r="G9" i="7"/>
  <c r="B9" i="7"/>
  <c r="J3" i="7"/>
  <c r="G3" i="7"/>
  <c r="B3" i="7"/>
  <c r="J2" i="7"/>
  <c r="G6" i="7"/>
  <c r="B6" i="7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3" i="6"/>
  <c r="E3" i="6"/>
  <c r="H2" i="6"/>
  <c r="E2" i="6"/>
  <c r="J7" i="5"/>
  <c r="J5" i="5"/>
  <c r="J4" i="5"/>
  <c r="J3" i="5"/>
  <c r="J6" i="5" s="1"/>
  <c r="J2" i="5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G542" i="1"/>
  <c r="B542" i="1"/>
  <c r="M541" i="1"/>
  <c r="N541" i="1" s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M531" i="1"/>
  <c r="N531" i="1" s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J7" i="7" l="1"/>
  <c r="J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<sst xmlns="http://schemas.openxmlformats.org/spreadsheetml/2006/main" count="2149" uniqueCount="264">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</sst>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44" fontId="0" fillId="0" borderId="1" xfId="1" applyFont="1" applyBorder="1"/>
    <xf numFmtId="0" fontId="2" fillId="0" borderId="1" xfId="0" applyFont="1" applyBorder="1"/>
    <xf numFmtId="44" fontId="2" fillId="0" borderId="1" xfId="1" applyFont="1" applyBorder="1"/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activeCell="M12" sqref="M12"/>
    </sheetView>
  </sheetViews>
  <sheetFormatPr baseColWidth="10" defaultRowHeight="16" x14ac:dyDescent="0.2"/>
  <sheetData>
    <row r="1" spans="1:8" x14ac:dyDescent="0.2">
      <c r="A1" s="5" t="s">
        <v>0</v>
      </c>
      <c r="B1" s="5"/>
      <c r="C1" s="5"/>
      <c r="D1" s="5"/>
      <c r="E1" s="5"/>
      <c r="F1" s="5"/>
      <c r="G1" s="5"/>
      <c r="H1" s="5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5" t="s">
        <v>51</v>
      </c>
      <c r="B48" s="5"/>
      <c r="C48" s="5"/>
      <c r="D48" s="5"/>
      <c r="E48" s="5"/>
      <c r="F48" s="5"/>
      <c r="G48" s="5"/>
      <c r="H48" s="5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5" t="s">
        <v>55</v>
      </c>
      <c r="B94" s="5"/>
      <c r="C94" s="5"/>
      <c r="D94" s="5"/>
      <c r="E94" s="5"/>
      <c r="F94" s="5"/>
      <c r="G94" s="5"/>
      <c r="H94" s="5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5" t="s">
        <v>73</v>
      </c>
      <c r="B134" s="5"/>
      <c r="C134" s="5"/>
      <c r="D134" s="5"/>
      <c r="E134" s="5"/>
      <c r="F134" s="5"/>
      <c r="G134" s="5"/>
      <c r="H134" s="5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5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5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5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5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5" t="s">
        <v>87</v>
      </c>
      <c r="B172" s="5"/>
      <c r="C172" s="5"/>
      <c r="D172" s="5"/>
      <c r="E172" s="5"/>
      <c r="F172" s="5"/>
      <c r="G172" s="5"/>
      <c r="H172" s="5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5" t="s">
        <v>93</v>
      </c>
      <c r="B212" s="5"/>
      <c r="C212" s="5"/>
      <c r="D212" s="5"/>
      <c r="E212" s="5"/>
      <c r="F212" s="5"/>
      <c r="G212" s="5"/>
      <c r="H212" s="5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5" t="s">
        <v>99</v>
      </c>
      <c r="B254" s="5"/>
      <c r="C254" s="5"/>
      <c r="D254" s="5"/>
      <c r="E254" s="5"/>
      <c r="F254" s="5"/>
      <c r="G254" s="5"/>
      <c r="H254" s="5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5" t="s">
        <v>106</v>
      </c>
      <c r="B302" s="5"/>
      <c r="C302" s="5"/>
      <c r="D302" s="5"/>
      <c r="E302" s="5"/>
      <c r="F302" s="5"/>
      <c r="G302" s="5"/>
      <c r="H302" s="5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5" t="s">
        <v>113</v>
      </c>
      <c r="B353" s="5"/>
      <c r="C353" s="5"/>
      <c r="D353" s="5"/>
      <c r="E353" s="5"/>
      <c r="F353" s="5"/>
      <c r="G353" s="5"/>
      <c r="H353" s="5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5" t="s">
        <v>121</v>
      </c>
      <c r="B411" s="5"/>
      <c r="C411" s="5"/>
      <c r="D411" s="5"/>
      <c r="E411" s="5"/>
      <c r="F411" s="5"/>
      <c r="G411" s="5"/>
      <c r="H411" s="5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5" t="s">
        <v>129</v>
      </c>
      <c r="B463" s="5"/>
      <c r="C463" s="5"/>
      <c r="D463" s="5"/>
      <c r="E463" s="5"/>
      <c r="F463" s="5"/>
      <c r="G463" s="5"/>
      <c r="H463" s="5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5" t="s">
        <v>144</v>
      </c>
      <c r="B528" s="5"/>
      <c r="C528" s="5"/>
      <c r="D528" s="5"/>
      <c r="E528" s="5"/>
      <c r="F528" s="5"/>
      <c r="G528" s="5"/>
      <c r="H528" s="5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5" t="s">
        <v>55</v>
      </c>
      <c r="B585" s="5"/>
      <c r="C585" s="5"/>
      <c r="D585" s="5"/>
      <c r="E585" s="5"/>
      <c r="F585" s="5"/>
      <c r="G585" s="5"/>
      <c r="H585" s="5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5" t="s">
        <v>73</v>
      </c>
      <c r="B667" s="5"/>
      <c r="C667" s="5"/>
      <c r="D667" s="5"/>
      <c r="E667" s="5"/>
      <c r="F667" s="5"/>
      <c r="G667" s="5"/>
      <c r="H667" s="5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5" t="s">
        <v>87</v>
      </c>
      <c r="B752" s="5"/>
      <c r="C752" s="5"/>
      <c r="D752" s="5"/>
      <c r="E752" s="5"/>
      <c r="F752" s="5"/>
      <c r="G752" s="5"/>
      <c r="H752" s="5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:H1"/>
    <mergeCell ref="A48:H48"/>
    <mergeCell ref="A94:H94"/>
    <mergeCell ref="A134:H134"/>
    <mergeCell ref="I144:I147"/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5" t="s">
        <v>87</v>
      </c>
      <c r="B4" s="5"/>
      <c r="C4" s="5"/>
      <c r="D4" s="5"/>
      <c r="E4" s="5"/>
      <c r="F4" s="5"/>
      <c r="G4" s="5"/>
      <c r="H4" s="5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workbookViewId="0">
      <selection activeCell="K28" sqref="K28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topLeftCell="A10" workbookViewId="0"/>
  </sheetViews>
  <sheetFormatPr baseColWidth="10" defaultRowHeight="16" x14ac:dyDescent="0.2"/>
  <sheetData>
    <row r="4" spans="1:15" x14ac:dyDescent="0.2">
      <c r="A4" s="5" t="s">
        <v>236</v>
      </c>
      <c r="B4" s="5"/>
      <c r="C4" s="5"/>
      <c r="D4" s="5"/>
      <c r="E4" s="5"/>
      <c r="F4" s="5"/>
      <c r="G4" s="5"/>
      <c r="H4" s="5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workbookViewId="0">
      <selection activeCell="A2" sqref="A2:A18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5" t="s">
        <v>125</v>
      </c>
      <c r="J1" s="5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5" t="s">
        <v>56</v>
      </c>
      <c r="J11" s="5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tabSelected="1" zoomScale="115" workbookViewId="0">
      <selection sqref="A1:J19"/>
    </sheetView>
  </sheetViews>
  <sheetFormatPr baseColWidth="10" defaultRowHeight="16" x14ac:dyDescent="0.2"/>
  <cols>
    <col min="1" max="1" width="31" customWidth="1"/>
    <col min="4" max="4" width="16.83203125" customWidth="1"/>
    <col min="6" max="6" width="18" customWidth="1"/>
    <col min="7" max="7" width="12.5" bestFit="1" customWidth="1"/>
    <col min="9" max="9" width="21.1640625" customWidth="1"/>
    <col min="10" max="10" width="12.5" bestFit="1" customWidth="1"/>
  </cols>
  <sheetData>
    <row r="1" spans="1:10" x14ac:dyDescent="0.2">
      <c r="A1" s="3" t="s">
        <v>1</v>
      </c>
      <c r="B1" s="3" t="s">
        <v>2</v>
      </c>
      <c r="C1" s="3" t="s">
        <v>3</v>
      </c>
      <c r="D1" s="4" t="s">
        <v>122</v>
      </c>
      <c r="E1" s="3" t="s">
        <v>5</v>
      </c>
      <c r="F1" s="4" t="s">
        <v>123</v>
      </c>
      <c r="G1" s="4" t="s">
        <v>7</v>
      </c>
      <c r="H1" t="s">
        <v>258</v>
      </c>
      <c r="I1" t="s">
        <v>125</v>
      </c>
      <c r="J1" t="s">
        <v>258</v>
      </c>
    </row>
    <row r="2" spans="1:10" x14ac:dyDescent="0.2">
      <c r="A2" s="3" t="s">
        <v>209</v>
      </c>
      <c r="B2" s="1">
        <f t="shared" ref="B2:B14" si="0">C2+E2</f>
        <v>2</v>
      </c>
      <c r="C2" s="1">
        <v>1</v>
      </c>
      <c r="D2" s="2">
        <v>18459.530451139999</v>
      </c>
      <c r="E2" s="1">
        <v>1</v>
      </c>
      <c r="F2" s="2">
        <v>31614.260000000002</v>
      </c>
      <c r="G2" s="2">
        <f t="shared" ref="G2:G14" si="1">D2+F2</f>
        <v>50073.790451139997</v>
      </c>
      <c r="H2" t="s">
        <v>258</v>
      </c>
      <c r="I2" t="s">
        <v>244</v>
      </c>
      <c r="J2" s="6">
        <f>SUM(D2:D14)</f>
        <v>417724.25023332506</v>
      </c>
    </row>
    <row r="3" spans="1:10" x14ac:dyDescent="0.2">
      <c r="A3" s="3" t="s">
        <v>224</v>
      </c>
      <c r="B3" s="1">
        <f t="shared" si="0"/>
        <v>1.5</v>
      </c>
      <c r="C3" s="1">
        <v>1</v>
      </c>
      <c r="D3" s="2">
        <v>56188.060129739999</v>
      </c>
      <c r="E3" s="1">
        <v>0.5</v>
      </c>
      <c r="F3" s="2">
        <v>28021.74</v>
      </c>
      <c r="G3" s="2">
        <f t="shared" si="1"/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s="3" t="s">
        <v>27</v>
      </c>
      <c r="B4" s="1">
        <f t="shared" si="0"/>
        <v>2</v>
      </c>
      <c r="C4" s="1">
        <v>1</v>
      </c>
      <c r="D4" s="2">
        <v>43178.236515324999</v>
      </c>
      <c r="E4" s="1">
        <v>1</v>
      </c>
      <c r="F4" s="2">
        <v>26734.33</v>
      </c>
      <c r="G4" s="2">
        <f t="shared" si="1"/>
        <v>69912.566515325001</v>
      </c>
      <c r="H4" t="s">
        <v>258</v>
      </c>
      <c r="I4" t="s">
        <v>246</v>
      </c>
      <c r="J4" s="6">
        <f>SUM(F2:F14)</f>
        <v>116326.43000000001</v>
      </c>
    </row>
    <row r="5" spans="1:10" x14ac:dyDescent="0.2">
      <c r="A5" s="3" t="s">
        <v>210</v>
      </c>
      <c r="B5" s="1">
        <f t="shared" si="0"/>
        <v>0.5</v>
      </c>
      <c r="C5" s="1">
        <v>0</v>
      </c>
      <c r="D5" s="2">
        <v>0</v>
      </c>
      <c r="E5" s="1">
        <v>0.5</v>
      </c>
      <c r="F5" s="2">
        <v>23043.64</v>
      </c>
      <c r="G5" s="2">
        <f t="shared" si="1"/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s="3" t="s">
        <v>43</v>
      </c>
      <c r="B6" s="1">
        <f t="shared" si="0"/>
        <v>2.5</v>
      </c>
      <c r="C6" s="1">
        <v>2</v>
      </c>
      <c r="D6" s="2">
        <v>107846.57343348001</v>
      </c>
      <c r="E6" s="1">
        <v>0.5</v>
      </c>
      <c r="F6" s="2">
        <v>4650.3900000000003</v>
      </c>
      <c r="G6" s="2">
        <f t="shared" si="1"/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s="3" t="s">
        <v>76</v>
      </c>
      <c r="B7" s="1">
        <f t="shared" si="0"/>
        <v>0.5</v>
      </c>
      <c r="C7" s="1">
        <v>0</v>
      </c>
      <c r="D7" s="2">
        <v>0</v>
      </c>
      <c r="E7" s="1">
        <v>0.5</v>
      </c>
      <c r="F7" s="2">
        <v>1522.5999999999997</v>
      </c>
      <c r="G7" s="2">
        <f t="shared" si="1"/>
        <v>1522.5999999999997</v>
      </c>
      <c r="H7" t="s">
        <v>258</v>
      </c>
      <c r="I7" t="s">
        <v>249</v>
      </c>
      <c r="J7" s="6">
        <f>SUM(G2:G14)</f>
        <v>534050.68023332499</v>
      </c>
    </row>
    <row r="8" spans="1:10" x14ac:dyDescent="0.2">
      <c r="A8" s="3" t="s">
        <v>110</v>
      </c>
      <c r="B8" s="1">
        <f t="shared" si="0"/>
        <v>1.5</v>
      </c>
      <c r="C8" s="1">
        <v>1</v>
      </c>
      <c r="D8" s="2">
        <v>1791.2760122400002</v>
      </c>
      <c r="E8" s="1">
        <v>0.5</v>
      </c>
      <c r="F8" s="2">
        <v>739.46999999999991</v>
      </c>
      <c r="G8" s="2">
        <f t="shared" si="1"/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s="3" t="s">
        <v>32</v>
      </c>
      <c r="B9" s="1">
        <f t="shared" si="0"/>
        <v>1</v>
      </c>
      <c r="C9" s="1">
        <v>1</v>
      </c>
      <c r="D9" s="2">
        <v>73579.672848300004</v>
      </c>
      <c r="E9" s="1">
        <v>0</v>
      </c>
      <c r="F9" s="2">
        <v>0</v>
      </c>
      <c r="G9" s="2">
        <f t="shared" si="1"/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s="3" t="s">
        <v>186</v>
      </c>
      <c r="B10" s="1">
        <f t="shared" si="0"/>
        <v>3</v>
      </c>
      <c r="C10" s="1">
        <v>3</v>
      </c>
      <c r="D10" s="2">
        <v>42694.97923692</v>
      </c>
      <c r="E10" s="1">
        <v>0</v>
      </c>
      <c r="F10" s="2">
        <v>0</v>
      </c>
      <c r="G10" s="2">
        <f t="shared" si="1"/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s="3" t="s">
        <v>25</v>
      </c>
      <c r="B11" s="1">
        <f t="shared" si="0"/>
        <v>1</v>
      </c>
      <c r="C11" s="1">
        <v>1</v>
      </c>
      <c r="D11" s="2">
        <v>33164.673422275002</v>
      </c>
      <c r="E11" s="1">
        <v>0</v>
      </c>
      <c r="F11" s="2">
        <v>0</v>
      </c>
      <c r="G11" s="2">
        <f t="shared" si="1"/>
        <v>33164.673422275002</v>
      </c>
      <c r="H11" t="s">
        <v>258</v>
      </c>
      <c r="I11" s="5" t="s">
        <v>56</v>
      </c>
      <c r="J11" s="5"/>
    </row>
    <row r="12" spans="1:10" x14ac:dyDescent="0.2">
      <c r="A12" s="3" t="s">
        <v>225</v>
      </c>
      <c r="B12" s="1">
        <f t="shared" si="0"/>
        <v>4</v>
      </c>
      <c r="C12" s="1">
        <v>4</v>
      </c>
      <c r="D12" s="2">
        <v>29357.171238035</v>
      </c>
      <c r="E12" s="1">
        <v>0</v>
      </c>
      <c r="F12" s="2">
        <v>0</v>
      </c>
      <c r="G12" s="2">
        <f t="shared" si="1"/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s="3" t="s">
        <v>130</v>
      </c>
      <c r="B13" s="1">
        <f t="shared" si="0"/>
        <v>2</v>
      </c>
      <c r="C13" s="1">
        <v>2</v>
      </c>
      <c r="D13" s="2">
        <v>9690.1819726499998</v>
      </c>
      <c r="E13" s="1">
        <v>0</v>
      </c>
      <c r="F13" s="2">
        <v>0</v>
      </c>
      <c r="G13" s="2">
        <f t="shared" si="1"/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s="3" t="s">
        <v>38</v>
      </c>
      <c r="B14" s="1">
        <f t="shared" si="0"/>
        <v>1</v>
      </c>
      <c r="C14" s="1">
        <v>1</v>
      </c>
      <c r="D14" s="2">
        <v>1773.8949732200001</v>
      </c>
      <c r="E14" s="1">
        <v>0</v>
      </c>
      <c r="F14" s="2">
        <v>0</v>
      </c>
      <c r="G14" s="2">
        <f t="shared" si="1"/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" xr:uid="{00000000-0001-0000-0600-000000000000}">
    <sortState xmlns:xlrd2="http://schemas.microsoft.com/office/spreadsheetml/2017/richdata2" ref="A2:G19">
      <sortCondition descending="1" ref="F1:F19"/>
    </sortState>
  </autoFilter>
  <mergeCells count="1">
    <mergeCell ref="I11:J11"/>
  </mergeCells>
  <pageMargins left="0.7" right="0.7" top="0.75" bottom="0.75" header="0.3" footer="0.3"/>
  <ignoredErrors>
    <ignoredError sqref="A1:J1 H11:H14 H2:J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2026-08-26T18:19:56Z</dcterms:modified>
</cp:coreProperties>
</file>