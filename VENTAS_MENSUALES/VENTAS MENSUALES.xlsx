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9A4990E6-8D25-FE49-98C9-6A45D947CF03}" xr6:coauthVersionLast="47" xr6:coauthVersionMax="47" xr10:uidLastSave="{00000000-0000-0000-0000-000000000000}"/>
  <bookViews>
    <workbookView xWindow="4320" yWindow="600" windowWidth="24480" windowHeight="16160" activeTab="5" xr2:uid="{00000000-000D-0000-FFFF-FFFF00000000}"/>
  </bookViews>
  <sheets>
    <sheet name="Ventas Mensuales " sheetId="4" r:id="rId1"/>
    <sheet name="MAYO" sheetId="5" r:id="rId2"/>
    <sheet name="MAYO_CORREGIDO" sheetId="3" r:id="rId3"/>
    <sheet name="JUNIO" sheetId="6" r:id="rId4"/>
    <sheet name="JUNIO_CORREGIDO " sheetId="7" r:id="rId5"/>
    <sheet name="JULIO" sheetId="8" r:id="rId6"/>
  </sheets>
  <externalReferences>
    <externalReference r:id="rId7"/>
  </externalReferences>
  <definedNames>
    <definedName name="_xlnm._FilterDatabase" localSheetId="4" hidden="1">'JUNIO_CORREGIDO '!$A$1:$G$47</definedName>
    <definedName name="_xlnm._FilterDatabase" localSheetId="2" hidden="1">MAYO_CORREGIDO!$A$1:$G$47</definedName>
    <definedName name="BDLEG" localSheetId="5">[1]!BDLEGION[#All]</definedName>
    <definedName name="BDLEG" localSheetId="3">[1]!BDLEGION[#All]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8" l="1"/>
  <c r="H62" i="8"/>
  <c r="H59" i="8"/>
  <c r="H60" i="8"/>
  <c r="E85" i="8" a="1"/>
  <c r="E85" i="8" s="1"/>
  <c r="E84" i="8" a="1"/>
  <c r="E84" i="8" s="1"/>
  <c r="E83" i="8" a="1"/>
  <c r="E83" i="8" s="1"/>
  <c r="E82" i="8" a="1"/>
  <c r="E82" i="8" s="1"/>
  <c r="E81" i="8" a="1"/>
  <c r="E81" i="8" s="1"/>
  <c r="E80" i="8" a="1"/>
  <c r="E80" i="8" s="1"/>
  <c r="E79" i="8" a="1"/>
  <c r="E79" i="8" s="1"/>
  <c r="E78" i="8" a="1"/>
  <c r="E78" i="8" s="1"/>
  <c r="E77" i="8" a="1"/>
  <c r="E77" i="8" s="1"/>
  <c r="E76" i="8" a="1"/>
  <c r="E76" i="8" s="1"/>
  <c r="E75" i="8" a="1"/>
  <c r="E75" i="8" s="1"/>
  <c r="E74" i="8" a="1"/>
  <c r="E74" i="8" s="1"/>
  <c r="E73" i="8" a="1"/>
  <c r="E73" i="8" s="1"/>
  <c r="E72" i="8" a="1"/>
  <c r="E72" i="8" s="1"/>
  <c r="E71" i="8" a="1"/>
  <c r="E71" i="8" s="1"/>
  <c r="E70" i="8" a="1"/>
  <c r="E70" i="8" s="1"/>
  <c r="E69" i="8" a="1"/>
  <c r="E69" i="8" s="1"/>
  <c r="E68" i="8" a="1"/>
  <c r="E68" i="8" s="1"/>
  <c r="E67" i="8" a="1"/>
  <c r="E67" i="8" s="1"/>
  <c r="E66" i="8" a="1"/>
  <c r="E66" i="8" s="1"/>
  <c r="E65" i="8" a="1"/>
  <c r="E65" i="8" s="1"/>
  <c r="E64" i="8" a="1"/>
  <c r="E64" i="8" s="1"/>
  <c r="E63" i="8" a="1"/>
  <c r="E63" i="8" s="1"/>
  <c r="E62" i="8" a="1"/>
  <c r="E62" i="8" s="1"/>
  <c r="E61" i="8" a="1"/>
  <c r="E61" i="8" s="1"/>
  <c r="E60" i="8" a="1"/>
  <c r="E60" i="8" s="1"/>
  <c r="E59" i="8" a="1"/>
  <c r="E59" i="8" s="1"/>
  <c r="D52" i="8"/>
  <c r="C52" i="8"/>
  <c r="F51" i="8"/>
  <c r="G51" i="8" s="1"/>
  <c r="E51" i="8"/>
  <c r="B51" i="8" s="1"/>
  <c r="F50" i="8"/>
  <c r="G50" i="8" s="1"/>
  <c r="E50" i="8"/>
  <c r="B50" i="8" s="1"/>
  <c r="F49" i="8"/>
  <c r="G49" i="8" s="1"/>
  <c r="F48" i="8"/>
  <c r="G48" i="8" s="1"/>
  <c r="E48" i="8"/>
  <c r="B48" i="8" s="1"/>
  <c r="F47" i="8"/>
  <c r="G47" i="8" s="1"/>
  <c r="E47" i="8"/>
  <c r="B47" i="8" s="1"/>
  <c r="F46" i="8"/>
  <c r="G46" i="8" s="1"/>
  <c r="E46" i="8"/>
  <c r="B46" i="8" s="1"/>
  <c r="F45" i="8"/>
  <c r="G45" i="8" s="1"/>
  <c r="E45" i="8"/>
  <c r="B45" i="8" s="1"/>
  <c r="F44" i="8"/>
  <c r="G44" i="8" s="1"/>
  <c r="E44" i="8"/>
  <c r="B44" i="8" s="1"/>
  <c r="F43" i="8"/>
  <c r="G43" i="8" s="1"/>
  <c r="E43" i="8"/>
  <c r="B43" i="8" s="1"/>
  <c r="F42" i="8"/>
  <c r="G42" i="8" s="1"/>
  <c r="E42" i="8"/>
  <c r="B42" i="8" s="1"/>
  <c r="F41" i="8"/>
  <c r="G41" i="8" s="1"/>
  <c r="E41" i="8"/>
  <c r="B41" i="8" s="1"/>
  <c r="F40" i="8"/>
  <c r="G40" i="8" s="1"/>
  <c r="E40" i="8"/>
  <c r="B40" i="8" s="1"/>
  <c r="F39" i="8"/>
  <c r="G39" i="8" s="1"/>
  <c r="E39" i="8"/>
  <c r="B39" i="8" s="1"/>
  <c r="F38" i="8"/>
  <c r="G38" i="8" s="1"/>
  <c r="E38" i="8"/>
  <c r="B38" i="8" s="1"/>
  <c r="F37" i="8"/>
  <c r="G37" i="8" s="1"/>
  <c r="E37" i="8"/>
  <c r="B37" i="8" s="1"/>
  <c r="F36" i="8"/>
  <c r="G36" i="8" s="1"/>
  <c r="E36" i="8"/>
  <c r="B36" i="8" s="1"/>
  <c r="F35" i="8"/>
  <c r="G35" i="8" s="1"/>
  <c r="E35" i="8"/>
  <c r="B35" i="8" s="1"/>
  <c r="F34" i="8"/>
  <c r="G34" i="8" s="1"/>
  <c r="E34" i="8"/>
  <c r="B34" i="8" s="1"/>
  <c r="F33" i="8"/>
  <c r="G33" i="8" s="1"/>
  <c r="E33" i="8"/>
  <c r="B33" i="8" s="1"/>
  <c r="F32" i="8"/>
  <c r="G32" i="8" s="1"/>
  <c r="E32" i="8"/>
  <c r="B32" i="8" s="1"/>
  <c r="J31" i="8"/>
  <c r="F31" i="8"/>
  <c r="G31" i="8" s="1"/>
  <c r="J30" i="8"/>
  <c r="G30" i="8"/>
  <c r="F30" i="8"/>
  <c r="E30" i="8"/>
  <c r="B30" i="8"/>
  <c r="J29" i="8"/>
  <c r="F29" i="8"/>
  <c r="G29" i="8" s="1"/>
  <c r="E29" i="8"/>
  <c r="B29" i="8"/>
  <c r="J28" i="8"/>
  <c r="F28" i="8"/>
  <c r="G28" i="8" s="1"/>
  <c r="E28" i="8"/>
  <c r="B28" i="8" s="1"/>
  <c r="J27" i="8"/>
  <c r="F27" i="8"/>
  <c r="G27" i="8" s="1"/>
  <c r="E27" i="8"/>
  <c r="B27" i="8"/>
  <c r="J26" i="8"/>
  <c r="G26" i="8"/>
  <c r="F26" i="8"/>
  <c r="E26" i="8"/>
  <c r="B26" i="8" s="1"/>
  <c r="J25" i="8"/>
  <c r="F25" i="8"/>
  <c r="G25" i="8" s="1"/>
  <c r="E25" i="8"/>
  <c r="B25" i="8"/>
  <c r="J24" i="8"/>
  <c r="G24" i="8"/>
  <c r="F24" i="8"/>
  <c r="E24" i="8"/>
  <c r="B24" i="8" s="1"/>
  <c r="J23" i="8"/>
  <c r="F23" i="8"/>
  <c r="G23" i="8" s="1"/>
  <c r="E23" i="8"/>
  <c r="B23" i="8"/>
  <c r="J22" i="8"/>
  <c r="G22" i="8"/>
  <c r="F22" i="8"/>
  <c r="E22" i="8"/>
  <c r="B22" i="8"/>
  <c r="J21" i="8"/>
  <c r="F21" i="8"/>
  <c r="G21" i="8" s="1"/>
  <c r="E21" i="8"/>
  <c r="B21" i="8"/>
  <c r="J20" i="8"/>
  <c r="F20" i="8"/>
  <c r="G20" i="8" s="1"/>
  <c r="E20" i="8"/>
  <c r="B20" i="8" s="1"/>
  <c r="J19" i="8"/>
  <c r="E49" i="8" s="1"/>
  <c r="B49" i="8" s="1"/>
  <c r="F19" i="8"/>
  <c r="G19" i="8" s="1"/>
  <c r="E19" i="8"/>
  <c r="B19" i="8"/>
  <c r="J18" i="8"/>
  <c r="F18" i="8"/>
  <c r="G18" i="8" s="1"/>
  <c r="E18" i="8"/>
  <c r="B18" i="8" s="1"/>
  <c r="J17" i="8"/>
  <c r="E31" i="8" s="1"/>
  <c r="B31" i="8" s="1"/>
  <c r="F17" i="8"/>
  <c r="G17" i="8" s="1"/>
  <c r="E17" i="8"/>
  <c r="B17" i="8"/>
  <c r="J16" i="8"/>
  <c r="G16" i="8"/>
  <c r="F16" i="8"/>
  <c r="E16" i="8"/>
  <c r="B16" i="8" s="1"/>
  <c r="J15" i="8"/>
  <c r="F15" i="8"/>
  <c r="G15" i="8" s="1"/>
  <c r="E15" i="8"/>
  <c r="B15" i="8" s="1"/>
  <c r="J14" i="8"/>
  <c r="G14" i="8"/>
  <c r="F14" i="8"/>
  <c r="E14" i="8"/>
  <c r="B14" i="8"/>
  <c r="J13" i="8"/>
  <c r="E11" i="8" s="1"/>
  <c r="B11" i="8" s="1"/>
  <c r="F13" i="8"/>
  <c r="G13" i="8" s="1"/>
  <c r="E13" i="8"/>
  <c r="B13" i="8"/>
  <c r="J12" i="8"/>
  <c r="F12" i="8"/>
  <c r="G12" i="8" s="1"/>
  <c r="E12" i="8"/>
  <c r="B12" i="8"/>
  <c r="J11" i="8"/>
  <c r="F11" i="8"/>
  <c r="G11" i="8" s="1"/>
  <c r="J10" i="8"/>
  <c r="F10" i="8"/>
  <c r="G10" i="8" s="1"/>
  <c r="E10" i="8"/>
  <c r="B10" i="8" s="1"/>
  <c r="J9" i="8"/>
  <c r="E7" i="8" s="1"/>
  <c r="B7" i="8" s="1"/>
  <c r="F9" i="8"/>
  <c r="G9" i="8" s="1"/>
  <c r="J8" i="8"/>
  <c r="E9" i="8" s="1"/>
  <c r="B9" i="8" s="1"/>
  <c r="G8" i="8"/>
  <c r="F8" i="8"/>
  <c r="E8" i="8"/>
  <c r="B8" i="8" s="1"/>
  <c r="J7" i="8"/>
  <c r="E6" i="8" s="1"/>
  <c r="F7" i="8"/>
  <c r="G7" i="8" s="1"/>
  <c r="F6" i="8"/>
  <c r="F52" i="8" s="1"/>
  <c r="J5" i="7"/>
  <c r="J4" i="7"/>
  <c r="J3" i="7"/>
  <c r="J6" i="7" s="1"/>
  <c r="J2" i="7"/>
  <c r="E7" i="6"/>
  <c r="J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103" i="6" a="1"/>
  <c r="E103" i="6" s="1"/>
  <c r="E104" i="6" a="1"/>
  <c r="E104" i="6" s="1"/>
  <c r="E101" i="6" a="1"/>
  <c r="E101" i="6" s="1"/>
  <c r="E102" i="6" a="1"/>
  <c r="E102" i="6" s="1"/>
  <c r="E100" i="6" a="1"/>
  <c r="E100" i="6" s="1"/>
  <c r="E99" i="6" a="1"/>
  <c r="E99" i="6" s="1"/>
  <c r="E97" i="6" a="1"/>
  <c r="E97" i="6" s="1"/>
  <c r="E98" i="6" a="1"/>
  <c r="E98" i="6" s="1"/>
  <c r="E95" i="6" a="1"/>
  <c r="E95" i="6" s="1"/>
  <c r="E96" i="6" a="1"/>
  <c r="E96" i="6" s="1"/>
  <c r="E93" i="6" a="1"/>
  <c r="E93" i="6" s="1"/>
  <c r="E94" i="6" a="1"/>
  <c r="E94" i="6" s="1"/>
  <c r="B6" i="8" l="1"/>
  <c r="B52" i="8" s="1"/>
  <c r="E52" i="8"/>
  <c r="G6" i="8"/>
  <c r="G52" i="8" s="1"/>
  <c r="J7" i="7"/>
  <c r="E60" i="6" a="1"/>
  <c r="E60" i="6" s="1"/>
  <c r="J8" i="6"/>
  <c r="F49" i="6"/>
  <c r="G49" i="6" s="1"/>
  <c r="F50" i="6"/>
  <c r="G50" i="6" s="1"/>
  <c r="F51" i="6"/>
  <c r="G51" i="6" s="1"/>
  <c r="E87" i="6" a="1"/>
  <c r="E87" i="6" s="1"/>
  <c r="E86" i="6" a="1"/>
  <c r="E86" i="6" s="1"/>
  <c r="E85" i="6" a="1"/>
  <c r="E85" i="6" s="1"/>
  <c r="E84" i="6" a="1"/>
  <c r="E84" i="6" s="1"/>
  <c r="E83" i="6" a="1"/>
  <c r="E83" i="6" s="1"/>
  <c r="E82" i="6" a="1"/>
  <c r="E82" i="6" s="1"/>
  <c r="E81" i="6" a="1"/>
  <c r="E81" i="6" s="1"/>
  <c r="E80" i="6" a="1"/>
  <c r="E80" i="6" s="1"/>
  <c r="E79" i="6" a="1"/>
  <c r="E79" i="6" s="1"/>
  <c r="E78" i="6" a="1"/>
  <c r="E78" i="6" s="1"/>
  <c r="E77" i="6" a="1"/>
  <c r="E77" i="6" s="1"/>
  <c r="E76" i="6" a="1"/>
  <c r="E76" i="6" s="1"/>
  <c r="E75" i="6" a="1"/>
  <c r="E75" i="6" s="1"/>
  <c r="E74" i="6" a="1"/>
  <c r="E74" i="6" s="1"/>
  <c r="E73" i="6" a="1"/>
  <c r="E73" i="6" s="1"/>
  <c r="E72" i="6" a="1"/>
  <c r="E72" i="6" s="1"/>
  <c r="E71" i="6" a="1"/>
  <c r="E71" i="6" s="1"/>
  <c r="E70" i="6" a="1"/>
  <c r="E70" i="6" s="1"/>
  <c r="E69" i="6" a="1"/>
  <c r="E69" i="6" s="1"/>
  <c r="E68" i="6" a="1"/>
  <c r="E68" i="6" s="1"/>
  <c r="E67" i="6" a="1"/>
  <c r="E67" i="6" s="1"/>
  <c r="E66" i="6" a="1"/>
  <c r="E66" i="6" s="1"/>
  <c r="E65" i="6" a="1"/>
  <c r="E65" i="6" s="1"/>
  <c r="E64" i="6" a="1"/>
  <c r="E64" i="6" s="1"/>
  <c r="E63" i="6" a="1"/>
  <c r="E63" i="6" s="1"/>
  <c r="E62" i="6" a="1"/>
  <c r="E62" i="6" s="1"/>
  <c r="E61" i="6" a="1"/>
  <c r="E61" i="6" s="1"/>
  <c r="E59" i="6" a="1"/>
  <c r="E59" i="6" s="1"/>
  <c r="D52" i="6"/>
  <c r="C52" i="6"/>
  <c r="F48" i="6"/>
  <c r="G48" i="6" s="1"/>
  <c r="F47" i="6"/>
  <c r="G47" i="6" s="1"/>
  <c r="E47" i="6"/>
  <c r="B47" i="6" s="1"/>
  <c r="F46" i="6"/>
  <c r="G46" i="6" s="1"/>
  <c r="E46" i="6"/>
  <c r="B46" i="6" s="1"/>
  <c r="F45" i="6"/>
  <c r="G45" i="6" s="1"/>
  <c r="E45" i="6"/>
  <c r="B45" i="6" s="1"/>
  <c r="F44" i="6"/>
  <c r="G44" i="6" s="1"/>
  <c r="F27" i="6"/>
  <c r="G27" i="6" s="1"/>
  <c r="E27" i="6"/>
  <c r="B27" i="6" s="1"/>
  <c r="F43" i="6"/>
  <c r="G43" i="6" s="1"/>
  <c r="E43" i="6"/>
  <c r="B43" i="6" s="1"/>
  <c r="F42" i="6"/>
  <c r="G42" i="6" s="1"/>
  <c r="E42" i="6"/>
  <c r="B42" i="6" s="1"/>
  <c r="F41" i="6"/>
  <c r="G41" i="6" s="1"/>
  <c r="F40" i="6"/>
  <c r="G40" i="6" s="1"/>
  <c r="E40" i="6"/>
  <c r="B40" i="6" s="1"/>
  <c r="F39" i="6"/>
  <c r="G39" i="6" s="1"/>
  <c r="E39" i="6"/>
  <c r="B39" i="6" s="1"/>
  <c r="F38" i="6"/>
  <c r="G38" i="6" s="1"/>
  <c r="E38" i="6"/>
  <c r="B38" i="6" s="1"/>
  <c r="F37" i="6"/>
  <c r="G37" i="6" s="1"/>
  <c r="E37" i="6"/>
  <c r="B37" i="6" s="1"/>
  <c r="F36" i="6"/>
  <c r="G36" i="6" s="1"/>
  <c r="E36" i="6"/>
  <c r="B36" i="6" s="1"/>
  <c r="F35" i="6"/>
  <c r="G35" i="6" s="1"/>
  <c r="E35" i="6"/>
  <c r="B35" i="6" s="1"/>
  <c r="F7" i="6"/>
  <c r="G7" i="6" s="1"/>
  <c r="F34" i="6"/>
  <c r="G34" i="6" s="1"/>
  <c r="E34" i="6"/>
  <c r="B34" i="6" s="1"/>
  <c r="J31" i="6"/>
  <c r="F26" i="6"/>
  <c r="G26" i="6" s="1"/>
  <c r="E26" i="6"/>
  <c r="B26" i="6" s="1"/>
  <c r="J30" i="6"/>
  <c r="F33" i="6"/>
  <c r="G33" i="6" s="1"/>
  <c r="E33" i="6"/>
  <c r="B33" i="6" s="1"/>
  <c r="J29" i="6"/>
  <c r="E25" i="6" s="1"/>
  <c r="B25" i="6" s="1"/>
  <c r="F32" i="6"/>
  <c r="G32" i="6" s="1"/>
  <c r="E32" i="6"/>
  <c r="B32" i="6" s="1"/>
  <c r="J28" i="6"/>
  <c r="F13" i="6"/>
  <c r="G13" i="6" s="1"/>
  <c r="J27" i="6"/>
  <c r="F11" i="6"/>
  <c r="G11" i="6" s="1"/>
  <c r="E11" i="6"/>
  <c r="B11" i="6" s="1"/>
  <c r="J26" i="6"/>
  <c r="F31" i="6"/>
  <c r="G31" i="6" s="1"/>
  <c r="J25" i="6"/>
  <c r="F20" i="6"/>
  <c r="G20" i="6" s="1"/>
  <c r="E20" i="6"/>
  <c r="B20" i="6" s="1"/>
  <c r="J24" i="6"/>
  <c r="F24" i="6"/>
  <c r="G24" i="6" s="1"/>
  <c r="E24" i="6"/>
  <c r="B24" i="6" s="1"/>
  <c r="J23" i="6"/>
  <c r="F18" i="6"/>
  <c r="G18" i="6" s="1"/>
  <c r="J22" i="6"/>
  <c r="F30" i="6"/>
  <c r="G30" i="6" s="1"/>
  <c r="E30" i="6"/>
  <c r="B30" i="6" s="1"/>
  <c r="J21" i="6"/>
  <c r="E14" i="6" s="1"/>
  <c r="F23" i="6"/>
  <c r="G23" i="6" s="1"/>
  <c r="E23" i="6"/>
  <c r="B23" i="6" s="1"/>
  <c r="J20" i="6"/>
  <c r="F12" i="6"/>
  <c r="G12" i="6" s="1"/>
  <c r="J19" i="6"/>
  <c r="E49" i="6" s="1"/>
  <c r="B49" i="6" s="1"/>
  <c r="F29" i="6"/>
  <c r="G29" i="6" s="1"/>
  <c r="J18" i="6"/>
  <c r="E19" i="6" s="1"/>
  <c r="B19" i="6" s="1"/>
  <c r="F28" i="6"/>
  <c r="G28" i="6" s="1"/>
  <c r="E28" i="6"/>
  <c r="B28" i="6" s="1"/>
  <c r="J17" i="6"/>
  <c r="E44" i="6" s="1"/>
  <c r="B44" i="6" s="1"/>
  <c r="F25" i="6"/>
  <c r="G25" i="6" s="1"/>
  <c r="J16" i="6"/>
  <c r="E48" i="6" s="1"/>
  <c r="B48" i="6" s="1"/>
  <c r="F10" i="6"/>
  <c r="G10" i="6" s="1"/>
  <c r="E10" i="6"/>
  <c r="B10" i="6" s="1"/>
  <c r="J15" i="6"/>
  <c r="E41" i="6" s="1"/>
  <c r="B41" i="6" s="1"/>
  <c r="F19" i="6"/>
  <c r="G19" i="6" s="1"/>
  <c r="J14" i="6"/>
  <c r="F6" i="6"/>
  <c r="G6" i="6" s="1"/>
  <c r="E6" i="6"/>
  <c r="B6" i="6" s="1"/>
  <c r="J13" i="6"/>
  <c r="E29" i="6" s="1"/>
  <c r="B29" i="6" s="1"/>
  <c r="F22" i="6"/>
  <c r="G22" i="6" s="1"/>
  <c r="E22" i="6"/>
  <c r="B22" i="6" s="1"/>
  <c r="J12" i="6"/>
  <c r="E13" i="6" s="1"/>
  <c r="B13" i="6" s="1"/>
  <c r="F17" i="6"/>
  <c r="G17" i="6" s="1"/>
  <c r="E17" i="6"/>
  <c r="B17" i="6" s="1"/>
  <c r="J11" i="6"/>
  <c r="F8" i="6"/>
  <c r="G8" i="6" s="1"/>
  <c r="J10" i="6"/>
  <c r="F16" i="6"/>
  <c r="G16" i="6" s="1"/>
  <c r="J9" i="6"/>
  <c r="E16" i="6" s="1"/>
  <c r="B16" i="6" s="1"/>
  <c r="F21" i="6"/>
  <c r="G21" i="6" s="1"/>
  <c r="E18" i="6"/>
  <c r="B18" i="6" s="1"/>
  <c r="F15" i="6"/>
  <c r="G15" i="6" s="1"/>
  <c r="E15" i="6"/>
  <c r="B15" i="6" s="1"/>
  <c r="F9" i="6"/>
  <c r="G9" i="6" s="1"/>
  <c r="E9" i="6"/>
  <c r="B9" i="6" s="1"/>
  <c r="F14" i="6"/>
  <c r="E60" i="5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E51" i="6" l="1"/>
  <c r="B51" i="6" s="1"/>
  <c r="E50" i="6"/>
  <c r="B50" i="6" s="1"/>
  <c r="E21" i="6"/>
  <c r="B21" i="6" s="1"/>
  <c r="E12" i="6"/>
  <c r="B12" i="6" s="1"/>
  <c r="B7" i="6"/>
  <c r="E8" i="6"/>
  <c r="B8" i="6" s="1"/>
  <c r="E31" i="6"/>
  <c r="B31" i="6" s="1"/>
  <c r="F52" i="6"/>
  <c r="B14" i="6"/>
  <c r="G14" i="6"/>
  <c r="G52" i="6" s="1"/>
  <c r="F52" i="5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  <c r="B52" i="6" l="1"/>
  <c r="E5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<sst xmlns="http://schemas.openxmlformats.org/spreadsheetml/2006/main" count="2167" uniqueCount="261">
  <si>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</si>
  <si>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</si>
  <si>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</si>
  <si>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</si>
  <si>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</si>
  <si>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</si>
  <si>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</si>
  <si>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</si>
  <si>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</si>
  <si>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</si>
  <si>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</si>
  <si>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</si>
  <si>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</si>
  <si>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</si>
  <si>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</si>
  <si>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</si>
  <si>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</si>
  <si>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</si>
  <si>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</si>
  <si>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</si>
  <si>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</si>
  <si>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</si>
  <si>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</si>
  <si>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</si>
  <si>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</si>
  <si>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</si>
  <si>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</si>
  <si>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</si>
  <si>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</si>
  <si>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</si>
  <si>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</si>
  <si>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</si>
  <si>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</si>
  <si>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</si>
  <si>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</si>
  <si>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</si>
  <si>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</si>
  <si>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</si>
  <si>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</si>
  <si>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</si>
  <si>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</si>
  <si>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</si>
  <si>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</si>
  <si>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</si>
  <si>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</si>
  <si>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</si>
  <si>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</si>
  <si>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</si>
  <si>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</si>
  <si>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</si>
  <si>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</si>
  <si>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</si>
  <si>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</si>
  <si>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</si>
  <si>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</si>
  <si>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</si>
  <si>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</si>
  <si>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</si>
  <si>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</si>
  <si>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</si>
  <si>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</si>
  <si>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</si>
  <si>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</si>
  <si>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</si>
  <si>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</si>
  <si>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</si>
  <si>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</si>
  <si>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</si>
  <si>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</si>
  <si>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</si>
  <si>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</si>
  <si>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</si>
  <si>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</si>
  <si>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</si>
  <si>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</si>
  <si>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</si>
  <si>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</si>
  <si>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</si>
  <si>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</si>
  <si>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</si>
  <si>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</si>
  <si>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</si>
  <si>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</si>
  <si>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</si>
  <si>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</si>
  <si>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</si>
  <si>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</si>
  <si>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</si>
  <si>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</si>
  <si>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</si>
  <si>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</si>
  <si>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</si>
  <si>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</si>
  <si>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</si>
  <si>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</si>
  <si>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</si>
  <si>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</si>
  <si>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</si>
  <si>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</si>
  <si>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</si>
  <si>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</si>
  <si>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</si>
  <si>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</si>
  <si>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</si>
  <si>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</si>
  <si>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</si>
  <si>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</si>
  <si>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</si>
  <si>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</si>
  <si>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</si>
  <si>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</si>
  <si>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</si>
  <si>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</si>
  <si>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</si>
  <si>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</si>
  <si>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</si>
  <si>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</si>
  <si>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</si>
  <si>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</si>
  <si>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</si>
  <si>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</si>
  <si>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</si>
  <si>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</si>
  <si>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</si>
  <si>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</si>
  <si>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</si>
  <si>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</si>
  <si>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</si>
  <si>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</si>
  <si>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</si>
  <si>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</si>
  <si>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</si>
  <si>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</si>
  <si>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</si>
  <si>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</si>
  <si>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</si>
  <si>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</si>
  <si>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</si>
  <si>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</si>
  <si>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</si>
  <si>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</si>
  <si>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</si>
  <si>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</si>
  <si>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</si>
  <si>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</si>
  <si>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</si>
  <si>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</si>
  <si>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</si>
  <si>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</si>
  <si>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</si>
  <si>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</si>
  <si>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</si>
  <si>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</si>
  <si>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</si>
  <si>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</si>
  <si>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</si>
  <si>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</si>
  <si>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</si>
  <si>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</si>
  <si>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</si>
  <si>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</si>
  <si>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</si>
  <si>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</si>
  <si>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</si>
  <si>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</si>
  <si>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</si>
  <si>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</si>
  <si>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</si>
  <si>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</si>
  <si>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</si>
  <si>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</si>
  <si>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</si>
  <si>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</si>
  <si>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</si>
  <si>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</si>
  <si>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</si>
  <si>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</si>
  <si>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</si>
  <si>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</si>
  <si>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</si>
  <si>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</si>
  <si>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</si>
  <si>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</si>
  <si>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</si>
  <si>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</si>
  <si>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</si>
  <si>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</si>
  <si>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</si>
  <si>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</si>
  <si>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</si>
  <si>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</si>
  <si>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</si>
  <si>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</si>
  <si>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</si>
  <si>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</si>
  <si>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</si>
  <si>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</si>
  <si>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</si>
  <si>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</si>
  <si>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</si>
  <si>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</si>
  <si>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</si>
  <si>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</si>
  <si>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</si>
  <si>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</si>
  <si>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</si>
  <si>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</si>
  <si>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</si>
  <si>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</si>
  <si>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</si>
  <si>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</si>
  <si>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</si>
  <si>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</si>
  <si>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</si>
  <si>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</si>
  <si>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</si>
  <si>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</si>
  <si>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</si>
  <si>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</si>
  <si>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</si>
  <si>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</si>
  <si>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</si>
  <si>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</si>
  <si>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</si>
  <si>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</si>
  <si>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</si>
  <si>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</si>
  <si>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</si>
  <si>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</si>
  <si>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</si>
  <si>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</si>
  <si>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</si>
  <si>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</si>
  <si>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</si>
  <si>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</si>
  <si>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</si>
  <si>
    <t>HUMBERTO EMMANUEL SANDOVAL MOLINS</t>
  </si>
  <si>
    <t>ivan</t>
  </si>
  <si>
    <t>mayte</t>
  </si>
  <si>
    <t>Ventas mensuales junio</t>
  </si>
  <si>
    <t>ANDREA CELESTE IBAÑEZ RINCON 88234</t>
  </si>
  <si>
    <t>HUMBERTO EMMANUEL SANDOVAL MOLINS 118915</t>
  </si>
  <si>
    <t>ISAI ANTONIO ROJAS MARTINEZ 109007</t>
  </si>
  <si>
    <t>JOSE RENE DE ALBA MORALES 110575</t>
  </si>
  <si>
    <t>ORLANDA JIMENA CERVANTES NUÑEZ</t>
  </si>
  <si>
    <t>GABRIELA CASTAÑEDA SALAZAR</t>
  </si>
  <si>
    <t>ANA LAURA CONTRERAS IÑIGUEZ</t>
  </si>
  <si>
    <t>ANDREA CELESTE IBAÑEZ RINCON</t>
  </si>
  <si>
    <t>HANA SOFIA LOPEZ QUIÑONEZ</t>
  </si>
  <si>
    <t>SAMUEL NUÑO RIVERA</t>
  </si>
  <si>
    <t>PAULINA LIZBETH SOTO MUÑIZ</t>
  </si>
  <si>
    <t>EVELYN CAROLINA VENEGAS IÑIGUEZ</t>
  </si>
  <si>
    <t>PRIMA VIDA</t>
  </si>
  <si>
    <t>POLIZAS VIDA</t>
  </si>
  <si>
    <t>PRIMA GMM</t>
  </si>
  <si>
    <t>POLIZAS GMM</t>
  </si>
  <si>
    <t>POLIZAS V+GMM</t>
  </si>
  <si>
    <t>PRIMA VI+GMM</t>
  </si>
  <si>
    <t>MARIO IVAN ROMERO GONZALEZ 118069</t>
  </si>
  <si>
    <t>SOFIA CAMPILLO VASCONCELOS 116883</t>
  </si>
  <si>
    <t>VELIA PATRICIA BERNAL RAMOS 115047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</si>
</sst>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6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44" fontId="0" fillId="0" borderId="0" xfId="1" applyFont="1" applyBorder="1"/>
    <xf numFmtId="44" fontId="15" fillId="0" borderId="0" xfId="3" applyNumberFormat="1" applyFont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horizontal="center" vertical="center"/>
      <protection hidden="1"/>
    </xf>
    <xf numFmtId="43" fontId="6" fillId="0" borderId="0" xfId="0" applyNumberFormat="1" applyFont="1" applyAlignment="1" applyProtection="1">
      <alignment vertical="center"/>
      <protection hidden="1"/>
    </xf>
    <xf numFmtId="0" fontId="14" fillId="0" borderId="0" xfId="0" applyFont="1" applyAlignment="1">
      <alignment horizontal="left" vertical="center"/>
    </xf>
    <xf numFmtId="168" fontId="0" fillId="0" borderId="0" xfId="4" applyNumberFormat="1" applyFont="1"/>
    <xf numFmtId="0" fontId="14" fillId="6" borderId="0" xfId="0" applyFont="1" applyFill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44" fontId="0" fillId="0" borderId="0" xfId="1" applyFont="1"/>
    <xf numFmtId="44" fontId="0" fillId="0" borderId="0" xfId="0" applyNumberFormat="1"/>
    <xf numFmtId="43" fontId="0" fillId="0" borderId="0" xfId="6" applyFont="1"/>
    <xf numFmtId="43" fontId="0" fillId="0" borderId="13" xfId="6" applyFont="1" applyBorder="1"/>
    <xf numFmtId="0" fontId="0" fillId="18" borderId="0" xfId="0" applyFill="1"/>
    <xf numFmtId="0" fontId="0" fillId="18" borderId="13" xfId="0" applyFill="1" applyBorder="1"/>
    <xf numFmtId="0" fontId="4" fillId="18" borderId="4" xfId="3" applyFill="1" applyBorder="1"/>
    <xf numFmtId="0" fontId="4" fillId="18" borderId="4" xfId="3" applyFill="1" applyBorder="1" applyAlignment="1">
      <alignment vertical="center"/>
    </xf>
    <xf numFmtId="8" fontId="0" fillId="0" borderId="0" xfId="0" applyNumberFormat="1"/>
    <xf numFmtId="44" fontId="16" fillId="26" borderId="0" xfId="1" applyFont="1" applyFill="1" applyAlignment="1">
      <alignment horizontal="center"/>
    </xf>
    <xf numFmtId="0" fontId="17" fillId="26" borderId="14" xfId="3" applyFont="1" applyFill="1" applyBorder="1" applyAlignment="1">
      <alignment horizontal="center"/>
    </xf>
    <xf numFmtId="0" fontId="17" fillId="26" borderId="11" xfId="3" applyFont="1" applyFill="1" applyBorder="1" applyAlignment="1">
      <alignment horizontal="center"/>
    </xf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44" fontId="14" fillId="0" borderId="0" xfId="1" applyFont="1" applyAlignment="1">
      <alignment horizontal="center" vertical="center"/>
    </xf>
  </cellXfs>
  <cellStyles count="7">
    <cellStyle name="Millares" xfId="6" builtinId="3"/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543">
    <dxf>
      <font>
        <color rgb="FFFF0000"/>
      </font>
    </dxf>
    <dxf>
      <font>
        <color rgb="FF00B0F0"/>
      </font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bottom style="thin">
          <color rgb="FF00FF00"/>
        </bottom>
      </border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5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  <sheetName val="asesores y campañas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541" dataDxfId="1539" headerRowBorderDxfId="1540" tableBorderDxfId="1538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537" dataCellStyle="Normal 2"/>
    <tableColumn id="2" xr3:uid="{6BDCE3B9-F0D3-B448-B8B6-F787F131C45A}" name="Pólizas " dataDxfId="1536" dataCellStyle="Normal 2">
      <calculatedColumnFormula>SUM(Tabla9[[#This Row],[Vida]],Tabla9[[#This Row],[Gmm]])</calculatedColumnFormula>
    </tableColumn>
    <tableColumn id="3" xr3:uid="{DAC358B2-9129-F14E-87C5-8491BAB1DCE7}" name="Vida" dataDxfId="1535" dataCellStyle="Normal 2"/>
    <tableColumn id="4" xr3:uid="{B01DB8F7-DD63-6845-AA0B-0134E2F624A1}" name="Prima vida" dataDxfId="1534" dataCellStyle="Normal 2"/>
    <tableColumn id="5" xr3:uid="{DFA81B23-983F-0144-B49E-1D5473932C32}" name="Gmm" dataDxfId="1533"/>
    <tableColumn id="6" xr3:uid="{CDB732D1-9FD2-2842-85CD-1AC3315E60E7}" name="Prima gmm" dataDxfId="1532" dataCellStyle="Normal 2"/>
    <tableColumn id="7" xr3:uid="{7EB76BE6-9CCC-5B49-9F87-22D29D5BD44C}" name="Prima total" dataDxfId="1531">
      <calculatedColumnFormula>SUM(Tabla9[[#This Row],[Prima vida]],Tabla9[[#This Row],[Prima gmm]])</calculatedColumnFormula>
    </tableColumn>
    <tableColumn id="8" xr3:uid="{F5D8B440-7450-7741-A8E2-B77621325D97}" name="Colectivo " dataDxfId="1530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529" dataDxfId="1527" headerRowBorderDxfId="1528" tableBorderDxfId="1526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525" dataCellStyle="Normal 2"/>
    <tableColumn id="2" xr3:uid="{6F19CC6E-10CD-714B-A01F-BAE891D278EF}" name="Pólizas " dataDxfId="1524" dataCellStyle="Normal 2">
      <calculatedColumnFormula>SUM(Tabla936[[#This Row],[Vida]],Tabla936[[#This Row],[Gmm]])</calculatedColumnFormula>
    </tableColumn>
    <tableColumn id="3" xr3:uid="{40E5C11B-0CB8-5647-8BBD-084528589CA0}" name="Vida" dataDxfId="1523" dataCellStyle="Normal 2"/>
    <tableColumn id="4" xr3:uid="{AF64BC37-F184-2A49-8B01-A1F3F3C3DCE8}" name="Prima vida" dataDxfId="1522" dataCellStyle="Normal 2"/>
    <tableColumn id="5" xr3:uid="{73C66B21-4271-9D47-9059-48E20F242B8B}" name="Gmm" dataDxfId="1521"/>
    <tableColumn id="6" xr3:uid="{94D0655B-BF31-C64E-96C7-F0B220FBECB8}" name="Prima gmm" dataDxfId="1520" dataCellStyle="Normal 2"/>
    <tableColumn id="7" xr3:uid="{8FF84675-0F5B-E544-B60A-5A9D692D4E00}" name="Prima total" dataDxfId="1519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518" dataDxfId="1516" headerRowBorderDxfId="1517" tableBorderDxfId="1515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514" dataCellStyle="Normal 2"/>
    <tableColumn id="2" xr3:uid="{CA16841F-B858-D343-9B0C-065841971E72}" name="Pólizas " dataDxfId="1513" dataCellStyle="Normal 2">
      <calculatedColumnFormula>SUM(Tabla93617[[#This Row],[Vida]],Tabla93617[[#This Row],[Gmm]])</calculatedColumnFormula>
    </tableColumn>
    <tableColumn id="3" xr3:uid="{753D2A0D-ADD2-CA4D-BD91-BE39B974836E}" name="Vida" dataDxfId="1512" dataCellStyle="Normal 2"/>
    <tableColumn id="4" xr3:uid="{143957C4-487B-F847-8F67-3DEF304A3D7E}" name="Prima vida" dataDxfId="1511" dataCellStyle="Normal 2"/>
    <tableColumn id="5" xr3:uid="{5A3E704A-21E9-CF40-9744-9C6CEDB96E40}" name="Gmm" dataDxfId="1510"/>
    <tableColumn id="6" xr3:uid="{8183C41D-F94C-6740-88DF-DBDE85DF0B61}" name="Prima gmm" dataDxfId="1509" dataCellStyle="Normal 2"/>
    <tableColumn id="7" xr3:uid="{8F42C8B1-F668-BB48-8C73-0F4AAEE6D42C}" name="Prima total" dataDxfId="1508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507" dataDxfId="1505" headerRowBorderDxfId="1506" tableBorderDxfId="1504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503" dataCellStyle="Normal 2"/>
    <tableColumn id="2" xr3:uid="{7E6C0425-DADD-7C46-9B39-73973CD8080E}" name="Pólizas " dataDxfId="1502" dataCellStyle="Normal 2">
      <calculatedColumnFormula>SUM(Tabla9361730[[#This Row],[Vida]],Tabla9361730[[#This Row],[Gmm]])</calculatedColumnFormula>
    </tableColumn>
    <tableColumn id="3" xr3:uid="{3D8B6C8C-EB47-0A48-B1FC-B0AA43600E07}" name="Vida" dataDxfId="1501" dataCellStyle="Normal 2"/>
    <tableColumn id="4" xr3:uid="{79E4E465-2068-5B41-BD5C-9BCD26EC164A}" name="Prima vida" dataDxfId="1500" dataCellStyle="Normal 2"/>
    <tableColumn id="5" xr3:uid="{F49D4FE4-2A24-1A47-96E2-30D0AC7F318E}" name="Gmm" dataDxfId="1499"/>
    <tableColumn id="6" xr3:uid="{19D4C2A5-840A-504F-9EE2-124EE6A91736}" name="Prima gmm" dataDxfId="1498" dataCellStyle="Normal 2"/>
    <tableColumn id="7" xr3:uid="{72BCDD84-C688-A948-8BA6-E8A7ACAA4145}" name="Prima total" dataDxfId="1497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496" dataDxfId="1494" headerRowBorderDxfId="1495" tableBorderDxfId="1493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492" dataCellStyle="Normal 2"/>
    <tableColumn id="2" xr3:uid="{D17ABA95-2508-8948-B734-71D782707F03}" name="Pólizas " dataDxfId="1491" dataCellStyle="Normal 2">
      <calculatedColumnFormula>SUM(Tabla936173055[[#This Row],[Vida]],Tabla936173055[[#This Row],[Gmm]])</calculatedColumnFormula>
    </tableColumn>
    <tableColumn id="3" xr3:uid="{E3E97F75-29E8-5E44-9A29-283F38CE4B6E}" name="Vida" dataDxfId="1490" dataCellStyle="Normal 2"/>
    <tableColumn id="4" xr3:uid="{EF291F55-E70A-2A40-BEA0-CB7FF1F65FE3}" name="Prima Recibo vida" dataDxfId="1489" dataCellStyle="Normal 2"/>
    <tableColumn id="5" xr3:uid="{3F91B218-11AA-A241-9999-A1FDA3832350}" name="Gmm" dataDxfId="1488"/>
    <tableColumn id="6" xr3:uid="{FDE091EE-E39D-4D45-AA50-119B3B34D855}" name="Prima Recibo gmm" dataDxfId="1487" dataCellStyle="Normal 2"/>
    <tableColumn id="7" xr3:uid="{AD542643-7A72-2246-90C4-C530A2C78B9B}" name="Prima total" dataDxfId="1486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485" dataDxfId="1483" headerRowBorderDxfId="1484" tableBorderDxfId="1482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481" dataCellStyle="Normal 2"/>
    <tableColumn id="2" xr3:uid="{90011E6C-578A-B24C-96E7-DBAAD940826F}" name="Pólizas " dataDxfId="1480" dataCellStyle="Normal 2">
      <calculatedColumnFormula>SUM(Tabla93617305523[[#This Row],[Vida]],Tabla93617305523[[#This Row],[Gmm]])</calculatedColumnFormula>
    </tableColumn>
    <tableColumn id="3" xr3:uid="{B9FA402F-3D5F-A140-993E-936B0BE1BEFF}" name="Vida" dataDxfId="1479" dataCellStyle="Normal 2"/>
    <tableColumn id="4" xr3:uid="{E6E62A83-FEA5-0842-98B8-1D0A33A279E9}" name="Prima Recibo vida" dataDxfId="1478" dataCellStyle="Normal 2"/>
    <tableColumn id="5" xr3:uid="{41E26F15-9F90-3642-9386-69B026F2D82D}" name="Gmm" dataDxfId="1477"/>
    <tableColumn id="6" xr3:uid="{CCA1DB05-D320-4541-8A34-99DC0C7D1CA2}" name="Prima Recibo gmm" dataDxfId="1476" dataCellStyle="Normal 2"/>
    <tableColumn id="7" xr3:uid="{CBC82886-1D23-D341-8B6C-386E29D2213E}" name="Prima total" dataDxfId="1475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474" dataDxfId="1472" headerRowBorderDxfId="1473" tableBorderDxfId="1471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470" dataCellStyle="Normal 2"/>
    <tableColumn id="2" xr3:uid="{AA264C28-FBEA-E645-A57B-2B0333D76831}" name="Pólizas " dataDxfId="1469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468" dataCellStyle="Normal 2"/>
    <tableColumn id="4" xr3:uid="{0F2C790C-31C8-B449-986D-B30AF5EB7B6A}" name="Prima Recibo vida" dataDxfId="1467" dataCellStyle="Normal 2"/>
    <tableColumn id="5" xr3:uid="{B4E6C55D-4B60-5E48-99A4-E137D3F52806}" name="Gmm" dataDxfId="1466"/>
    <tableColumn id="6" xr3:uid="{8CBE9662-EAFC-9645-8D4F-A37CC680BD8F}" name="Prima Recibo gmm" dataDxfId="1465" dataCellStyle="Normal 2"/>
    <tableColumn id="7" xr3:uid="{A6135261-18EF-B14B-93C1-CC0D98C8D217}" name="Prima total" dataDxfId="1464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463" dataDxfId="1461" headerRowBorderDxfId="1462" tableBorderDxfId="1460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459" dataCellStyle="Normal 2"/>
    <tableColumn id="2" xr3:uid="{C2E06B83-7862-FA45-8033-FDFED80E8DCB}" name="Pólizas " dataDxfId="1458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457" dataCellStyle="Normal 2"/>
    <tableColumn id="4" xr3:uid="{BC151964-D0FD-4945-AF61-9B5423DCA2DA}" name="Prima Recibo vida" dataDxfId="1456" dataCellStyle="Normal 2"/>
    <tableColumn id="5" xr3:uid="{6B9B138B-E95D-F547-85CA-9960F29CAEF4}" name="Gmm" dataDxfId="1455"/>
    <tableColumn id="6" xr3:uid="{E22E44E5-AC9F-1B44-AA87-F00B6B1AFC43}" name="Prima Recibo gmm" dataDxfId="1454" dataCellStyle="Normal 2"/>
    <tableColumn id="7" xr3:uid="{85D560D3-AFCA-CD4D-AC7C-BDE191C71EDF}" name="Prima total" dataDxfId="1453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452" dataDxfId="1450" headerRowBorderDxfId="1451" tableBorderDxfId="1449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448" dataCellStyle="Normal 2"/>
    <tableColumn id="2" xr3:uid="{7BAE6FCB-E2A0-004D-A567-E3A014C9FDA8}" name="Pólizas " dataDxfId="1447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446" dataCellStyle="Normal 2"/>
    <tableColumn id="4" xr3:uid="{82013B3E-534F-9042-A905-54484783053A}" name="Prima Recibo vida" dataDxfId="1445" dataCellStyle="Normal 2"/>
    <tableColumn id="5" xr3:uid="{6DC9AFA4-06E1-2D45-BFE3-B4A82C95B532}" name="Gmm" dataDxfId="1444"/>
    <tableColumn id="6" xr3:uid="{3BD0699F-1730-3641-A153-5100FF3F1969}" name="Prima Recibo gmm" dataDxfId="1443" dataCellStyle="Normal 2"/>
    <tableColumn id="7" xr3:uid="{82157A74-6553-7245-9589-BCFD64278E32}" name="Prima total" dataDxfId="1442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441" dataDxfId="1439" headerRowBorderDxfId="1440" tableBorderDxfId="1438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437" dataCellStyle="Normal 2"/>
    <tableColumn id="2" xr3:uid="{DA0BDFFA-0784-FA46-B2FE-1413B1193FED}" name="Pólizas " dataDxfId="1436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435" dataCellStyle="Normal 2"/>
    <tableColumn id="4" xr3:uid="{EF113432-3AF4-6442-83F1-FA3A39C16C81}" name="Prima Pagada vida" dataDxfId="1434" dataCellStyle="Moneda"/>
    <tableColumn id="5" xr3:uid="{5724B943-FFC9-D641-84A1-81BEA6F8BCC6}" name="Gmm" dataDxfId="1433"/>
    <tableColumn id="6" xr3:uid="{ABC63A24-5565-EB41-B9C8-D18FCAE0051B}" name="Prima Pagada gmm" dataDxfId="1432" dataCellStyle="Moneda"/>
    <tableColumn id="7" xr3:uid="{3B82D185-CC10-344E-A2E2-1BB5796131A8}" name="Prima total" dataDxfId="1431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430" dataDxfId="1428" headerRowBorderDxfId="1429" tableBorderDxfId="1427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426" dataCellStyle="Normal 2"/>
    <tableColumn id="2" xr3:uid="{23C2F39A-4357-7540-9B3B-26CE05B33284}" name="Pólizas " dataDxfId="1425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424" dataCellStyle="Normal 2"/>
    <tableColumn id="4" xr3:uid="{CBFFA9C2-C564-BC44-9EC8-325D6B4DEEDA}" name="Prima Pagada vida" dataDxfId="1423" dataCellStyle="Moneda"/>
    <tableColumn id="5" xr3:uid="{97C6F4EF-DFE4-984D-B631-0E8A753757A3}" name="Gmm" dataDxfId="1422"/>
    <tableColumn id="6" xr3:uid="{3ADDC097-7874-2648-83B5-93E048D1395B}" name="Prima Pagada gmm" dataDxfId="1421" dataCellStyle="Moneda"/>
    <tableColumn id="7" xr3:uid="{E173D81C-EB67-D044-BE67-F3CDE049EA3A}" name="Prima total" dataDxfId="1420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419" dataDxfId="1417" headerRowBorderDxfId="1418" tableBorderDxfId="1416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415" dataCellStyle="Normal 2"/>
    <tableColumn id="2" xr3:uid="{29240702-5162-8D42-8939-F5DC2262E385}" name="Pólizas " dataDxfId="1414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413" dataCellStyle="Normal 2"/>
    <tableColumn id="4" xr3:uid="{E4526F90-2784-7143-9B2C-73095099BF73}" name="Prima Pagada vida" dataDxfId="1412" dataCellStyle="Moneda"/>
    <tableColumn id="5" xr3:uid="{BC91338F-BE94-6145-BDE6-E71A7A309846}" name="Gmm" dataDxfId="1411"/>
    <tableColumn id="6" xr3:uid="{8573D42E-CF9D-E944-A4D2-9929443A9EB9}" name="Prima Pagada gmm" dataDxfId="1410" dataCellStyle="Moneda"/>
    <tableColumn id="7" xr3:uid="{7655328E-C1C7-1C44-B9BC-6A16737D2CEE}" name="Prima total" dataDxfId="1409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408" dataDxfId="1406" headerRowBorderDxfId="1407" tableBorderDxfId="1405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404" dataCellStyle="Normal 2"/>
    <tableColumn id="2" xr3:uid="{DE727342-227E-1F4C-A7C7-89CC600A8493}" name="Pólizas " dataDxfId="1403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402" dataCellStyle="Normal 2"/>
    <tableColumn id="4" xr3:uid="{06411B40-8FFE-EE4F-B80F-A8B5CE82333D}" name="Prima Pagada vida" dataDxfId="1401" dataCellStyle="Moneda"/>
    <tableColumn id="5" xr3:uid="{C1AAF229-4A74-FB4D-B59D-A0549DE81C47}" name="Gmm" dataDxfId="1400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399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398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397"/>
    <tableColumn id="2" xr3:uid="{3FBC879A-2E06-524D-9580-09FB4162AA0E}" name="Columna2" dataDxfId="1396"/>
    <tableColumn id="3" xr3:uid="{B574ECFB-E985-604F-80E9-EA4236F7BB1C}" name="Columna3" dataDxfId="1395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394">
  <autoFilter ref="I622:M656" xr:uid="{73EA208B-3EC9-864A-B527-F6660079D7F1}"/>
  <tableColumns count="5">
    <tableColumn id="1" xr3:uid="{4E93E8E4-9F16-0440-A6A8-D520A15740D8}" name="ASESOR" dataDxfId="1393"/>
    <tableColumn id="2" xr3:uid="{0868CF34-DB86-AF40-8C9C-4B9FC1B0814F}" name="FRECUENCIA" dataDxfId="1392"/>
    <tableColumn id="3" xr3:uid="{388D336B-F801-254D-9D56-C43419B7BDB2}" name="RAMO" dataDxfId="1391"/>
    <tableColumn id="4" xr3:uid="{3A67DAF6-E322-7D40-9053-CC2A4E8AD162}" name="MONTO ANUAL" dataDxfId="1390"/>
    <tableColumn id="5" xr3:uid="{26E3723E-6195-7F42-BB89-6451B30C003C}" name="MONTO REAL" dataDxfId="1389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388" dataDxfId="1386" headerRowBorderDxfId="1387" tableBorderDxfId="1385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384" dataCellStyle="Normal 2"/>
    <tableColumn id="2" xr3:uid="{4F23148A-40AF-B941-B4B5-417748755589}" name="Pólizas " dataDxfId="1383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382" dataCellStyle="Normal 2"/>
    <tableColumn id="4" xr3:uid="{0191996A-1AD8-6348-8FA2-5D1C95D0D070}" name="Prima Pagada vida" dataDxfId="1381" dataCellStyle="Moneda"/>
    <tableColumn id="5" xr3:uid="{26831695-DE57-E04A-818B-9A6AC34337B8}" name="Gmm" dataDxfId="1380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379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378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377"/>
    <tableColumn id="2" xr3:uid="{1D644ED5-0554-064D-B644-782B93D4CB3F}" name="Columna2" dataDxfId="1376"/>
    <tableColumn id="3" xr3:uid="{F062424B-87C0-BE47-85D8-D6DE50449552}" name="Columna3" dataDxfId="1375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374">
  <autoFilter ref="A709:E744" xr:uid="{B40FF28E-AFC1-874F-9CB3-AC09592D1F97}"/>
  <tableColumns count="5">
    <tableColumn id="1" xr3:uid="{1938763E-ACE2-8040-A2E4-F628F0772339}" name="ASESOR" dataDxfId="1373"/>
    <tableColumn id="2" xr3:uid="{8CCB0E65-767B-7E46-89B5-45D1F1FD39BC}" name="FRECUENCIA" dataDxfId="1372"/>
    <tableColumn id="3" xr3:uid="{FC28A34A-861D-5944-BDA5-B938CBF508BE}" name="RAMO" dataDxfId="1371"/>
    <tableColumn id="4" xr3:uid="{11ED2793-4FFD-9647-A32A-5F83C52F2014}" name="MONTO ANUAL" dataDxfId="1370"/>
    <tableColumn id="5" xr3:uid="{99A6FE81-C60B-1F47-8A5B-0CCB40933873}" name="MONTO REAL" dataDxfId="1369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368" dataDxfId="1366" headerRowBorderDxfId="1367" tableBorderDxfId="1365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364" dataCellStyle="Normal 2"/>
    <tableColumn id="2" xr3:uid="{B5E7ECEA-5768-DD4C-BB69-524B371987E7}" name="Pólizas " dataDxfId="1363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362" dataCellStyle="Normal 2"/>
    <tableColumn id="4" xr3:uid="{EC81E900-AB61-D543-8BCD-E976B5901AA3}" name="Prima Pagada vida" dataDxfId="1361" dataCellStyle="Moneda"/>
    <tableColumn id="5" xr3:uid="{AAD62FFA-A10D-AB4C-B76C-04C956BE21EC}" name="Gmm" dataDxfId="1360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359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358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357"/>
    <tableColumn id="4" xr3:uid="{FFDC07A5-0DF1-9E49-9522-1D37C5EE7D74}" name="Columna12" dataDxfId="1356">
      <calculatedColumnFormula>Tabla485189[[#This Row],[Columna2]]/2</calculatedColumnFormula>
    </tableColumn>
    <tableColumn id="2" xr3:uid="{823BF06A-A8B5-D141-93A8-728CA0816A14}" name="Columna2" dataDxfId="1355"/>
    <tableColumn id="3" xr3:uid="{6AA5E43A-FCC8-0642-8870-4D6A0077FCE0}" name="Columna3" dataDxfId="1354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353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352"/>
    <tableColumn id="2" xr3:uid="{8A4CD70C-1309-784C-9095-1BCA94F1FDDB}" name="FRECUENCIA" dataDxfId="1351"/>
    <tableColumn id="3" xr3:uid="{8D4C4A09-1CCB-0A48-81C5-2AA00DC37176}" name="RAMO" dataDxfId="1350"/>
    <tableColumn id="4" xr3:uid="{BF35250D-F0F0-2142-A4FE-CA639B50DD00}" name="MONTO ANUAL" dataDxfId="1349"/>
    <tableColumn id="5" xr3:uid="{42BBDF9F-19C2-1340-943A-CDA6CA1322E5}" name="MONTO REAL" dataDxfId="1348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347" dataDxfId="1345" headerRowBorderDxfId="1346" tableBorderDxfId="1344" headerRowCellStyle="Normal 2" dataCellStyle="Normal 2">
  <autoFilter ref="A5:G51" xr:uid="{576CA864-09A9-6744-8E53-EF1F12CB276F}"/>
  <tableColumns count="7">
    <tableColumn id="1" xr3:uid="{3CEFA6B7-4FB2-0D47-85AC-F619921CA5E0}" name="Asesor" dataDxfId="1343" dataCellStyle="Normal 2"/>
    <tableColumn id="2" xr3:uid="{0FD84028-9F81-3844-9B1C-19568DD63E73}" name="Pólizas " dataDxfId="1342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341" dataCellStyle="Normal 2"/>
    <tableColumn id="4" xr3:uid="{E619A0C8-207E-6545-87D1-D644F017B82A}" name="Prima Pagada vida" dataDxfId="1340" dataCellStyle="Moneda"/>
    <tableColumn id="5" xr3:uid="{054B2F28-C0AA-CA48-9F5A-D8F63E635F13}" name="Gmm" dataDxfId="1339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338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337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336"/>
    <tableColumn id="4" xr3:uid="{B5AB7A89-E6F5-0949-A325-6D12B7819C6C}" name="Columna12" dataDxfId="1335">
      <calculatedColumnFormula>Tabla48518942[[#This Row],[Columna2]]/2</calculatedColumnFormula>
    </tableColumn>
    <tableColumn id="2" xr3:uid="{E9EAF918-7EEC-CE41-A893-7A5D3C5620BA}" name="Columna2" dataDxfId="1334"/>
    <tableColumn id="3" xr3:uid="{24A228AD-1BC6-A648-A3F1-EDF4AA33901C}" name="Columna3" dataDxfId="1333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332">
  <autoFilter ref="A58:E92" xr:uid="{328D586A-D547-9F44-AE3F-746D14D24376}"/>
  <tableColumns count="5">
    <tableColumn id="1" xr3:uid="{7DB2C0E0-F054-3447-AE3E-AC909E9B45B3}" name="ASESOR" dataDxfId="1331"/>
    <tableColumn id="2" xr3:uid="{D6BAECA3-70D0-8345-A74F-FB844F060630}" name="FRECUENCIA" dataDxfId="1330"/>
    <tableColumn id="3" xr3:uid="{84A9D40B-B010-B64E-81C6-8B962DB529F2}" name="RAMO" dataDxfId="1329"/>
    <tableColumn id="4" xr3:uid="{B9FFD898-FB3D-4440-82F6-15B02A9E11F3}" name="MONTO ANUAL" dataDxfId="1328"/>
    <tableColumn id="5" xr3:uid="{624E31BC-2C8D-054C-9D30-D59507A26418}" name="MONTO REAL" dataDxfId="1327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3E5112F-FBB4-184D-8F63-BCC7EBDC0270}" name="Tabla936173055235763909354663447734123" displayName="Tabla936173055235763909354663447734123" ref="A5:G51" totalsRowShown="0" headerRowDxfId="1326" dataDxfId="1324" headerRowBorderDxfId="1325" tableBorderDxfId="1323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0FCAB76E-1996-F949-BB39-1184518F18AD}" name="Asesor" dataDxfId="1322" dataCellStyle="Normal 2"/>
    <tableColumn id="2" xr3:uid="{DDE1555C-3C86-0B47-882B-442883C39E69}" name="Pólizas " dataDxfId="1321" dataCellStyle="Normal 2">
      <calculatedColumnFormula>SUM(Tabla936173055235763909354663447734123[[#This Row],[Vida]],Tabla936173055235763909354663447734123[[#This Row],[Gmm]])</calculatedColumnFormula>
    </tableColumn>
    <tableColumn id="3" xr3:uid="{AE4FD4CB-87C0-B540-8064-E983E5F7EB3C}" name="Vida" dataDxfId="1320" dataCellStyle="Normal 2"/>
    <tableColumn id="4" xr3:uid="{C07B35AB-B8B2-004E-81A7-4CB0F4127606}" name="Prima Pagada vida" dataDxfId="1319" dataCellStyle="Moneda"/>
    <tableColumn id="5" xr3:uid="{06AD6703-2E02-E14E-B5CD-E06581921BFE}" name="Gmm" dataDxfId="1318">
      <calculatedColumnFormula>_xlfn.XLOOKUP(Tabla936173055235763909354663447734123[[#This Row],[Asesor]],Tabla4851894224[Columna1],Tabla4851894224[Columna12],0)</calculatedColumnFormula>
    </tableColumn>
    <tableColumn id="6" xr3:uid="{E56057F5-7AF3-4043-9E10-F460898B481C}" name="Prima Pagada gmm" dataDxfId="1317" dataCellStyle="Moneda">
      <calculatedColumnFormula>_xlfn.XLOOKUP(Tabla936173055235763909354663447734123[[#This Row],[Asesor]],Tabla4851894224[Columna1],Tabla4851894224[Columna3],0)</calculatedColumnFormula>
    </tableColumn>
    <tableColumn id="7" xr3:uid="{82428B37-8A55-1A4A-8ADA-F280BEF61B1D}" name="Prima total" dataDxfId="1316" dataCellStyle="Moneda">
      <calculatedColumnFormula>SUM(Tabla936173055235763909354663447734123[[#This Row],[Prima Pagada vida]],Tabla936173055235763909354663447734123[[#This Row],[Prima Pagada gmm]])</calculatedColumnFormula>
    </tableColumn>
  </tableColumns>
  <tableStyleInfo name="Estilo de tabla 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C44EBCC-2050-C045-A9E5-255BD45CC4C7}" name="Tabla4851894224" displayName="Tabla4851894224" ref="I6:L31" totalsRowShown="0">
  <autoFilter ref="I6:L31" xr:uid="{ABB0BD87-ABDC-A94D-89B7-C7CD0609FDA7}"/>
  <tableColumns count="4">
    <tableColumn id="1" xr3:uid="{E921D47D-81A4-9D45-AB76-A84C9F943B01}" name="Columna1" dataDxfId="1315"/>
    <tableColumn id="4" xr3:uid="{A27DFCE3-27E1-8741-B85B-709F257C95C4}" name="Columna12" dataDxfId="1314">
      <calculatedColumnFormula>Tabla4851894224[[#This Row],[Columna2]]/2</calculatedColumnFormula>
    </tableColumn>
    <tableColumn id="2" xr3:uid="{D6F72B3B-6B14-B940-BFA9-AD0181B13383}" name="Columna2" dataDxfId="1313"/>
    <tableColumn id="3" xr3:uid="{8D900369-2129-A84C-A44E-D4B9DA4101D3}" name="Columna3" dataDxfId="1312"/>
  </tableColumns>
  <tableStyleInfo name="Estilo de tabla 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74D39B-1B5A-7445-9ADC-801A1E6194E7}" name="Tabla2652914325" displayName="Tabla2652914325" ref="A58:E105" totalsRowShown="0" headerRowDxfId="1311">
  <autoFilter ref="A58:E105" xr:uid="{328D586A-D547-9F44-AE3F-746D14D24376}">
    <filterColumn colId="0">
      <filters>
        <filter val="MONICA ANDREA AMBRIZ GOMEZ 87538"/>
      </filters>
    </filterColumn>
  </autoFilter>
  <tableColumns count="5">
    <tableColumn id="1" xr3:uid="{2189AF56-95DE-D94A-ACD3-1A2E4012A97F}" name="ASESOR" dataDxfId="1310"/>
    <tableColumn id="2" xr3:uid="{A56184F9-9F87-A841-915F-29476E1F734D}" name="FRECUENCIA" dataDxfId="1309"/>
    <tableColumn id="3" xr3:uid="{D0A5AC08-F446-584F-A959-2F861F09CE37}" name="RAMO" dataDxfId="1308"/>
    <tableColumn id="4" xr3:uid="{EBB03215-617C-2A44-9C23-246E7430AC06}" name="MONTO ANUAL" dataDxfId="1307"/>
    <tableColumn id="5" xr3:uid="{30CD4120-3DA5-4F42-8F87-537C1030116E}" name="MONTO REAL" dataDxfId="1306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B2A08C8-751F-3B40-8506-46DEE72BC980}" name="Tabla93617305523576390935466344773412326" displayName="Tabla93617305523576390935466344773412326" ref="A5:G51" totalsRowShown="0" headerRowDxfId="22" dataDxfId="21" headerRowBorderDxfId="19" tableBorderDxfId="20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82804D4D-8B80-734B-B83E-CACD523E9F20}" name="Asesor" dataDxfId="18" dataCellStyle="Normal 2"/>
    <tableColumn id="2" xr3:uid="{CACE873A-55A7-D448-9BEC-A45051F0D495}" name="Pólizas " dataDxfId="17" dataCellStyle="Normal 2">
      <calculatedColumnFormula>SUM(Tabla93617305523576390935466344773412326[[#This Row],[Vida]],Tabla93617305523576390935466344773412326[[#This Row],[Gmm]])</calculatedColumnFormula>
    </tableColumn>
    <tableColumn id="3" xr3:uid="{18F51742-3B38-E147-8C83-3D85FFA38DE6}" name="Vida" dataDxfId="16" dataCellStyle="Normal 2"/>
    <tableColumn id="4" xr3:uid="{887D7748-8681-1149-BA56-DC06FE65A54C}" name="Prima Pagada vida" dataDxfId="15" dataCellStyle="Moneda"/>
    <tableColumn id="5" xr3:uid="{AA89539E-65CB-C447-B80F-97825AFFBEAB}" name="Gmm" dataDxfId="14">
      <calculatedColumnFormula>_xlfn.XLOOKUP(Tabla93617305523576390935466344773412326[[#This Row],[Asesor]],Tabla485189422427[Columna1],Tabla485189422427[Columna12],0)</calculatedColumnFormula>
    </tableColumn>
    <tableColumn id="6" xr3:uid="{C5D0DF90-8150-1443-A5DB-C651A4F8AD7C}" name="Prima Pagada gmm" dataDxfId="13" dataCellStyle="Moneda">
      <calculatedColumnFormula>_xlfn.XLOOKUP(Tabla93617305523576390935466344773412326[[#This Row],[Asesor]],Tabla485189422427[Columna1],Tabla485189422427[Columna3],0)</calculatedColumnFormula>
    </tableColumn>
    <tableColumn id="7" xr3:uid="{ACDC0BD7-070D-F74B-AB13-BEE8E85D8E76}" name="Prima total" dataDxfId="12" dataCellStyle="Moneda">
      <calculatedColumnFormula>SUM(Tabla93617305523576390935466344773412326[[#This Row],[Prima Pagada vida]],Tabla93617305523576390935466344773412326[[#This Row],[Prima Pagada gmm]])</calculatedColumnFormula>
    </tableColumn>
  </tableColumns>
  <tableStyleInfo name="Estilo de tabla 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A6709F5-7072-3E4E-9289-820424D51A17}" name="Tabla485189422427" displayName="Tabla485189422427" ref="I6:L31" totalsRowShown="0">
  <autoFilter ref="I6:L31" xr:uid="{ABB0BD87-ABDC-A94D-89B7-C7CD0609FDA7}"/>
  <tableColumns count="4">
    <tableColumn id="1" xr3:uid="{9B31E81A-68A4-BA46-B30E-F8CD1FAD06DC}" name="Columna1" dataDxfId="11"/>
    <tableColumn id="4" xr3:uid="{D23B4133-CCB4-2F48-B083-6375B7FFB868}" name="Columna12" dataDxfId="10">
      <calculatedColumnFormula>Tabla485189422427[[#This Row],[Columna2]]/2</calculatedColumnFormula>
    </tableColumn>
    <tableColumn id="2" xr3:uid="{23A57305-531D-774A-B688-8295CFF95712}" name="Columna2" dataDxfId="9"/>
    <tableColumn id="3" xr3:uid="{81203A11-3C6A-E845-801D-49768321AE51}" name="Columna3" dataDxfId="8"/>
  </tableColumns>
  <tableStyleInfo name="Estilo de tabla 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383B69B-C25C-1844-9B99-FC3D8FE2D83F}" name="Tabla265291432528" displayName="Tabla265291432528" ref="A58:E105" totalsRowShown="0" headerRowDxfId="7">
  <autoFilter ref="A58:E105" xr:uid="{328D586A-D547-9F44-AE3F-746D14D24376}"/>
  <tableColumns count="5">
    <tableColumn id="1" xr3:uid="{EA614ACD-ACD8-A141-995B-B7B68703D0E9}" name="ASESOR" dataDxfId="6"/>
    <tableColumn id="2" xr3:uid="{40C1C368-D838-B544-9901-2280DBCA9699}" name="FRECUENCIA" dataDxfId="5"/>
    <tableColumn id="3" xr3:uid="{9487AC52-387E-F14E-907D-93DD87152E82}" name="RAMO" dataDxfId="4"/>
    <tableColumn id="4" xr3:uid="{4AA7016D-94AC-9F40-95CD-489732EBFC06}" name="MONTO ANUAL" dataDxfId="3"/>
    <tableColumn id="5" xr3:uid="{E3AA53FD-BF49-4C48-A6B3-F5A6361B0DBE}" name="MONTO REAL" dataDxfId="2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854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321" t="s">
        <v>0</v>
      </c>
      <c r="B1" s="321"/>
      <c r="C1" s="321"/>
      <c r="D1" s="321"/>
      <c r="E1" s="321"/>
      <c r="F1" s="321"/>
      <c r="G1" s="321"/>
      <c r="H1" s="321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321" t="s">
        <v>51</v>
      </c>
      <c r="B48" s="321"/>
      <c r="C48" s="321"/>
      <c r="D48" s="321"/>
      <c r="E48" s="321"/>
      <c r="F48" s="321"/>
      <c r="G48" s="321"/>
      <c r="H48" s="321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321" t="s">
        <v>55</v>
      </c>
      <c r="B94" s="321"/>
      <c r="C94" s="321"/>
      <c r="D94" s="321"/>
      <c r="E94" s="321"/>
      <c r="F94" s="321"/>
      <c r="G94" s="321"/>
      <c r="H94" s="321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321" t="s">
        <v>73</v>
      </c>
      <c r="B134" s="321"/>
      <c r="C134" s="321"/>
      <c r="D134" s="321"/>
      <c r="E134" s="321"/>
      <c r="F134" s="321"/>
      <c r="G134" s="321"/>
      <c r="H134" s="321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322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23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23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24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321" t="s">
        <v>87</v>
      </c>
      <c r="B172" s="321"/>
      <c r="C172" s="321"/>
      <c r="D172" s="321"/>
      <c r="E172" s="321"/>
      <c r="F172" s="321"/>
      <c r="G172" s="321"/>
      <c r="H172" s="321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321" t="s">
        <v>93</v>
      </c>
      <c r="B212" s="321"/>
      <c r="C212" s="321"/>
      <c r="D212" s="321"/>
      <c r="E212" s="321"/>
      <c r="F212" s="321"/>
      <c r="G212" s="321"/>
      <c r="H212" s="321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321" t="s">
        <v>99</v>
      </c>
      <c r="B254" s="321"/>
      <c r="C254" s="321"/>
      <c r="D254" s="321"/>
      <c r="E254" s="321"/>
      <c r="F254" s="321"/>
      <c r="G254" s="321"/>
      <c r="H254" s="321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321" t="s">
        <v>106</v>
      </c>
      <c r="B302" s="321"/>
      <c r="C302" s="321"/>
      <c r="D302" s="321"/>
      <c r="E302" s="321"/>
      <c r="F302" s="321"/>
      <c r="G302" s="321"/>
      <c r="H302" s="321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321" t="s">
        <v>113</v>
      </c>
      <c r="B353" s="321"/>
      <c r="C353" s="321"/>
      <c r="D353" s="321"/>
      <c r="E353" s="321"/>
      <c r="F353" s="321"/>
      <c r="G353" s="321"/>
      <c r="H353" s="321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321" t="s">
        <v>121</v>
      </c>
      <c r="B411" s="321"/>
      <c r="C411" s="321"/>
      <c r="D411" s="321"/>
      <c r="E411" s="321"/>
      <c r="F411" s="321"/>
      <c r="G411" s="321"/>
      <c r="H411" s="321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321" t="s">
        <v>129</v>
      </c>
      <c r="B463" s="321"/>
      <c r="C463" s="321"/>
      <c r="D463" s="321"/>
      <c r="E463" s="321"/>
      <c r="F463" s="321"/>
      <c r="G463" s="321"/>
      <c r="H463" s="321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321" t="s">
        <v>144</v>
      </c>
      <c r="B528" s="321"/>
      <c r="C528" s="321"/>
      <c r="D528" s="321"/>
      <c r="E528" s="321"/>
      <c r="F528" s="321"/>
      <c r="G528" s="321"/>
      <c r="H528" s="321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321" t="s">
        <v>55</v>
      </c>
      <c r="B585" s="321"/>
      <c r="C585" s="321"/>
      <c r="D585" s="321"/>
      <c r="E585" s="321"/>
      <c r="F585" s="321"/>
      <c r="G585" s="321"/>
      <c r="H585" s="321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321" t="s">
        <v>73</v>
      </c>
      <c r="B667" s="321"/>
      <c r="C667" s="321"/>
      <c r="D667" s="321"/>
      <c r="E667" s="321"/>
      <c r="F667" s="321"/>
      <c r="G667" s="321"/>
      <c r="H667" s="321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321" t="s">
        <v>87</v>
      </c>
      <c r="B752" s="321"/>
      <c r="C752" s="321"/>
      <c r="D752" s="321"/>
      <c r="E752" s="321"/>
      <c r="F752" s="321"/>
      <c r="G752" s="321"/>
      <c r="H752" s="321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:H1"/>
    <mergeCell ref="A48:H48"/>
    <mergeCell ref="A94:H94"/>
    <mergeCell ref="A134:H134"/>
    <mergeCell ref="I144:I147"/>
  </mergeCells>
  <conditionalFormatting sqref="A3">
    <cfRule type="expression" dxfId="1305" priority="950" stopIfTrue="1">
      <formula>#REF!=1</formula>
    </cfRule>
  </conditionalFormatting>
  <conditionalFormatting sqref="A4:A10 C366:D371 E368:F368 E370:F371">
    <cfRule type="expression" dxfId="1304" priority="951" stopIfTrue="1">
      <formula>$Q3=1</formula>
    </cfRule>
  </conditionalFormatting>
  <conditionalFormatting sqref="A10:A42">
    <cfRule type="expression" dxfId="1303" priority="948" stopIfTrue="1">
      <formula>#REF!=1</formula>
    </cfRule>
  </conditionalFormatting>
  <conditionalFormatting sqref="A11:A42 C11:D42 F690:F702 E788:E799 E450:F451">
    <cfRule type="expression" dxfId="1302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301" priority="935" stopIfTrue="1">
      <formula>$T42=1</formula>
    </cfRule>
  </conditionalFormatting>
  <conditionalFormatting sqref="A50 L446 I459:K459 I462:K462">
    <cfRule type="expression" dxfId="1300" priority="898" stopIfTrue="1">
      <formula>$T$34=1</formula>
    </cfRule>
  </conditionalFormatting>
  <conditionalFormatting sqref="A51:A60">
    <cfRule type="expression" dxfId="1299" priority="899" stopIfTrue="1">
      <formula>#REF!=1</formula>
    </cfRule>
  </conditionalFormatting>
  <conditionalFormatting sqref="A51:A61">
    <cfRule type="expression" dxfId="1298" priority="900" stopIfTrue="1">
      <formula>#REF!=1</formula>
    </cfRule>
  </conditionalFormatting>
  <conditionalFormatting sqref="A61:A89 C62:D89 A165 C165:D165 F165">
    <cfRule type="expression" dxfId="1297" priority="896" stopIfTrue="1">
      <formula>$S61=1</formula>
    </cfRule>
  </conditionalFormatting>
  <conditionalFormatting sqref="A62:A86 C62:D86 A88 C88:D88">
    <cfRule type="expression" dxfId="1296" priority="897" stopIfTrue="1">
      <formula>$S61=1</formula>
    </cfRule>
  </conditionalFormatting>
  <conditionalFormatting sqref="A87 C87:D87 A89 C89:D89">
    <cfRule type="expression" dxfId="1295" priority="901" stopIfTrue="1">
      <formula>#REF!=1</formula>
    </cfRule>
  </conditionalFormatting>
  <conditionalFormatting sqref="A96">
    <cfRule type="expression" dxfId="1294" priority="844" stopIfTrue="1">
      <formula>$T$34=1</formula>
    </cfRule>
  </conditionalFormatting>
  <conditionalFormatting sqref="A97:A103">
    <cfRule type="expression" dxfId="1293" priority="848" stopIfTrue="1">
      <formula>$U99=1</formula>
    </cfRule>
    <cfRule type="expression" dxfId="1292" priority="847" stopIfTrue="1">
      <formula>$U100=1</formula>
    </cfRule>
  </conditionalFormatting>
  <conditionalFormatting sqref="A104">
    <cfRule type="expression" dxfId="1291" priority="853" stopIfTrue="1">
      <formula>$U106=1</formula>
    </cfRule>
  </conditionalFormatting>
  <conditionalFormatting sqref="A104:A106">
    <cfRule type="expression" dxfId="1290" priority="849" stopIfTrue="1">
      <formula>#REF!=1</formula>
    </cfRule>
  </conditionalFormatting>
  <conditionalFormatting sqref="A105:A107">
    <cfRule type="expression" dxfId="1289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288" priority="934" stopIfTrue="1">
      <formula>$T43=1</formula>
    </cfRule>
  </conditionalFormatting>
  <conditionalFormatting sqref="A108:A127">
    <cfRule type="expression" dxfId="1287" priority="846" stopIfTrue="1">
      <formula>$T107=1</formula>
    </cfRule>
  </conditionalFormatting>
  <conditionalFormatting sqref="A136">
    <cfRule type="expression" dxfId="1286" priority="783" stopIfTrue="1">
      <formula>$T$34=1</formula>
    </cfRule>
  </conditionalFormatting>
  <conditionalFormatting sqref="A137:A140">
    <cfRule type="expression" dxfId="1285" priority="784" stopIfTrue="1">
      <formula>$T136=1</formula>
    </cfRule>
  </conditionalFormatting>
  <conditionalFormatting sqref="A137:A154">
    <cfRule type="expression" dxfId="1284" priority="845" stopIfTrue="1">
      <formula>$T137=1</formula>
    </cfRule>
  </conditionalFormatting>
  <conditionalFormatting sqref="A160 E156:F156 A156:A158 C156:D158 C160:D160">
    <cfRule type="expression" dxfId="1283" priority="987" stopIfTrue="1">
      <formula>$M155=1</formula>
    </cfRule>
  </conditionalFormatting>
  <conditionalFormatting sqref="A161:A162 A164 C164:D164 C175:C182 D181:D182 A187:A203 C187:C203 C205:D205">
    <cfRule type="expression" dxfId="1282" priority="712" stopIfTrue="1">
      <formula>$L160=1</formula>
    </cfRule>
  </conditionalFormatting>
  <conditionalFormatting sqref="A164 C164:D164 E155:F158 A155:A159 C155:D159 F164">
    <cfRule type="expression" dxfId="1281" priority="767" stopIfTrue="1">
      <formula>$M155=1</formula>
    </cfRule>
  </conditionalFormatting>
  <conditionalFormatting sqref="A166">
    <cfRule type="expression" dxfId="1280" priority="777" stopIfTrue="1">
      <formula>$S165=1</formula>
    </cfRule>
  </conditionalFormatting>
  <conditionalFormatting sqref="A167">
    <cfRule type="expression" dxfId="1279" priority="960" stopIfTrue="1">
      <formula>#REF!=1</formula>
    </cfRule>
    <cfRule type="expression" dxfId="1278" priority="959" stopIfTrue="1">
      <formula>$T166=1</formula>
    </cfRule>
  </conditionalFormatting>
  <conditionalFormatting sqref="A174">
    <cfRule type="expression" dxfId="1277" priority="748" stopIfTrue="1">
      <formula>$T$34=1</formula>
    </cfRule>
  </conditionalFormatting>
  <conditionalFormatting sqref="A175:A182">
    <cfRule type="expression" dxfId="1276" priority="745" stopIfTrue="1">
      <formula>$L175=1</formula>
    </cfRule>
    <cfRule type="expression" dxfId="1275" priority="746" stopIfTrue="1">
      <formula>$L174=1</formula>
    </cfRule>
  </conditionalFormatting>
  <conditionalFormatting sqref="A183 C183:F183">
    <cfRule type="expression" dxfId="1274" priority="1005" stopIfTrue="1">
      <formula>$L182=1</formula>
    </cfRule>
    <cfRule type="expression" dxfId="1273" priority="1004" stopIfTrue="1">
      <formula>#REF!=1</formula>
    </cfRule>
  </conditionalFormatting>
  <conditionalFormatting sqref="A184:A185 C185:F185">
    <cfRule type="expression" dxfId="1272" priority="740" stopIfTrue="1">
      <formula>$I183=1</formula>
    </cfRule>
  </conditionalFormatting>
  <conditionalFormatting sqref="A186:A205">
    <cfRule type="expression" dxfId="1271" priority="729" stopIfTrue="1">
      <formula>$L186=1</formula>
    </cfRule>
  </conditionalFormatting>
  <conditionalFormatting sqref="A204 C204:D204">
    <cfRule type="expression" dxfId="1270" priority="965" stopIfTrue="1">
      <formula>#REF!=1</formula>
    </cfRule>
  </conditionalFormatting>
  <conditionalFormatting sqref="A205">
    <cfRule type="expression" dxfId="1269" priority="730" stopIfTrue="1">
      <formula>$L204=1</formula>
    </cfRule>
  </conditionalFormatting>
  <conditionalFormatting sqref="A206 C206:D206">
    <cfRule type="expression" dxfId="1268" priority="966" stopIfTrue="1">
      <formula>$T206=1</formula>
    </cfRule>
    <cfRule type="expression" dxfId="1267" priority="967" stopIfTrue="1">
      <formula>#REF!=1</formula>
    </cfRule>
  </conditionalFormatting>
  <conditionalFormatting sqref="A214">
    <cfRule type="expression" dxfId="1266" priority="669" stopIfTrue="1">
      <formula>$T$34=1</formula>
    </cfRule>
  </conditionalFormatting>
  <conditionalFormatting sqref="A215:A245">
    <cfRule type="expression" dxfId="1265" priority="657" stopIfTrue="1">
      <formula>$T215=1</formula>
    </cfRule>
  </conditionalFormatting>
  <conditionalFormatting sqref="A236:A245">
    <cfRule type="expression" dxfId="1264" priority="658" stopIfTrue="1">
      <formula>$T235=1</formula>
    </cfRule>
  </conditionalFormatting>
  <conditionalFormatting sqref="A246 C246:D246">
    <cfRule type="expression" dxfId="1263" priority="1008" stopIfTrue="1">
      <formula>$T243=1</formula>
    </cfRule>
    <cfRule type="expression" dxfId="1262" priority="1007" stopIfTrue="1">
      <formula>$T244=1</formula>
    </cfRule>
  </conditionalFormatting>
  <conditionalFormatting sqref="A247">
    <cfRule type="expression" dxfId="1261" priority="649" stopIfTrue="1">
      <formula>$L247=1</formula>
    </cfRule>
    <cfRule type="expression" dxfId="1260" priority="650" stopIfTrue="1">
      <formula>$L246=1</formula>
    </cfRule>
  </conditionalFormatting>
  <conditionalFormatting sqref="A248 C248:D248">
    <cfRule type="expression" dxfId="1259" priority="1010" stopIfTrue="1">
      <formula>#REF!=1</formula>
    </cfRule>
  </conditionalFormatting>
  <conditionalFormatting sqref="A248:A249 C248:D249">
    <cfRule type="expression" dxfId="1258" priority="1009" stopIfTrue="1">
      <formula>$T245=1</formula>
    </cfRule>
  </conditionalFormatting>
  <conditionalFormatting sqref="A249 C249:D249 L518">
    <cfRule type="expression" dxfId="1257" priority="1011" stopIfTrue="1">
      <formula>$T245=1</formula>
    </cfRule>
  </conditionalFormatting>
  <conditionalFormatting sqref="A256">
    <cfRule type="expression" dxfId="1256" priority="617" stopIfTrue="1">
      <formula>$T$34=1</formula>
    </cfRule>
  </conditionalFormatting>
  <conditionalFormatting sqref="A275:A293 A295 C295:D295 C390:D394 E392:F392">
    <cfRule type="expression" dxfId="1255" priority="602" stopIfTrue="1">
      <formula>$T275=1</formula>
    </cfRule>
  </conditionalFormatting>
  <conditionalFormatting sqref="A304">
    <cfRule type="expression" dxfId="1254" priority="552" stopIfTrue="1">
      <formula>$T$34=1</formula>
    </cfRule>
  </conditionalFormatting>
  <conditionalFormatting sqref="A305:A340">
    <cfRule type="expression" dxfId="1253" priority="535" stopIfTrue="1">
      <formula>$T304=1</formula>
    </cfRule>
  </conditionalFormatting>
  <conditionalFormatting sqref="A305:A347">
    <cfRule type="expression" dxfId="1252" priority="534" stopIfTrue="1">
      <formula>$T305=1</formula>
    </cfRule>
  </conditionalFormatting>
  <conditionalFormatting sqref="A355">
    <cfRule type="expression" dxfId="1251" priority="486" stopIfTrue="1">
      <formula>$T$34=1</formula>
    </cfRule>
  </conditionalFormatting>
  <conditionalFormatting sqref="A365:A370">
    <cfRule type="expression" dxfId="1250" priority="487" stopIfTrue="1">
      <formula>$Q365=1</formula>
    </cfRule>
  </conditionalFormatting>
  <conditionalFormatting sqref="A366:A370">
    <cfRule type="expression" dxfId="1249" priority="488" stopIfTrue="1">
      <formula>$Q365=1</formula>
    </cfRule>
  </conditionalFormatting>
  <conditionalFormatting sqref="A371">
    <cfRule type="expression" dxfId="1248" priority="1024" stopIfTrue="1">
      <formula>$Q370=1</formula>
    </cfRule>
  </conditionalFormatting>
  <conditionalFormatting sqref="A390:A394">
    <cfRule type="expression" dxfId="1247" priority="490" stopIfTrue="1">
      <formula>$T390=1</formula>
    </cfRule>
  </conditionalFormatting>
  <conditionalFormatting sqref="A413">
    <cfRule type="expression" dxfId="1246" priority="422" stopIfTrue="1">
      <formula>$T$34=1</formula>
    </cfRule>
  </conditionalFormatting>
  <conditionalFormatting sqref="A420:A422 C420:D422 C472:D474">
    <cfRule type="expression" dxfId="1245" priority="447" stopIfTrue="1">
      <formula>$R420=1</formula>
    </cfRule>
  </conditionalFormatting>
  <conditionalFormatting sqref="A421:A423 C421:D423 C473:D475">
    <cfRule type="expression" dxfId="1244" priority="448" stopIfTrue="1">
      <formula>$R420=1</formula>
    </cfRule>
  </conditionalFormatting>
  <conditionalFormatting sqref="A423:A426 C423:D426 C475:D478">
    <cfRule type="expression" dxfId="1243" priority="423" stopIfTrue="1">
      <formula>$O423=1</formula>
    </cfRule>
  </conditionalFormatting>
  <conditionalFormatting sqref="A424:A426 C424:D426 C476:D478">
    <cfRule type="expression" dxfId="1242" priority="424" stopIfTrue="1">
      <formula>$O423=1</formula>
    </cfRule>
  </conditionalFormatting>
  <conditionalFormatting sqref="A427:A428 C427:D428 C479:D480">
    <cfRule type="expression" dxfId="1241" priority="454" stopIfTrue="1">
      <formula>$O427=1</formula>
    </cfRule>
  </conditionalFormatting>
  <conditionalFormatting sqref="A428:A440 C428:D440 C480:D489 E428:F429 A480:A489 A497:A498 C497:D498 I497:K498 K486:K489 I487:J494">
    <cfRule type="expression" dxfId="1240" priority="1037" stopIfTrue="1">
      <formula>$R429=1</formula>
    </cfRule>
  </conditionalFormatting>
  <conditionalFormatting sqref="A440 C440:D440">
    <cfRule type="expression" dxfId="1239" priority="451" stopIfTrue="1">
      <formula>#REF!=1</formula>
    </cfRule>
  </conditionalFormatting>
  <conditionalFormatting sqref="A441">
    <cfRule type="expression" dxfId="1238" priority="601" stopIfTrue="1">
      <formula>$T442=1</formula>
    </cfRule>
  </conditionalFormatting>
  <conditionalFormatting sqref="A442:A444 C442:D444">
    <cfRule type="expression" dxfId="1237" priority="1034" stopIfTrue="1">
      <formula>$T445=1</formula>
    </cfRule>
  </conditionalFormatting>
  <conditionalFormatting sqref="A445:A446 C445:D446 C503:D504">
    <cfRule type="expression" dxfId="1236" priority="426" stopIfTrue="1">
      <formula>$T448=1</formula>
    </cfRule>
    <cfRule type="expression" dxfId="1235" priority="425" stopIfTrue="1">
      <formula>$T449=1</formula>
    </cfRule>
  </conditionalFormatting>
  <conditionalFormatting sqref="A447 C447:D448 C505:D506 C509:D509 C512:D512 C515:D515 A517 C518:D518 C572:D572 C575:D575 C578:D578">
    <cfRule type="expression" dxfId="1234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233" priority="1040" stopIfTrue="1">
      <formula>$T455=1</formula>
    </cfRule>
  </conditionalFormatting>
  <conditionalFormatting sqref="A448">
    <cfRule type="expression" dxfId="1232" priority="394" stopIfTrue="1">
      <formula>$T453=1</formula>
    </cfRule>
    <cfRule type="expression" dxfId="1231" priority="393" stopIfTrue="1">
      <formula>$T454=1</formula>
    </cfRule>
  </conditionalFormatting>
  <conditionalFormatting sqref="A449 E449:F449 E507:F507 E510:F510 E513:F513 E516:F516 E570:F570 E573:F573 E576:F576">
    <cfRule type="expression" dxfId="1230" priority="406" stopIfTrue="1">
      <formula>$T451=1</formula>
    </cfRule>
    <cfRule type="expression" dxfId="1229" priority="405" stopIfTrue="1">
      <formula>$T453=1</formula>
    </cfRule>
  </conditionalFormatting>
  <conditionalFormatting sqref="A465">
    <cfRule type="expression" dxfId="1228" priority="295" stopIfTrue="1">
      <formula>$T$34=1</formula>
    </cfRule>
  </conditionalFormatting>
  <conditionalFormatting sqref="A466:A471">
    <cfRule type="expression" dxfId="1227" priority="326" stopIfTrue="1">
      <formula>$T466=1</formula>
    </cfRule>
  </conditionalFormatting>
  <conditionalFormatting sqref="A466:A472">
    <cfRule type="expression" dxfId="1226" priority="327" stopIfTrue="1">
      <formula>$T465=1</formula>
    </cfRule>
  </conditionalFormatting>
  <conditionalFormatting sqref="A472:A474">
    <cfRule type="expression" dxfId="1225" priority="315" stopIfTrue="1">
      <formula>$R472=1</formula>
    </cfRule>
  </conditionalFormatting>
  <conditionalFormatting sqref="A473:A475">
    <cfRule type="expression" dxfId="1224" priority="316" stopIfTrue="1">
      <formula>$R472=1</formula>
    </cfRule>
  </conditionalFormatting>
  <conditionalFormatting sqref="A475:A478">
    <cfRule type="expression" dxfId="1223" priority="296" stopIfTrue="1">
      <formula>$O475=1</formula>
    </cfRule>
  </conditionalFormatting>
  <conditionalFormatting sqref="A476:A478">
    <cfRule type="expression" dxfId="1222" priority="297" stopIfTrue="1">
      <formula>$O475=1</formula>
    </cfRule>
  </conditionalFormatting>
  <conditionalFormatting sqref="A479">
    <cfRule type="expression" dxfId="1221" priority="317" stopIfTrue="1">
      <formula>$O480=1</formula>
    </cfRule>
  </conditionalFormatting>
  <conditionalFormatting sqref="A479:A480">
    <cfRule type="expression" dxfId="1220" priority="322" stopIfTrue="1">
      <formula>$O479=1</formula>
    </cfRule>
  </conditionalFormatting>
  <conditionalFormatting sqref="A490:A491 C490:D491 K490:K491">
    <cfRule type="expression" dxfId="1219" priority="1077" stopIfTrue="1">
      <formula>$R497=1</formula>
    </cfRule>
  </conditionalFormatting>
  <conditionalFormatting sqref="A492 C492:D492 K492">
    <cfRule type="expression" dxfId="1218" priority="1075" stopIfTrue="1">
      <formula>$R498=1</formula>
    </cfRule>
  </conditionalFormatting>
  <conditionalFormatting sqref="A493 C493:D493 K493">
    <cfRule type="expression" dxfId="1217" priority="1072" stopIfTrue="1">
      <formula>$R498=1</formula>
    </cfRule>
  </conditionalFormatting>
  <conditionalFormatting sqref="A496 C496:D496 I496:K496 E693:E694">
    <cfRule type="expression" dxfId="1216" priority="1061" stopIfTrue="1">
      <formula>$R498=1</formula>
    </cfRule>
  </conditionalFormatting>
  <conditionalFormatting sqref="A498 C498:D498">
    <cfRule type="expression" dxfId="1215" priority="319" stopIfTrue="1">
      <formula>#REF!=1</formula>
    </cfRule>
  </conditionalFormatting>
  <conditionalFormatting sqref="A499 E429:F429 A429:A439 C429:D439 A441 C441:D441 A481:A497 C481:D497 I495:K498 C499:D499">
    <cfRule type="expression" dxfId="1214" priority="446" stopIfTrue="1">
      <formula>$R429=1</formula>
    </cfRule>
  </conditionalFormatting>
  <conditionalFormatting sqref="A499">
    <cfRule type="expression" dxfId="1213" priority="323" stopIfTrue="1">
      <formula>$T500=1</formula>
    </cfRule>
  </conditionalFormatting>
  <conditionalFormatting sqref="A500:A502 C500:D502">
    <cfRule type="expression" dxfId="1212" priority="336" stopIfTrue="1">
      <formula>$T503=1</formula>
    </cfRule>
    <cfRule type="expression" dxfId="1211" priority="329" stopIfTrue="1">
      <formula>$T502=1</formula>
    </cfRule>
  </conditionalFormatting>
  <conditionalFormatting sqref="A503:A504">
    <cfRule type="expression" dxfId="1210" priority="298" stopIfTrue="1">
      <formula>$T507=1</formula>
    </cfRule>
    <cfRule type="expression" dxfId="1209" priority="299" stopIfTrue="1">
      <formula>$T506=1</formula>
    </cfRule>
  </conditionalFormatting>
  <conditionalFormatting sqref="A505">
    <cfRule type="expression" dxfId="1208" priority="340" stopIfTrue="1">
      <formula>$T513=1</formula>
    </cfRule>
    <cfRule type="expression" dxfId="1207" priority="339" stopIfTrue="1">
      <formula>$T512=1</formula>
    </cfRule>
  </conditionalFormatting>
  <conditionalFormatting sqref="A506">
    <cfRule type="expression" dxfId="1206" priority="270" stopIfTrue="1">
      <formula>$T512=1</formula>
    </cfRule>
    <cfRule type="expression" dxfId="1205" priority="271" stopIfTrue="1">
      <formula>$T511=1</formula>
    </cfRule>
  </conditionalFormatting>
  <conditionalFormatting sqref="A507">
    <cfRule type="expression" dxfId="1204" priority="280" stopIfTrue="1">
      <formula>$T511=1</formula>
    </cfRule>
    <cfRule type="expression" dxfId="1203" priority="281" stopIfTrue="1">
      <formula>$T509=1</formula>
    </cfRule>
  </conditionalFormatting>
  <conditionalFormatting sqref="A509:A515">
    <cfRule type="expression" dxfId="1202" priority="1059" stopIfTrue="1">
      <formula>$T518=1</formula>
    </cfRule>
  </conditionalFormatting>
  <conditionalFormatting sqref="A516">
    <cfRule type="expression" dxfId="1201" priority="1060" stopIfTrue="1">
      <formula>$T525=1</formula>
    </cfRule>
    <cfRule type="expression" dxfId="1200" priority="1057" stopIfTrue="1">
      <formula>$T524=1</formula>
    </cfRule>
  </conditionalFormatting>
  <conditionalFormatting sqref="A530">
    <cfRule type="expression" dxfId="1199" priority="169" stopIfTrue="1">
      <formula>$T$34=1</formula>
    </cfRule>
  </conditionalFormatting>
  <conditionalFormatting sqref="A531:A558 C531:D558 A560:A563 C560:D563 A565:A568 C565:D568">
    <cfRule type="expression" dxfId="1198" priority="168" stopIfTrue="1">
      <formula>$T530=1</formula>
    </cfRule>
  </conditionalFormatting>
  <conditionalFormatting sqref="A531:A568 C531:D568">
    <cfRule type="expression" dxfId="1197" priority="167" stopIfTrue="1">
      <formula>$T531=1</formula>
    </cfRule>
  </conditionalFormatting>
  <conditionalFormatting sqref="A559 C559:D559 A564 C564:D564">
    <cfRule type="expression" dxfId="1196" priority="1078" stopIfTrue="1">
      <formula>#REF!=1</formula>
    </cfRule>
  </conditionalFormatting>
  <conditionalFormatting sqref="A569:A575">
    <cfRule type="expression" dxfId="1195" priority="212" stopIfTrue="1">
      <formula>$T578=1</formula>
    </cfRule>
  </conditionalFormatting>
  <conditionalFormatting sqref="A576">
    <cfRule type="expression" dxfId="1194" priority="213" stopIfTrue="1">
      <formula>$T585=1</formula>
    </cfRule>
    <cfRule type="expression" dxfId="1193" priority="211" stopIfTrue="1">
      <formula>$T584=1</formula>
    </cfRule>
  </conditionalFormatting>
  <conditionalFormatting sqref="A577">
    <cfRule type="expression" dxfId="1192" priority="207" stopIfTrue="1">
      <formula>$T584=1</formula>
    </cfRule>
    <cfRule type="expression" dxfId="1191" priority="208" stopIfTrue="1">
      <formula>$T585=1</formula>
    </cfRule>
  </conditionalFormatting>
  <conditionalFormatting sqref="A578">
    <cfRule type="expression" dxfId="1190" priority="210" stopIfTrue="1">
      <formula>$T585=1</formula>
    </cfRule>
  </conditionalFormatting>
  <conditionalFormatting sqref="A587">
    <cfRule type="expression" dxfId="1189" priority="107" stopIfTrue="1">
      <formula>$S$34=1</formula>
    </cfRule>
  </conditionalFormatting>
  <conditionalFormatting sqref="A588:A602 C588:D602 A604:A607 C604:D607 A609:A610 C609:D610 A612 C612:D612 A615:A616 C615:D616">
    <cfRule type="expression" dxfId="1188" priority="99" stopIfTrue="1">
      <formula>$S587=1</formula>
    </cfRule>
  </conditionalFormatting>
  <conditionalFormatting sqref="A588:A617 C588:D617">
    <cfRule type="expression" dxfId="1187" priority="98" stopIfTrue="1">
      <formula>$S588=1</formula>
    </cfRule>
  </conditionalFormatting>
  <conditionalFormatting sqref="A603 C603:D603 A608 C608:D608 A611 C611:D611 A613:A614 C613:D614 A617 C617:D617">
    <cfRule type="expression" dxfId="1186" priority="1097" stopIfTrue="1">
      <formula>#REF!=1</formula>
    </cfRule>
  </conditionalFormatting>
  <conditionalFormatting sqref="A618">
    <cfRule type="expression" dxfId="1185" priority="143" stopIfTrue="1">
      <formula>$T625=1</formula>
    </cfRule>
    <cfRule type="expression" dxfId="1184" priority="146" stopIfTrue="1">
      <formula>$T624=1</formula>
    </cfRule>
  </conditionalFormatting>
  <conditionalFormatting sqref="A669">
    <cfRule type="expression" dxfId="1183" priority="53" stopIfTrue="1">
      <formula>$S$34=1</formula>
    </cfRule>
  </conditionalFormatting>
  <conditionalFormatting sqref="A670 A672:A673">
    <cfRule type="expression" dxfId="1182" priority="51" stopIfTrue="1">
      <formula>$S670=1</formula>
    </cfRule>
    <cfRule type="expression" dxfId="1181" priority="52" stopIfTrue="1">
      <formula>$S669=1</formula>
    </cfRule>
  </conditionalFormatting>
  <conditionalFormatting sqref="A671">
    <cfRule type="expression" dxfId="1180" priority="44">
      <formula>$F671="TERMINADA"</formula>
    </cfRule>
    <cfRule type="expression" dxfId="1179" priority="45">
      <formula>$F671="ANULADA"</formula>
    </cfRule>
  </conditionalFormatting>
  <conditionalFormatting sqref="A674">
    <cfRule type="expression" dxfId="1178" priority="43">
      <formula>$F674="ANULADA"</formula>
    </cfRule>
    <cfRule type="expression" dxfId="1177" priority="42">
      <formula>$F674="TERMINADA"</formula>
    </cfRule>
  </conditionalFormatting>
  <conditionalFormatting sqref="A695 C695:D695 A698 C698:D698 A700 C700:D700 A702 C702:D702">
    <cfRule type="expression" dxfId="1176" priority="1122" stopIfTrue="1">
      <formula>#REF!=1</formula>
    </cfRule>
  </conditionalFormatting>
  <conditionalFormatting sqref="A754 J754:J755">
    <cfRule type="expression" dxfId="1175" priority="20" stopIfTrue="1">
      <formula>$S$34=1</formula>
    </cfRule>
  </conditionalFormatting>
  <conditionalFormatting sqref="A755:A779 C755:D779 I756:J779">
    <cfRule type="expression" dxfId="1174" priority="14" stopIfTrue="1">
      <formula>$T755=1</formula>
    </cfRule>
    <cfRule type="expression" dxfId="1173" priority="15" stopIfTrue="1">
      <formula>$T754=1</formula>
    </cfRule>
  </conditionalFormatting>
  <conditionalFormatting sqref="A780 C780:D780">
    <cfRule type="expression" dxfId="1172" priority="1133" stopIfTrue="1">
      <formula>$T779=1</formula>
    </cfRule>
  </conditionalFormatting>
  <conditionalFormatting sqref="A780:A798 C780:D799">
    <cfRule type="expression" dxfId="1171" priority="18" stopIfTrue="1">
      <formula>$S780=1</formula>
    </cfRule>
  </conditionalFormatting>
  <conditionalFormatting sqref="A781:A798 C781:D799">
    <cfRule type="expression" dxfId="1170" priority="19" stopIfTrue="1">
      <formula>$S780=1</formula>
    </cfRule>
  </conditionalFormatting>
  <conditionalFormatting sqref="A799">
    <cfRule type="expression" dxfId="1169" priority="1" stopIfTrue="1">
      <formula>$T799=1</formula>
    </cfRule>
    <cfRule type="expression" dxfId="1168" priority="2" stopIfTrue="1">
      <formula>$T798=1</formula>
    </cfRule>
  </conditionalFormatting>
  <conditionalFormatting sqref="A807:A836">
    <cfRule type="expression" dxfId="1167" priority="9">
      <formula>$F807="TERMINADA"</formula>
    </cfRule>
    <cfRule type="expression" dxfId="1166" priority="10">
      <formula>$F807="ANULADA"</formula>
    </cfRule>
  </conditionalFormatting>
  <conditionalFormatting sqref="A710:D711 A713:D717">
    <cfRule type="expression" dxfId="1165" priority="1118">
      <formula>#REF!="TERMINADA"</formula>
    </cfRule>
    <cfRule type="expression" dxfId="1164" priority="1119">
      <formula>#REF!="ANULADA"</formula>
    </cfRule>
  </conditionalFormatting>
  <conditionalFormatting sqref="A712:D712">
    <cfRule type="expression" dxfId="1163" priority="1117">
      <formula>$F702="ANULADA"</formula>
    </cfRule>
    <cfRule type="expression" dxfId="1162" priority="1116">
      <formula>$F702="TERMINADA"</formula>
    </cfRule>
  </conditionalFormatting>
  <conditionalFormatting sqref="A718:D744">
    <cfRule type="expression" dxfId="1161" priority="47">
      <formula>$F703="ANULADA"</formula>
    </cfRule>
    <cfRule type="expression" dxfId="1160" priority="46">
      <formula>$F703="TERMINADA"</formula>
    </cfRule>
  </conditionalFormatting>
  <conditionalFormatting sqref="A837:D841">
    <cfRule type="expression" dxfId="1159" priority="33">
      <formula>$F822="TERMINADA"</formula>
    </cfRule>
    <cfRule type="expression" dxfId="1158" priority="34">
      <formula>$F822="ANULADA"</formula>
    </cfRule>
  </conditionalFormatting>
  <conditionalFormatting sqref="B807:B836">
    <cfRule type="expression" dxfId="1157" priority="8">
      <formula>$F807="ANULADA"</formula>
    </cfRule>
    <cfRule type="expression" dxfId="1156" priority="7">
      <formula>$F807="TERMINADA"</formula>
    </cfRule>
  </conditionalFormatting>
  <conditionalFormatting sqref="C50">
    <cfRule type="expression" dxfId="1155" priority="891" stopIfTrue="1">
      <formula>$T$34=1</formula>
    </cfRule>
  </conditionalFormatting>
  <conditionalFormatting sqref="C51:C60 F249 F294:F295 F347">
    <cfRule type="expression" dxfId="1154" priority="892" stopIfTrue="1">
      <formula>#REF!=1</formula>
    </cfRule>
    <cfRule type="expression" dxfId="1153" priority="893" stopIfTrue="1">
      <formula>#REF!=1</formula>
    </cfRule>
  </conditionalFormatting>
  <conditionalFormatting sqref="C61">
    <cfRule type="expression" dxfId="1152" priority="894" stopIfTrue="1">
      <formula>$S61=1</formula>
    </cfRule>
    <cfRule type="expression" dxfId="1151" priority="895" stopIfTrue="1">
      <formula>#REF!=1</formula>
    </cfRule>
  </conditionalFormatting>
  <conditionalFormatting sqref="C96">
    <cfRule type="expression" dxfId="1150" priority="836" stopIfTrue="1">
      <formula>$T$34=1</formula>
    </cfRule>
  </conditionalFormatting>
  <conditionalFormatting sqref="C97:C103">
    <cfRule type="expression" dxfId="1149" priority="838" stopIfTrue="1">
      <formula>$U99=1</formula>
    </cfRule>
    <cfRule type="expression" dxfId="1148" priority="837" stopIfTrue="1">
      <formula>$U100=1</formula>
    </cfRule>
  </conditionalFormatting>
  <conditionalFormatting sqref="C104">
    <cfRule type="expression" dxfId="1147" priority="843" stopIfTrue="1">
      <formula>$U106=1</formula>
    </cfRule>
  </conditionalFormatting>
  <conditionalFormatting sqref="C104:C106">
    <cfRule type="expression" dxfId="1146" priority="839" stopIfTrue="1">
      <formula>#REF!=1</formula>
    </cfRule>
  </conditionalFormatting>
  <conditionalFormatting sqref="C105:C106">
    <cfRule type="expression" dxfId="1145" priority="840" stopIfTrue="1">
      <formula>#REF!=1</formula>
    </cfRule>
  </conditionalFormatting>
  <conditionalFormatting sqref="C107">
    <cfRule type="expression" dxfId="1144" priority="842" stopIfTrue="1">
      <formula>#REF!=1</formula>
    </cfRule>
    <cfRule type="expression" dxfId="1143" priority="841" stopIfTrue="1">
      <formula>$T107=1</formula>
    </cfRule>
  </conditionalFormatting>
  <conditionalFormatting sqref="C174">
    <cfRule type="expression" dxfId="1142" priority="747" stopIfTrue="1">
      <formula>$T$34=1</formula>
    </cfRule>
  </conditionalFormatting>
  <conditionalFormatting sqref="C186">
    <cfRule type="expression" dxfId="1141" priority="999" stopIfTrue="1">
      <formula>$I184=1</formula>
    </cfRule>
  </conditionalFormatting>
  <conditionalFormatting sqref="C355">
    <cfRule type="expression" dxfId="1140" priority="485" stopIfTrue="1">
      <formula>$T$34=1</formula>
    </cfRule>
  </conditionalFormatting>
  <conditionalFormatting sqref="C413">
    <cfRule type="expression" dxfId="1139" priority="421" stopIfTrue="1">
      <formula>$T$34=1</formula>
    </cfRule>
  </conditionalFormatting>
  <conditionalFormatting sqref="C465">
    <cfRule type="expression" dxfId="1138" priority="294" stopIfTrue="1">
      <formula>$T$34=1</formula>
    </cfRule>
  </conditionalFormatting>
  <conditionalFormatting sqref="C669">
    <cfRule type="expression" dxfId="1137" priority="50" stopIfTrue="1">
      <formula>$S$34=1</formula>
    </cfRule>
  </conditionalFormatting>
  <conditionalFormatting sqref="C670:C694 J671:J675 A675:A694 D678:D694 A696:A697 C696:D697 A699 C699:D699 A701 C701:D701">
    <cfRule type="expression" dxfId="1136" priority="61" stopIfTrue="1">
      <formula>$S669=1</formula>
    </cfRule>
  </conditionalFormatting>
  <conditionalFormatting sqref="C670:C694 J671:J675 A675:A702 D678:D694 C695:D702">
    <cfRule type="expression" dxfId="1135" priority="60" stopIfTrue="1">
      <formula>$S670=1</formula>
    </cfRule>
  </conditionalFormatting>
  <conditionalFormatting sqref="C807:C836">
    <cfRule type="expression" dxfId="1134" priority="6">
      <formula>$F807="ANULADA"</formula>
    </cfRule>
    <cfRule type="expression" dxfId="1133" priority="5">
      <formula>$F807="TERMINADA"</formula>
    </cfRule>
  </conditionalFormatting>
  <conditionalFormatting sqref="C3:D3">
    <cfRule type="expression" dxfId="1132" priority="945" stopIfTrue="1">
      <formula>#REF!=1</formula>
    </cfRule>
  </conditionalFormatting>
  <conditionalFormatting sqref="C4:D9">
    <cfRule type="expression" dxfId="1131" priority="943" stopIfTrue="1">
      <formula>$Q4=1</formula>
    </cfRule>
    <cfRule type="expression" dxfId="1130" priority="944" stopIfTrue="1">
      <formula>$Q3=1</formula>
    </cfRule>
  </conditionalFormatting>
  <conditionalFormatting sqref="C10:D10">
    <cfRule type="expression" dxfId="1129" priority="947" stopIfTrue="1">
      <formula>$Q9=1</formula>
    </cfRule>
  </conditionalFormatting>
  <conditionalFormatting sqref="C10:D42">
    <cfRule type="expression" dxfId="1128" priority="946" stopIfTrue="1">
      <formula>#REF!=1</formula>
    </cfRule>
  </conditionalFormatting>
  <conditionalFormatting sqref="C136:D136">
    <cfRule type="expression" dxfId="1127" priority="785" stopIfTrue="1">
      <formula>$T$34=1</formula>
    </cfRule>
  </conditionalFormatting>
  <conditionalFormatting sqref="C141:D141 C165:D167 A165 A141 A159 C159:D159 C163:D163 A163">
    <cfRule type="expression" dxfId="1126" priority="956" stopIfTrue="1">
      <formula>#REF!=1</formula>
    </cfRule>
  </conditionalFormatting>
  <conditionalFormatting sqref="C160:D163">
    <cfRule type="expression" dxfId="1125" priority="749" stopIfTrue="1">
      <formula>$L160=1</formula>
    </cfRule>
  </conditionalFormatting>
  <conditionalFormatting sqref="C161:D162">
    <cfRule type="expression" dxfId="1124" priority="750" stopIfTrue="1">
      <formula>$L160=1</formula>
    </cfRule>
  </conditionalFormatting>
  <conditionalFormatting sqref="C184:D184 A184">
    <cfRule type="expression" dxfId="1123" priority="1003" stopIfTrue="1">
      <formula>#REF!=1</formula>
    </cfRule>
  </conditionalFormatting>
  <conditionalFormatting sqref="C184:D184">
    <cfRule type="expression" dxfId="1122" priority="1002" stopIfTrue="1">
      <formula>$I183=1</formula>
    </cfRule>
  </conditionalFormatting>
  <conditionalFormatting sqref="C204:D205 A160:A163 F163 F201:F203 C175:C182 D181:D182 C186:C203 E233:F235">
    <cfRule type="expression" dxfId="1121" priority="984" stopIfTrue="1">
      <formula>$L160=1</formula>
    </cfRule>
  </conditionalFormatting>
  <conditionalFormatting sqref="C214:D214">
    <cfRule type="expression" dxfId="1120" priority="666" stopIfTrue="1">
      <formula>$T$34=1</formula>
    </cfRule>
  </conditionalFormatting>
  <conditionalFormatting sqref="C215:D234">
    <cfRule type="expression" dxfId="1119" priority="668" stopIfTrue="1">
      <formula>$T214=1</formula>
    </cfRule>
  </conditionalFormatting>
  <conditionalFormatting sqref="C215:D245">
    <cfRule type="expression" dxfId="1118" priority="667" stopIfTrue="1">
      <formula>$T215=1</formula>
    </cfRule>
  </conditionalFormatting>
  <conditionalFormatting sqref="C235:D235 A235">
    <cfRule type="expression" dxfId="1117" priority="1006" stopIfTrue="1">
      <formula>#REF!=1</formula>
    </cfRule>
  </conditionalFormatting>
  <conditionalFormatting sqref="C256:D256">
    <cfRule type="expression" dxfId="1116" priority="616" stopIfTrue="1">
      <formula>$T$34=1</formula>
    </cfRule>
  </conditionalFormatting>
  <conditionalFormatting sqref="C275:D292">
    <cfRule type="expression" dxfId="1115" priority="621" stopIfTrue="1">
      <formula>$T275=1</formula>
    </cfRule>
    <cfRule type="expression" dxfId="1114" priority="620" stopIfTrue="1">
      <formula>$T276=1</formula>
    </cfRule>
  </conditionalFormatting>
  <conditionalFormatting sqref="C294:D294">
    <cfRule type="expression" dxfId="1113" priority="1012" stopIfTrue="1">
      <formula>$T293=1</formula>
    </cfRule>
  </conditionalFormatting>
  <conditionalFormatting sqref="C304:D304">
    <cfRule type="expression" dxfId="1112" priority="549" stopIfTrue="1">
      <formula>$T$34=1</formula>
    </cfRule>
  </conditionalFormatting>
  <conditionalFormatting sqref="C305:D344">
    <cfRule type="expression" dxfId="1111" priority="540" stopIfTrue="1">
      <formula>$T305=1</formula>
    </cfRule>
  </conditionalFormatting>
  <conditionalFormatting sqref="C341:D341 A341 L516">
    <cfRule type="expression" dxfId="1110" priority="541" stopIfTrue="1">
      <formula>$T339=1</formula>
    </cfRule>
  </conditionalFormatting>
  <conditionalFormatting sqref="C365:D370 A4:A9 E368:F368 E370:F370">
    <cfRule type="expression" dxfId="1109" priority="949" stopIfTrue="1">
      <formula>$Q4=1</formula>
    </cfRule>
  </conditionalFormatting>
  <conditionalFormatting sqref="C441:D441 C499:D499 A275:A295 C294:D295 A390:A394 C390:D394 E392:F394">
    <cfRule type="expression" dxfId="1108" priority="489" stopIfTrue="1">
      <formula>$T276=1</formula>
    </cfRule>
  </conditionalFormatting>
  <conditionalFormatting sqref="C449:D449 A450:A451 C450:F451 C510:D510 C513:D513 C516:D516 A518 C573:D573 C576:D576">
    <cfRule type="expression" dxfId="1107" priority="1054" stopIfTrue="1">
      <formula>$T456=1</formula>
    </cfRule>
  </conditionalFormatting>
  <conditionalFormatting sqref="C507:D507">
    <cfRule type="expression" dxfId="1106" priority="351" stopIfTrue="1">
      <formula>$T514=1</formula>
    </cfRule>
  </conditionalFormatting>
  <conditionalFormatting sqref="C507:D508 A578 C449:D451 A450:A451 A508 C510:D511 C513:D514 C516:D517 A518 C573:D574 C576:D577">
    <cfRule type="expression" dxfId="1105" priority="1053" stopIfTrue="1">
      <formula>$T455=1</formula>
    </cfRule>
  </conditionalFormatting>
  <conditionalFormatting sqref="C530:D530">
    <cfRule type="expression" dxfId="1104" priority="166" stopIfTrue="1">
      <formula>$T$34=1</formula>
    </cfRule>
  </conditionalFormatting>
  <conditionalFormatting sqref="C569:D569">
    <cfRule type="expression" dxfId="1103" priority="202" stopIfTrue="1">
      <formula>$T576=1</formula>
    </cfRule>
  </conditionalFormatting>
  <conditionalFormatting sqref="C570:D570">
    <cfRule type="expression" dxfId="1102" priority="204" stopIfTrue="1">
      <formula>$T577=1</formula>
    </cfRule>
  </conditionalFormatting>
  <conditionalFormatting sqref="C570:D571">
    <cfRule type="expression" dxfId="1101" priority="209" stopIfTrue="1">
      <formula>$T576=1</formula>
    </cfRule>
  </conditionalFormatting>
  <conditionalFormatting sqref="C587:D587">
    <cfRule type="expression" dxfId="1100" priority="106" stopIfTrue="1">
      <formula>$S$34=1</formula>
    </cfRule>
  </conditionalFormatting>
  <conditionalFormatting sqref="C618:D618">
    <cfRule type="expression" dxfId="1099" priority="145" stopIfTrue="1">
      <formula>$T626=1</formula>
    </cfRule>
    <cfRule type="expression" dxfId="1098" priority="144" stopIfTrue="1">
      <formula>$T625=1</formula>
    </cfRule>
  </conditionalFormatting>
  <conditionalFormatting sqref="C754:D754">
    <cfRule type="expression" dxfId="1097" priority="17" stopIfTrue="1">
      <formula>$S$34=1</formula>
    </cfRule>
  </conditionalFormatting>
  <conditionalFormatting sqref="C128:F128 A128">
    <cfRule type="expression" dxfId="1096" priority="852" stopIfTrue="1">
      <formula>#REF!=1</formula>
    </cfRule>
  </conditionalFormatting>
  <conditionalFormatting sqref="C128:F128">
    <cfRule type="expression" dxfId="1095" priority="851" stopIfTrue="1">
      <formula>$T128=1</formula>
    </cfRule>
  </conditionalFormatting>
  <conditionalFormatting sqref="C185:F185 A185:A186">
    <cfRule type="expression" dxfId="1094" priority="741" stopIfTrue="1">
      <formula>$I183=1</formula>
    </cfRule>
  </conditionalFormatting>
  <conditionalFormatting sqref="C293:F293">
    <cfRule type="expression" dxfId="1093" priority="600" stopIfTrue="1">
      <formula>$T293=1</formula>
    </cfRule>
    <cfRule type="expression" dxfId="1092" priority="599" stopIfTrue="1">
      <formula>$T294=1</formula>
    </cfRule>
  </conditionalFormatting>
  <conditionalFormatting sqref="C345:F346 C347:D347 A383 C383:D383 A345:A347">
    <cfRule type="expression" dxfId="1091" priority="1015" stopIfTrue="1">
      <formula>#REF!=1</formula>
    </cfRule>
  </conditionalFormatting>
  <conditionalFormatting sqref="C345:F346">
    <cfRule type="expression" dxfId="1090" priority="1014" stopIfTrue="1">
      <formula>$T345=1</formula>
    </cfRule>
  </conditionalFormatting>
  <conditionalFormatting sqref="C479:F479 A427 C427:F427">
    <cfRule type="expression" dxfId="1089" priority="449" stopIfTrue="1">
      <formula>$O428=1</formula>
    </cfRule>
  </conditionalFormatting>
  <conditionalFormatting sqref="C508:F508 A508:A515 C511:F511 C514:F514 C517:F517 C574:F574 C577:F577 A569:A575 C571:F571">
    <cfRule type="expression" dxfId="1088" priority="1058" stopIfTrue="1">
      <formula>$T518=1</formula>
    </cfRule>
  </conditionalFormatting>
  <conditionalFormatting sqref="D50">
    <cfRule type="expression" dxfId="1087" priority="886" stopIfTrue="1">
      <formula>$T$34=1</formula>
    </cfRule>
  </conditionalFormatting>
  <conditionalFormatting sqref="D51:D60">
    <cfRule type="expression" dxfId="1086" priority="887" stopIfTrue="1">
      <formula>#REF!=1</formula>
    </cfRule>
    <cfRule type="expression" dxfId="1085" priority="888" stopIfTrue="1">
      <formula>#REF!=1</formula>
    </cfRule>
  </conditionalFormatting>
  <conditionalFormatting sqref="D61">
    <cfRule type="expression" dxfId="1084" priority="889" stopIfTrue="1">
      <formula>$S61=1</formula>
    </cfRule>
    <cfRule type="expression" dxfId="1083" priority="890" stopIfTrue="1">
      <formula>#REF!=1</formula>
    </cfRule>
  </conditionalFormatting>
  <conditionalFormatting sqref="D96">
    <cfRule type="expression" dxfId="1082" priority="828" stopIfTrue="1">
      <formula>$T$34=1</formula>
    </cfRule>
  </conditionalFormatting>
  <conditionalFormatting sqref="D97:D103">
    <cfRule type="expression" dxfId="1081" priority="830" stopIfTrue="1">
      <formula>$U99=1</formula>
    </cfRule>
    <cfRule type="expression" dxfId="1080" priority="829" stopIfTrue="1">
      <formula>$U100=1</formula>
    </cfRule>
  </conditionalFormatting>
  <conditionalFormatting sqref="D104">
    <cfRule type="expression" dxfId="1079" priority="835" stopIfTrue="1">
      <formula>$U106=1</formula>
    </cfRule>
  </conditionalFormatting>
  <conditionalFormatting sqref="D104:D106">
    <cfRule type="expression" dxfId="1078" priority="831" stopIfTrue="1">
      <formula>#REF!=1</formula>
    </cfRule>
  </conditionalFormatting>
  <conditionalFormatting sqref="D105:D106">
    <cfRule type="expression" dxfId="1077" priority="832" stopIfTrue="1">
      <formula>#REF!=1</formula>
    </cfRule>
  </conditionalFormatting>
  <conditionalFormatting sqref="D107">
    <cfRule type="expression" dxfId="1076" priority="834" stopIfTrue="1">
      <formula>#REF!=1</formula>
    </cfRule>
    <cfRule type="expression" dxfId="1075" priority="833" stopIfTrue="1">
      <formula>$T107=1</formula>
    </cfRule>
  </conditionalFormatting>
  <conditionalFormatting sqref="D174">
    <cfRule type="expression" dxfId="1074" priority="723" stopIfTrue="1">
      <formula>$T$34=1</formula>
    </cfRule>
  </conditionalFormatting>
  <conditionalFormatting sqref="D175:D179">
    <cfRule type="expression" dxfId="1073" priority="721" stopIfTrue="1">
      <formula>$L175=1</formula>
    </cfRule>
    <cfRule type="expression" dxfId="1072" priority="722" stopIfTrue="1">
      <formula>$L174=1</formula>
    </cfRule>
  </conditionalFormatting>
  <conditionalFormatting sqref="D180">
    <cfRule type="expression" dxfId="1071" priority="724" stopIfTrue="1">
      <formula>$B180&gt;0</formula>
    </cfRule>
  </conditionalFormatting>
  <conditionalFormatting sqref="D186:D203">
    <cfRule type="expression" dxfId="1070" priority="719" stopIfTrue="1">
      <formula>$L186=1</formula>
    </cfRule>
    <cfRule type="expression" dxfId="1069" priority="720" stopIfTrue="1">
      <formula>$L185=1</formula>
    </cfRule>
  </conditionalFormatting>
  <conditionalFormatting sqref="D355">
    <cfRule type="expression" dxfId="1068" priority="484" stopIfTrue="1">
      <formula>$T$34=1</formula>
    </cfRule>
  </conditionalFormatting>
  <conditionalFormatting sqref="D413">
    <cfRule type="expression" dxfId="1067" priority="420" stopIfTrue="1">
      <formula>$T$34=1</formula>
    </cfRule>
  </conditionalFormatting>
  <conditionalFormatting sqref="D465">
    <cfRule type="expression" dxfId="1066" priority="293" stopIfTrue="1">
      <formula>$T$34=1</formula>
    </cfRule>
  </conditionalFormatting>
  <conditionalFormatting sqref="D669">
    <cfRule type="expression" dxfId="1065" priority="41" stopIfTrue="1">
      <formula>$S$34=1</formula>
    </cfRule>
  </conditionalFormatting>
  <conditionalFormatting sqref="D670:D676">
    <cfRule type="expression" dxfId="1064" priority="48" stopIfTrue="1">
      <formula>$S670=1</formula>
    </cfRule>
    <cfRule type="expression" dxfId="1063" priority="49" stopIfTrue="1">
      <formula>$S669=1</formula>
    </cfRule>
  </conditionalFormatting>
  <conditionalFormatting sqref="D807:D836">
    <cfRule type="expression" dxfId="1062" priority="4">
      <formula>$F807="ANULADA"</formula>
    </cfRule>
    <cfRule type="expression" dxfId="1061" priority="3">
      <formula>$F807="TERMINADA"</formula>
    </cfRule>
  </conditionalFormatting>
  <conditionalFormatting sqref="E97 F120:F121 F129 K145:L149 E247:F247 E509:F509 E512:F512 E515:F515 E518:F518 E572:F572 E575:F575 E578:F578 H587:H602 F598:F602 H604:H607">
    <cfRule type="expression" dxfId="1060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1059" priority="804" stopIfTrue="1">
      <formula>$T97=1</formula>
    </cfRule>
  </conditionalFormatting>
  <conditionalFormatting sqref="E101:E102 F788:F799">
    <cfRule type="expression" dxfId="1058" priority="807" stopIfTrue="1">
      <formula>$T100=1</formula>
    </cfRule>
  </conditionalFormatting>
  <conditionalFormatting sqref="E113:E118 F780:F799">
    <cfRule type="expression" dxfId="1057" priority="800" stopIfTrue="1">
      <formula>$T113=1</formula>
    </cfRule>
  </conditionalFormatting>
  <conditionalFormatting sqref="E113:E118 F781:F799">
    <cfRule type="expression" dxfId="1056" priority="801" stopIfTrue="1">
      <formula>$T112=1</formula>
    </cfRule>
  </conditionalFormatting>
  <conditionalFormatting sqref="E120:E121">
    <cfRule type="expression" dxfId="1055" priority="803" stopIfTrue="1">
      <formula>$T119=1</formula>
    </cfRule>
    <cfRule type="expression" dxfId="1054" priority="802" stopIfTrue="1">
      <formula>$T120=1</formula>
    </cfRule>
  </conditionalFormatting>
  <conditionalFormatting sqref="E152:E154">
    <cfRule type="expression" dxfId="1053" priority="786" stopIfTrue="1">
      <formula>$T152=1</formula>
    </cfRule>
    <cfRule type="expression" dxfId="1052" priority="787" stopIfTrue="1">
      <formula>$T151=1</formula>
    </cfRule>
  </conditionalFormatting>
  <conditionalFormatting sqref="E160">
    <cfRule type="expression" dxfId="1051" priority="980" stopIfTrue="1">
      <formula>$K160=1</formula>
    </cfRule>
    <cfRule type="expression" dxfId="1050" priority="981" stopIfTrue="1">
      <formula>$L159=1</formula>
    </cfRule>
  </conditionalFormatting>
  <conditionalFormatting sqref="E192">
    <cfRule type="expression" dxfId="1049" priority="753" stopIfTrue="1">
      <formula>$L192=1</formula>
    </cfRule>
    <cfRule type="expression" dxfId="1048" priority="754" stopIfTrue="1">
      <formula>$L191=1</formula>
    </cfRule>
  </conditionalFormatting>
  <conditionalFormatting sqref="E198">
    <cfRule type="expression" dxfId="1047" priority="761" stopIfTrue="1">
      <formula>$K197=1</formula>
    </cfRule>
    <cfRule type="expression" dxfId="1046" priority="760" stopIfTrue="1">
      <formula>$K198=1</formula>
    </cfRule>
  </conditionalFormatting>
  <conditionalFormatting sqref="E232">
    <cfRule type="expression" dxfId="1045" priority="688" stopIfTrue="1">
      <formula>$L231=1</formula>
    </cfRule>
    <cfRule type="expression" dxfId="1044" priority="687" stopIfTrue="1">
      <formula>$L232=1</formula>
    </cfRule>
  </conditionalFormatting>
  <conditionalFormatting sqref="E237">
    <cfRule type="expression" dxfId="1043" priority="692" stopIfTrue="1">
      <formula>$K236=1</formula>
    </cfRule>
    <cfRule type="expression" dxfId="1042" priority="691" stopIfTrue="1">
      <formula>$K237=1</formula>
    </cfRule>
  </conditionalFormatting>
  <conditionalFormatting sqref="E274">
    <cfRule type="expression" dxfId="1041" priority="635" stopIfTrue="1">
      <formula>$L274=1</formula>
    </cfRule>
    <cfRule type="expression" dxfId="1040" priority="636" stopIfTrue="1">
      <formula>$L273=1</formula>
    </cfRule>
  </conditionalFormatting>
  <conditionalFormatting sqref="E322">
    <cfRule type="expression" dxfId="1039" priority="579" stopIfTrue="1">
      <formula>$L322=1</formula>
    </cfRule>
    <cfRule type="expression" dxfId="1038" priority="580" stopIfTrue="1">
      <formula>$L321=1</formula>
    </cfRule>
  </conditionalFormatting>
  <conditionalFormatting sqref="E413">
    <cfRule type="expression" dxfId="1037" priority="386" stopIfTrue="1">
      <formula>$T412=1</formula>
    </cfRule>
    <cfRule type="expression" dxfId="1036" priority="385" stopIfTrue="1">
      <formula>$T413=1</formula>
    </cfRule>
  </conditionalFormatting>
  <conditionalFormatting sqref="E420">
    <cfRule type="expression" dxfId="1035" priority="374" stopIfTrue="1">
      <formula>$T421=1</formula>
    </cfRule>
    <cfRule type="expression" dxfId="1034" priority="373" stopIfTrue="1">
      <formula>$T422=1</formula>
    </cfRule>
  </conditionalFormatting>
  <conditionalFormatting sqref="E422">
    <cfRule type="expression" dxfId="1033" priority="365" stopIfTrue="1">
      <formula>$T424=1</formula>
    </cfRule>
    <cfRule type="expression" dxfId="1032" priority="366" stopIfTrue="1">
      <formula>$T423=1</formula>
    </cfRule>
  </conditionalFormatting>
  <conditionalFormatting sqref="E424">
    <cfRule type="expression" dxfId="1031" priority="382" stopIfTrue="1">
      <formula>$T423=1</formula>
    </cfRule>
    <cfRule type="expression" dxfId="1030" priority="381" stopIfTrue="1">
      <formula>$T424=1</formula>
    </cfRule>
  </conditionalFormatting>
  <conditionalFormatting sqref="E430">
    <cfRule type="expression" dxfId="1029" priority="395" stopIfTrue="1">
      <formula>$T430=1</formula>
    </cfRule>
    <cfRule type="expression" dxfId="1028" priority="396" stopIfTrue="1">
      <formula>$T429=1</formula>
    </cfRule>
  </conditionalFormatting>
  <conditionalFormatting sqref="E441">
    <cfRule type="expression" dxfId="1027" priority="371" stopIfTrue="1">
      <formula>#REF!=1</formula>
    </cfRule>
    <cfRule type="expression" dxfId="1026" priority="372" stopIfTrue="1">
      <formula>$T442=1</formula>
    </cfRule>
  </conditionalFormatting>
  <conditionalFormatting sqref="E448">
    <cfRule type="expression" dxfId="1025" priority="390" stopIfTrue="1">
      <formula>$T451=1</formula>
    </cfRule>
    <cfRule type="expression" dxfId="1024" priority="389" stopIfTrue="1">
      <formula>$T452=1</formula>
    </cfRule>
  </conditionalFormatting>
  <conditionalFormatting sqref="E472">
    <cfRule type="expression" dxfId="1023" priority="261" stopIfTrue="1">
      <formula>$T473=1</formula>
    </cfRule>
    <cfRule type="expression" dxfId="1022" priority="260" stopIfTrue="1">
      <formula>$T474=1</formula>
    </cfRule>
  </conditionalFormatting>
  <conditionalFormatting sqref="E474">
    <cfRule type="expression" dxfId="1021" priority="252" stopIfTrue="1">
      <formula>$T476=1</formula>
    </cfRule>
    <cfRule type="expression" dxfId="1020" priority="253" stopIfTrue="1">
      <formula>$T475=1</formula>
    </cfRule>
  </conditionalFormatting>
  <conditionalFormatting sqref="E476">
    <cfRule type="expression" dxfId="1019" priority="266" stopIfTrue="1">
      <formula>$T476=1</formula>
    </cfRule>
    <cfRule type="expression" dxfId="1018" priority="267" stopIfTrue="1">
      <formula>$T475=1</formula>
    </cfRule>
  </conditionalFormatting>
  <conditionalFormatting sqref="E482">
    <cfRule type="expression" dxfId="1017" priority="272" stopIfTrue="1">
      <formula>$T482=1</formula>
    </cfRule>
    <cfRule type="expression" dxfId="1016" priority="273" stopIfTrue="1">
      <formula>$T481=1</formula>
    </cfRule>
  </conditionalFormatting>
  <conditionalFormatting sqref="E499">
    <cfRule type="expression" dxfId="1015" priority="258" stopIfTrue="1">
      <formula>#REF!=1</formula>
    </cfRule>
    <cfRule type="expression" dxfId="1014" priority="259" stopIfTrue="1">
      <formula>$T500=1</formula>
    </cfRule>
  </conditionalFormatting>
  <conditionalFormatting sqref="E539">
    <cfRule type="expression" dxfId="1013" priority="173" stopIfTrue="1">
      <formula>$T540=1</formula>
    </cfRule>
    <cfRule type="expression" dxfId="1012" priority="172" stopIfTrue="1">
      <formula>$T541=1</formula>
    </cfRule>
  </conditionalFormatting>
  <conditionalFormatting sqref="E563">
    <cfRule type="expression" dxfId="1011" priority="1079" stopIfTrue="1">
      <formula>#REF!=1</formula>
    </cfRule>
    <cfRule type="expression" dxfId="1010" priority="1080" stopIfTrue="1">
      <formula>#REF!=1</formula>
    </cfRule>
  </conditionalFormatting>
  <conditionalFormatting sqref="E596">
    <cfRule type="expression" dxfId="1009" priority="124" stopIfTrue="1">
      <formula>$T598=1</formula>
    </cfRule>
    <cfRule type="expression" dxfId="1008" priority="125" stopIfTrue="1">
      <formula>$T597=1</formula>
    </cfRule>
  </conditionalFormatting>
  <conditionalFormatting sqref="E600">
    <cfRule type="expression" dxfId="1007" priority="128" stopIfTrue="1">
      <formula>$T602=1</formula>
    </cfRule>
    <cfRule type="expression" dxfId="1006" priority="129" stopIfTrue="1">
      <formula>$T601=1</formula>
    </cfRule>
  </conditionalFormatting>
  <conditionalFormatting sqref="E601">
    <cfRule type="expression" dxfId="1005" priority="137" stopIfTrue="1">
      <formula>$O602=1</formula>
    </cfRule>
  </conditionalFormatting>
  <conditionalFormatting sqref="E601:E602">
    <cfRule type="expression" dxfId="1004" priority="138" stopIfTrue="1">
      <formula>$O601=1</formula>
    </cfRule>
  </conditionalFormatting>
  <conditionalFormatting sqref="E602">
    <cfRule type="expression" dxfId="1003" priority="1106" stopIfTrue="1">
      <formula>#REF!=1</formula>
    </cfRule>
  </conditionalFormatting>
  <conditionalFormatting sqref="E605 E702">
    <cfRule type="expression" dxfId="1002" priority="135" stopIfTrue="1">
      <formula>$R607=1</formula>
    </cfRule>
    <cfRule type="expression" dxfId="1001" priority="136" stopIfTrue="1">
      <formula>$R606=1</formula>
    </cfRule>
  </conditionalFormatting>
  <conditionalFormatting sqref="E606:E607">
    <cfRule type="expression" dxfId="1000" priority="122" stopIfTrue="1">
      <formula>$T606=1</formula>
    </cfRule>
    <cfRule type="expression" dxfId="999" priority="123" stopIfTrue="1">
      <formula>$T605=1</formula>
    </cfRule>
  </conditionalFormatting>
  <conditionalFormatting sqref="E608">
    <cfRule type="expression" dxfId="998" priority="130" stopIfTrue="1">
      <formula>$T609=1</formula>
    </cfRule>
    <cfRule type="expression" dxfId="997" priority="131" stopIfTrue="1">
      <formula>$T608=1</formula>
    </cfRule>
  </conditionalFormatting>
  <conditionalFormatting sqref="E609">
    <cfRule type="expression" dxfId="996" priority="120" stopIfTrue="1">
      <formula>$T$34=1</formula>
    </cfRule>
  </conditionalFormatting>
  <conditionalFormatting sqref="E610:E611">
    <cfRule type="expression" dxfId="995" priority="1103" stopIfTrue="1">
      <formula>#REF!=1</formula>
    </cfRule>
  </conditionalFormatting>
  <conditionalFormatting sqref="E613">
    <cfRule type="expression" dxfId="994" priority="1098" stopIfTrue="1">
      <formula>$R617=1</formula>
    </cfRule>
    <cfRule type="expression" dxfId="993" priority="1099" stopIfTrue="1">
      <formula>#REF!=1</formula>
    </cfRule>
  </conditionalFormatting>
  <conditionalFormatting sqref="E614:E617">
    <cfRule type="expression" dxfId="992" priority="1089" stopIfTrue="1">
      <formula>#REF!=1</formula>
    </cfRule>
    <cfRule type="expression" dxfId="991" priority="1090" stopIfTrue="1">
      <formula>#REF!=1</formula>
    </cfRule>
  </conditionalFormatting>
  <conditionalFormatting sqref="E669:E693">
    <cfRule type="expression" dxfId="990" priority="92" stopIfTrue="1">
      <formula>#REF!=1</formula>
    </cfRule>
  </conditionalFormatting>
  <conditionalFormatting sqref="E692">
    <cfRule type="expression" dxfId="989" priority="1123" stopIfTrue="1">
      <formula>#REF!=1</formula>
    </cfRule>
  </conditionalFormatting>
  <conditionalFormatting sqref="E694">
    <cfRule type="expression" dxfId="988" priority="87" stopIfTrue="1">
      <formula>$R695=1</formula>
    </cfRule>
  </conditionalFormatting>
  <conditionalFormatting sqref="E695:E697">
    <cfRule type="expression" dxfId="987" priority="89" stopIfTrue="1">
      <formula>#REF!=1</formula>
    </cfRule>
    <cfRule type="expression" dxfId="986" priority="88" stopIfTrue="1">
      <formula>#REF!=1</formula>
    </cfRule>
  </conditionalFormatting>
  <conditionalFormatting sqref="E698">
    <cfRule type="expression" dxfId="985" priority="1121" stopIfTrue="1">
      <formula>#REF!=1</formula>
    </cfRule>
    <cfRule type="expression" dxfId="984" priority="1120" stopIfTrue="1">
      <formula>$R702=1</formula>
    </cfRule>
  </conditionalFormatting>
  <conditionalFormatting sqref="E699">
    <cfRule type="expression" dxfId="983" priority="1114" stopIfTrue="1">
      <formula>$R702=1</formula>
    </cfRule>
  </conditionalFormatting>
  <conditionalFormatting sqref="E699:E701">
    <cfRule type="expression" dxfId="982" priority="1113" stopIfTrue="1">
      <formula>#REF!=1</formula>
    </cfRule>
  </conditionalFormatting>
  <conditionalFormatting sqref="E700:E701">
    <cfRule type="expression" dxfId="981" priority="1115" stopIfTrue="1">
      <formula>#REF!=1</formula>
    </cfRule>
  </conditionalFormatting>
  <conditionalFormatting sqref="E754:E776">
    <cfRule type="expression" dxfId="980" priority="1125" stopIfTrue="1">
      <formula>$S757=1</formula>
    </cfRule>
  </conditionalFormatting>
  <conditionalFormatting sqref="E754:E795">
    <cfRule type="expression" dxfId="979" priority="39" stopIfTrue="1">
      <formula>#REF!=1</formula>
    </cfRule>
  </conditionalFormatting>
  <conditionalFormatting sqref="E777:E795">
    <cfRule type="expression" dxfId="978" priority="40" stopIfTrue="1">
      <formula>$R780=1</formula>
    </cfRule>
  </conditionalFormatting>
  <conditionalFormatting sqref="E788:E795 A495 C495:D495 I495:K495 E669:E691">
    <cfRule type="expression" dxfId="977" priority="1066" stopIfTrue="1">
      <formula>$R498=1</formula>
    </cfRule>
  </conditionalFormatting>
  <conditionalFormatting sqref="E796:E799 A494 C494:D494 K494">
    <cfRule type="expression" dxfId="976" priority="1069" stopIfTrue="1">
      <formula>$R498=1</formula>
    </cfRule>
  </conditionalFormatting>
  <conditionalFormatting sqref="E796:E799">
    <cfRule type="expression" dxfId="975" priority="1134" stopIfTrue="1">
      <formula>#REF!=1</formula>
    </cfRule>
    <cfRule type="expression" dxfId="974" priority="1135" stopIfTrue="1">
      <formula>$R800=1</formula>
    </cfRule>
  </conditionalFormatting>
  <conditionalFormatting sqref="E3:F3">
    <cfRule type="expression" dxfId="973" priority="942" stopIfTrue="1">
      <formula>#REF!=1</formula>
    </cfRule>
  </conditionalFormatting>
  <conditionalFormatting sqref="E7:F7">
    <cfRule type="expression" dxfId="972" priority="924" stopIfTrue="1">
      <formula>$Q7=1</formula>
    </cfRule>
    <cfRule type="expression" dxfId="971" priority="925" stopIfTrue="1">
      <formula>$Q6=1</formula>
    </cfRule>
  </conditionalFormatting>
  <conditionalFormatting sqref="E10:F11">
    <cfRule type="expression" dxfId="970" priority="939" stopIfTrue="1">
      <formula>#REF!=1</formula>
    </cfRule>
    <cfRule type="expression" dxfId="969" priority="938" stopIfTrue="1">
      <formula>#REF!=1</formula>
    </cfRule>
  </conditionalFormatting>
  <conditionalFormatting sqref="E17:F17">
    <cfRule type="expression" dxfId="968" priority="937" stopIfTrue="1">
      <formula>#REF!=1</formula>
    </cfRule>
    <cfRule type="expression" dxfId="967" priority="936" stopIfTrue="1">
      <formula>#REF!=1</formula>
    </cfRule>
  </conditionalFormatting>
  <conditionalFormatting sqref="E18:F18">
    <cfRule type="expression" dxfId="966" priority="926" stopIfTrue="1">
      <formula>$Q18=1</formula>
    </cfRule>
    <cfRule type="expression" dxfId="965" priority="927" stopIfTrue="1">
      <formula>#REF!=1</formula>
    </cfRule>
  </conditionalFormatting>
  <conditionalFormatting sqref="E21:F21">
    <cfRule type="expression" dxfId="964" priority="941" stopIfTrue="1">
      <formula>#REF!=1</formula>
    </cfRule>
    <cfRule type="expression" dxfId="963" priority="940" stopIfTrue="1">
      <formula>#REF!=1</formula>
    </cfRule>
  </conditionalFormatting>
  <conditionalFormatting sqref="E24:F24">
    <cfRule type="expression" dxfId="962" priority="931" stopIfTrue="1">
      <formula>#REF!=1</formula>
    </cfRule>
    <cfRule type="expression" dxfId="961" priority="930" stopIfTrue="1">
      <formula>#REF!=1</formula>
    </cfRule>
  </conditionalFormatting>
  <conditionalFormatting sqref="E28:F28">
    <cfRule type="expression" dxfId="960" priority="928" stopIfTrue="1">
      <formula>#REF!=1</formula>
    </cfRule>
    <cfRule type="expression" dxfId="959" priority="929" stopIfTrue="1">
      <formula>#REF!=1</formula>
    </cfRule>
  </conditionalFormatting>
  <conditionalFormatting sqref="E36:F36">
    <cfRule type="expression" dxfId="958" priority="921" stopIfTrue="1">
      <formula>$Q35=1</formula>
    </cfRule>
    <cfRule type="expression" dxfId="957" priority="920" stopIfTrue="1">
      <formula>$Q36=1</formula>
    </cfRule>
  </conditionalFormatting>
  <conditionalFormatting sqref="E41:F41">
    <cfRule type="expression" dxfId="956" priority="923" stopIfTrue="1">
      <formula>$Q40=1</formula>
    </cfRule>
    <cfRule type="expression" dxfId="955" priority="922" stopIfTrue="1">
      <formula>$Q41=1</formula>
    </cfRule>
  </conditionalFormatting>
  <conditionalFormatting sqref="E43:F43">
    <cfRule type="expression" dxfId="954" priority="932" stopIfTrue="1">
      <formula>$T43=1</formula>
    </cfRule>
    <cfRule type="expression" dxfId="953" priority="933" stopIfTrue="1">
      <formula>$T42=1</formula>
    </cfRule>
  </conditionalFormatting>
  <conditionalFormatting sqref="E50:F50 E106:F106 E123:E124">
    <cfRule type="expression" dxfId="952" priority="882" stopIfTrue="1">
      <formula>$S50=1</formula>
    </cfRule>
    <cfRule type="expression" dxfId="951" priority="883" stopIfTrue="1">
      <formula>$S49=1</formula>
    </cfRule>
  </conditionalFormatting>
  <conditionalFormatting sqref="E53:F53">
    <cfRule type="expression" dxfId="950" priority="871" stopIfTrue="1">
      <formula>$S52=1</formula>
    </cfRule>
    <cfRule type="expression" dxfId="949" priority="870" stopIfTrue="1">
      <formula>$S53=1</formula>
    </cfRule>
  </conditionalFormatting>
  <conditionalFormatting sqref="E54:F54">
    <cfRule type="expression" dxfId="948" priority="905" stopIfTrue="1">
      <formula>$P53=1</formula>
    </cfRule>
    <cfRule type="expression" dxfId="947" priority="904" stopIfTrue="1">
      <formula>$P54=1</formula>
    </cfRule>
  </conditionalFormatting>
  <conditionalFormatting sqref="E56:F56">
    <cfRule type="expression" dxfId="946" priority="881" stopIfTrue="1">
      <formula>$S55=1</formula>
    </cfRule>
    <cfRule type="expression" dxfId="945" priority="880" stopIfTrue="1">
      <formula>$S56=1</formula>
    </cfRule>
  </conditionalFormatting>
  <conditionalFormatting sqref="E57:F57">
    <cfRule type="expression" dxfId="944" priority="919" stopIfTrue="1">
      <formula>#REF!=1</formula>
    </cfRule>
    <cfRule type="expression" dxfId="943" priority="918" stopIfTrue="1">
      <formula>#REF!=1</formula>
    </cfRule>
  </conditionalFormatting>
  <conditionalFormatting sqref="E58:F61">
    <cfRule type="expression" dxfId="942" priority="869" stopIfTrue="1">
      <formula>$S57=1</formula>
    </cfRule>
    <cfRule type="expression" dxfId="941" priority="868" stopIfTrue="1">
      <formula>$S58=1</formula>
    </cfRule>
  </conditionalFormatting>
  <conditionalFormatting sqref="E63:F63">
    <cfRule type="expression" dxfId="940" priority="884" stopIfTrue="1">
      <formula>$S63=1</formula>
    </cfRule>
    <cfRule type="expression" dxfId="939" priority="885" stopIfTrue="1">
      <formula>$S62=1</formula>
    </cfRule>
  </conditionalFormatting>
  <conditionalFormatting sqref="E64:F64">
    <cfRule type="expression" dxfId="938" priority="915" stopIfTrue="1">
      <formula>#REF!=1</formula>
    </cfRule>
    <cfRule type="expression" dxfId="937" priority="914" stopIfTrue="1">
      <formula>#REF!=1</formula>
    </cfRule>
  </conditionalFormatting>
  <conditionalFormatting sqref="E65:F65">
    <cfRule type="expression" dxfId="936" priority="907" stopIfTrue="1">
      <formula>#REF!=1</formula>
    </cfRule>
    <cfRule type="expression" dxfId="935" priority="906" stopIfTrue="1">
      <formula>$P65=1</formula>
    </cfRule>
  </conditionalFormatting>
  <conditionalFormatting sqref="E67:F67">
    <cfRule type="expression" dxfId="934" priority="867" stopIfTrue="1">
      <formula>$S66=1</formula>
    </cfRule>
    <cfRule type="expression" dxfId="933" priority="866" stopIfTrue="1">
      <formula>$S67=1</formula>
    </cfRule>
  </conditionalFormatting>
  <conditionalFormatting sqref="E68:F68">
    <cfRule type="expression" dxfId="932" priority="917" stopIfTrue="1">
      <formula>#REF!=1</formula>
    </cfRule>
    <cfRule type="expression" dxfId="931" priority="916" stopIfTrue="1">
      <formula>#REF!=1</formula>
    </cfRule>
  </conditionalFormatting>
  <conditionalFormatting sqref="E70:F70">
    <cfRule type="expression" dxfId="930" priority="864" stopIfTrue="1">
      <formula>$S70=1</formula>
    </cfRule>
    <cfRule type="expression" dxfId="929" priority="865" stopIfTrue="1">
      <formula>$S69=1</formula>
    </cfRule>
  </conditionalFormatting>
  <conditionalFormatting sqref="E71:F71">
    <cfRule type="expression" dxfId="928" priority="910" stopIfTrue="1">
      <formula>#REF!=1</formula>
    </cfRule>
    <cfRule type="expression" dxfId="927" priority="911" stopIfTrue="1">
      <formula>#REF!=1</formula>
    </cfRule>
  </conditionalFormatting>
  <conditionalFormatting sqref="E72:F72">
    <cfRule type="expression" dxfId="926" priority="873" stopIfTrue="1">
      <formula>$S71=1</formula>
    </cfRule>
    <cfRule type="expression" dxfId="925" priority="872" stopIfTrue="1">
      <formula>$S72=1</formula>
    </cfRule>
  </conditionalFormatting>
  <conditionalFormatting sqref="E74:F74">
    <cfRule type="expression" dxfId="924" priority="879" stopIfTrue="1">
      <formula>$S73=1</formula>
    </cfRule>
    <cfRule type="expression" dxfId="923" priority="878" stopIfTrue="1">
      <formula>$S74=1</formula>
    </cfRule>
  </conditionalFormatting>
  <conditionalFormatting sqref="E75:F75">
    <cfRule type="expression" dxfId="922" priority="908" stopIfTrue="1">
      <formula>#REF!=1</formula>
    </cfRule>
    <cfRule type="expression" dxfId="921" priority="909" stopIfTrue="1">
      <formula>#REF!=1</formula>
    </cfRule>
  </conditionalFormatting>
  <conditionalFormatting sqref="E76:F78">
    <cfRule type="expression" dxfId="920" priority="875" stopIfTrue="1">
      <formula>$S75=1</formula>
    </cfRule>
    <cfRule type="expression" dxfId="919" priority="874" stopIfTrue="1">
      <formula>$S76=1</formula>
    </cfRule>
  </conditionalFormatting>
  <conditionalFormatting sqref="E82:F82">
    <cfRule type="expression" dxfId="918" priority="877" stopIfTrue="1">
      <formula>$S81=1</formula>
    </cfRule>
    <cfRule type="expression" dxfId="917" priority="876" stopIfTrue="1">
      <formula>$S82=1</formula>
    </cfRule>
  </conditionalFormatting>
  <conditionalFormatting sqref="E83:F83">
    <cfRule type="expression" dxfId="916" priority="903" stopIfTrue="1">
      <formula>$P82=1</formula>
    </cfRule>
    <cfRule type="expression" dxfId="915" priority="902" stopIfTrue="1">
      <formula>$P83=1</formula>
    </cfRule>
  </conditionalFormatting>
  <conditionalFormatting sqref="E88:F88">
    <cfRule type="expression" dxfId="914" priority="913" stopIfTrue="1">
      <formula>$S87=1</formula>
    </cfRule>
    <cfRule type="expression" dxfId="913" priority="912" stopIfTrue="1">
      <formula>$S88=1</formula>
    </cfRule>
  </conditionalFormatting>
  <conditionalFormatting sqref="E96:F96">
    <cfRule type="expression" dxfId="912" priority="860" stopIfTrue="1">
      <formula>$S96=1</formula>
    </cfRule>
    <cfRule type="expression" dxfId="911" priority="861" stopIfTrue="1">
      <formula>$S95=1</formula>
    </cfRule>
  </conditionalFormatting>
  <conditionalFormatting sqref="E99:F99">
    <cfRule type="expression" dxfId="910" priority="857" stopIfTrue="1">
      <formula>$S98=1</formula>
    </cfRule>
    <cfRule type="expression" dxfId="909" priority="856" stopIfTrue="1">
      <formula>$S99=1</formula>
    </cfRule>
  </conditionalFormatting>
  <conditionalFormatting sqref="E100:F100">
    <cfRule type="expression" dxfId="908" priority="827" stopIfTrue="1">
      <formula>$T99=1</formula>
    </cfRule>
    <cfRule type="expression" dxfId="907" priority="826" stopIfTrue="1">
      <formula>$T100=1</formula>
    </cfRule>
  </conditionalFormatting>
  <conditionalFormatting sqref="E103:F103">
    <cfRule type="expression" dxfId="906" priority="819" stopIfTrue="1">
      <formula>$T102=1</formula>
    </cfRule>
    <cfRule type="expression" dxfId="905" priority="818" stopIfTrue="1">
      <formula>$T103=1</formula>
    </cfRule>
  </conditionalFormatting>
  <conditionalFormatting sqref="E104:F104">
    <cfRule type="expression" dxfId="904" priority="855" stopIfTrue="1">
      <formula>$S103=1</formula>
    </cfRule>
    <cfRule type="expression" dxfId="903" priority="854" stopIfTrue="1">
      <formula>$S104=1</formula>
    </cfRule>
  </conditionalFormatting>
  <conditionalFormatting sqref="E105:F105">
    <cfRule type="expression" dxfId="902" priority="821" stopIfTrue="1">
      <formula>$T104=1</formula>
    </cfRule>
    <cfRule type="expression" dxfId="901" priority="820" stopIfTrue="1">
      <formula>$T105=1</formula>
    </cfRule>
  </conditionalFormatting>
  <conditionalFormatting sqref="E107:F108">
    <cfRule type="expression" dxfId="900" priority="823" stopIfTrue="1">
      <formula>$T106=1</formula>
    </cfRule>
    <cfRule type="expression" dxfId="899" priority="822" stopIfTrue="1">
      <formula>$T107=1</formula>
    </cfRule>
  </conditionalFormatting>
  <conditionalFormatting sqref="E109:F109">
    <cfRule type="expression" dxfId="898" priority="862" stopIfTrue="1">
      <formula>$S109=1</formula>
    </cfRule>
    <cfRule type="expression" dxfId="897" priority="863" stopIfTrue="1">
      <formula>$S108=1</formula>
    </cfRule>
  </conditionalFormatting>
  <conditionalFormatting sqref="E110:F111">
    <cfRule type="expression" dxfId="896" priority="825" stopIfTrue="1">
      <formula>$T109=1</formula>
    </cfRule>
    <cfRule type="expression" dxfId="895" priority="824" stopIfTrue="1">
      <formula>$T110=1</formula>
    </cfRule>
  </conditionalFormatting>
  <conditionalFormatting sqref="E119:F119">
    <cfRule type="expression" dxfId="894" priority="817" stopIfTrue="1">
      <formula>#REF!=1</formula>
    </cfRule>
    <cfRule type="expression" dxfId="893" priority="816" stopIfTrue="1">
      <formula>$T119=1</formula>
    </cfRule>
  </conditionalFormatting>
  <conditionalFormatting sqref="E122:F122">
    <cfRule type="expression" dxfId="892" priority="859" stopIfTrue="1">
      <formula>$S121=1</formula>
    </cfRule>
    <cfRule type="expression" dxfId="891" priority="858" stopIfTrue="1">
      <formula>$S122=1</formula>
    </cfRule>
  </conditionalFormatting>
  <conditionalFormatting sqref="E136:F137">
    <cfRule type="expression" dxfId="890" priority="769" stopIfTrue="1">
      <formula>$T135=1</formula>
    </cfRule>
    <cfRule type="expression" dxfId="889" priority="768" stopIfTrue="1">
      <formula>$T136=1</formula>
    </cfRule>
  </conditionalFormatting>
  <conditionalFormatting sqref="E139:F139">
    <cfRule type="expression" dxfId="888" priority="796" stopIfTrue="1">
      <formula>$S139=1</formula>
    </cfRule>
    <cfRule type="expression" dxfId="887" priority="797" stopIfTrue="1">
      <formula>$S138=1</formula>
    </cfRule>
  </conditionalFormatting>
  <conditionalFormatting sqref="E140:F140">
    <cfRule type="expression" dxfId="886" priority="793" stopIfTrue="1">
      <formula>$T139=1</formula>
    </cfRule>
  </conditionalFormatting>
  <conditionalFormatting sqref="E140:F143">
    <cfRule type="expression" dxfId="885" priority="765" stopIfTrue="1">
      <formula>$T140=1</formula>
    </cfRule>
  </conditionalFormatting>
  <conditionalFormatting sqref="E142:F143">
    <cfRule type="expression" dxfId="884" priority="766" stopIfTrue="1">
      <formula>$T141=1</formula>
    </cfRule>
  </conditionalFormatting>
  <conditionalFormatting sqref="E144:F144">
    <cfRule type="expression" dxfId="883" priority="794" stopIfTrue="1">
      <formula>$S144=1</formula>
    </cfRule>
    <cfRule type="expression" dxfId="882" priority="795" stopIfTrue="1">
      <formula>$S143=1</formula>
    </cfRule>
  </conditionalFormatting>
  <conditionalFormatting sqref="E145:F146">
    <cfRule type="expression" dxfId="881" priority="791" stopIfTrue="1">
      <formula>$T145=1</formula>
    </cfRule>
    <cfRule type="expression" dxfId="880" priority="792" stopIfTrue="1">
      <formula>$T144=1</formula>
    </cfRule>
  </conditionalFormatting>
  <conditionalFormatting sqref="E147:F147">
    <cfRule type="expression" dxfId="879" priority="798" stopIfTrue="1">
      <formula>$S147=1</formula>
    </cfRule>
    <cfRule type="expression" dxfId="878" priority="799" stopIfTrue="1">
      <formula>$S146=1</formula>
    </cfRule>
  </conditionalFormatting>
  <conditionalFormatting sqref="E148:F149">
    <cfRule type="expression" dxfId="877" priority="774" stopIfTrue="1">
      <formula>$T148=1</formula>
    </cfRule>
    <cfRule type="expression" dxfId="876" priority="775" stopIfTrue="1">
      <formula>$T147=1</formula>
    </cfRule>
  </conditionalFormatting>
  <conditionalFormatting sqref="E151:F151">
    <cfRule type="expression" dxfId="875" priority="771" stopIfTrue="1">
      <formula>$T150=1</formula>
    </cfRule>
    <cfRule type="expression" dxfId="874" priority="770" stopIfTrue="1">
      <formula>$T151=1</formula>
    </cfRule>
  </conditionalFormatting>
  <conditionalFormatting sqref="E157:F158">
    <cfRule type="expression" dxfId="873" priority="790" stopIfTrue="1">
      <formula>#REF!=1</formula>
    </cfRule>
  </conditionalFormatting>
  <conditionalFormatting sqref="E159:F159">
    <cfRule type="expression" dxfId="872" priority="776" stopIfTrue="1">
      <formula>$T$34=1</formula>
    </cfRule>
  </conditionalFormatting>
  <conditionalFormatting sqref="E161:F162">
    <cfRule type="expression" dxfId="871" priority="773" stopIfTrue="1">
      <formula>$L160=1</formula>
    </cfRule>
    <cfRule type="expression" dxfId="870" priority="772" stopIfTrue="1">
      <formula>$L161=1</formula>
    </cfRule>
  </conditionalFormatting>
  <conditionalFormatting sqref="E174:F174">
    <cfRule type="expression" dxfId="869" priority="742" stopIfTrue="1">
      <formula>$T$34=1</formula>
    </cfRule>
  </conditionalFormatting>
  <conditionalFormatting sqref="E175:F175">
    <cfRule type="expression" dxfId="868" priority="744" stopIfTrue="1">
      <formula>$L174=1</formula>
    </cfRule>
    <cfRule type="expression" dxfId="867" priority="743" stopIfTrue="1">
      <formula>$L175=1</formula>
    </cfRule>
  </conditionalFormatting>
  <conditionalFormatting sqref="E177:F177">
    <cfRule type="expression" dxfId="866" priority="759" stopIfTrue="1">
      <formula>$K176=1</formula>
    </cfRule>
    <cfRule type="expression" dxfId="865" priority="758" stopIfTrue="1">
      <formula>$K177=1</formula>
    </cfRule>
  </conditionalFormatting>
  <conditionalFormatting sqref="E178:F178">
    <cfRule type="expression" dxfId="864" priority="734" stopIfTrue="1">
      <formula>$L177=1</formula>
    </cfRule>
  </conditionalFormatting>
  <conditionalFormatting sqref="E178:F182">
    <cfRule type="expression" dxfId="863" priority="733" stopIfTrue="1">
      <formula>$L178=1</formula>
    </cfRule>
  </conditionalFormatting>
  <conditionalFormatting sqref="E179:F179 F201:F203">
    <cfRule type="expression" dxfId="862" priority="764" stopIfTrue="1">
      <formula>#REF!=1</formula>
    </cfRule>
  </conditionalFormatting>
  <conditionalFormatting sqref="E180:F182">
    <cfRule type="expression" dxfId="861" priority="735" stopIfTrue="1">
      <formula>$L179=1</formula>
    </cfRule>
  </conditionalFormatting>
  <conditionalFormatting sqref="E184:F184">
    <cfRule type="expression" dxfId="860" priority="1000" stopIfTrue="1">
      <formula>$I183=1</formula>
    </cfRule>
    <cfRule type="expression" dxfId="859" priority="1001" stopIfTrue="1">
      <formula>#REF!=1</formula>
    </cfRule>
  </conditionalFormatting>
  <conditionalFormatting sqref="E186:F186">
    <cfRule type="expression" dxfId="858" priority="998" stopIfTrue="1">
      <formula>$I184=1</formula>
    </cfRule>
  </conditionalFormatting>
  <conditionalFormatting sqref="E186:F187">
    <cfRule type="expression" dxfId="857" priority="736" stopIfTrue="1">
      <formula>$L186=1</formula>
    </cfRule>
  </conditionalFormatting>
  <conditionalFormatting sqref="E187:F187">
    <cfRule type="expression" dxfId="856" priority="737" stopIfTrue="1">
      <formula>$L186=1</formula>
    </cfRule>
  </conditionalFormatting>
  <conditionalFormatting sqref="E189:F191">
    <cfRule type="expression" dxfId="855" priority="728" stopIfTrue="1">
      <formula>$L188=1</formula>
    </cfRule>
    <cfRule type="expression" dxfId="854" priority="727" stopIfTrue="1">
      <formula>$L189=1</formula>
    </cfRule>
  </conditionalFormatting>
  <conditionalFormatting sqref="E193:F194">
    <cfRule type="expression" dxfId="853" priority="751" stopIfTrue="1">
      <formula>$L192=1</formula>
    </cfRule>
  </conditionalFormatting>
  <conditionalFormatting sqref="E193:F196">
    <cfRule type="expression" dxfId="852" priority="738" stopIfTrue="1">
      <formula>$L193=1</formula>
    </cfRule>
  </conditionalFormatting>
  <conditionalFormatting sqref="E195:F195">
    <cfRule type="expression" dxfId="851" priority="757" stopIfTrue="1">
      <formula>#REF!=1</formula>
    </cfRule>
  </conditionalFormatting>
  <conditionalFormatting sqref="E196:F196">
    <cfRule type="expression" dxfId="850" priority="739" stopIfTrue="1">
      <formula>$L195=1</formula>
    </cfRule>
  </conditionalFormatting>
  <conditionalFormatting sqref="E197:F197">
    <cfRule type="expression" dxfId="849" priority="752" stopIfTrue="1">
      <formula>$T$34=1</formula>
    </cfRule>
  </conditionalFormatting>
  <conditionalFormatting sqref="E199:F200">
    <cfRule type="expression" dxfId="848" priority="725" stopIfTrue="1">
      <formula>$L199=1</formula>
    </cfRule>
    <cfRule type="expression" dxfId="847" priority="726" stopIfTrue="1">
      <formula>$L198=1</formula>
    </cfRule>
  </conditionalFormatting>
  <conditionalFormatting sqref="E205:F205">
    <cfRule type="expression" dxfId="846" priority="732" stopIfTrue="1">
      <formula>$L204=1</formula>
    </cfRule>
    <cfRule type="expression" dxfId="845" priority="731" stopIfTrue="1">
      <formula>$L205=1</formula>
    </cfRule>
  </conditionalFormatting>
  <conditionalFormatting sqref="E214:F214">
    <cfRule type="expression" dxfId="844" priority="681" stopIfTrue="1">
      <formula>$T$34=1</formula>
    </cfRule>
  </conditionalFormatting>
  <conditionalFormatting sqref="E215:F215">
    <cfRule type="expression" dxfId="843" priority="683" stopIfTrue="1">
      <formula>$L214=1</formula>
    </cfRule>
    <cfRule type="expression" dxfId="842" priority="682" stopIfTrue="1">
      <formula>$L215=1</formula>
    </cfRule>
  </conditionalFormatting>
  <conditionalFormatting sqref="E216:F217">
    <cfRule type="expression" dxfId="841" priority="662" stopIfTrue="1">
      <formula>$T215=1</formula>
    </cfRule>
    <cfRule type="expression" dxfId="840" priority="661" stopIfTrue="1">
      <formula>$T216=1</formula>
    </cfRule>
  </conditionalFormatting>
  <conditionalFormatting sqref="E218:F218">
    <cfRule type="expression" dxfId="839" priority="665" stopIfTrue="1">
      <formula>$T$34=1</formula>
    </cfRule>
  </conditionalFormatting>
  <conditionalFormatting sqref="E219:F222">
    <cfRule type="expression" dxfId="838" priority="674" stopIfTrue="1">
      <formula>$L219=1</formula>
    </cfRule>
  </conditionalFormatting>
  <conditionalFormatting sqref="E220:F222">
    <cfRule type="expression" dxfId="837" priority="675" stopIfTrue="1">
      <formula>$L219=1</formula>
    </cfRule>
  </conditionalFormatting>
  <conditionalFormatting sqref="E223:F223">
    <cfRule type="expression" dxfId="836" priority="700" stopIfTrue="1">
      <formula>$L222=1</formula>
    </cfRule>
    <cfRule type="expression" dxfId="835" priority="699" stopIfTrue="1">
      <formula>#REF!=1</formula>
    </cfRule>
  </conditionalFormatting>
  <conditionalFormatting sqref="E224:F224">
    <cfRule type="expression" dxfId="834" priority="698" stopIfTrue="1">
      <formula>#REF!=1</formula>
    </cfRule>
  </conditionalFormatting>
  <conditionalFormatting sqref="E224:F225">
    <cfRule type="expression" dxfId="833" priority="679" stopIfTrue="1">
      <formula>$I223=1</formula>
    </cfRule>
  </conditionalFormatting>
  <conditionalFormatting sqref="E225:F226">
    <cfRule type="expression" dxfId="832" priority="680" stopIfTrue="1">
      <formula>$I223=1</formula>
    </cfRule>
  </conditionalFormatting>
  <conditionalFormatting sqref="E226:F227">
    <cfRule type="expression" dxfId="831" priority="676" stopIfTrue="1">
      <formula>$L226=1</formula>
    </cfRule>
  </conditionalFormatting>
  <conditionalFormatting sqref="E227:F227">
    <cfRule type="expression" dxfId="830" priority="677" stopIfTrue="1">
      <formula>$L226=1</formula>
    </cfRule>
  </conditionalFormatting>
  <conditionalFormatting sqref="E229:F231">
    <cfRule type="expression" dxfId="829" priority="653" stopIfTrue="1">
      <formula>$T229=1</formula>
    </cfRule>
    <cfRule type="expression" dxfId="828" priority="654" stopIfTrue="1">
      <formula>$T228=1</formula>
    </cfRule>
  </conditionalFormatting>
  <conditionalFormatting sqref="E233:F234">
    <cfRule type="expression" dxfId="827" priority="685" stopIfTrue="1">
      <formula>$L232=1</formula>
    </cfRule>
  </conditionalFormatting>
  <conditionalFormatting sqref="E235:F235">
    <cfRule type="expression" dxfId="826" priority="678" stopIfTrue="1">
      <formula>#REF!=1</formula>
    </cfRule>
  </conditionalFormatting>
  <conditionalFormatting sqref="E236:F236">
    <cfRule type="expression" dxfId="825" priority="686" stopIfTrue="1">
      <formula>$T$34=1</formula>
    </cfRule>
  </conditionalFormatting>
  <conditionalFormatting sqref="E238:F239">
    <cfRule type="expression" dxfId="824" priority="671" stopIfTrue="1">
      <formula>$L237=1</formula>
    </cfRule>
    <cfRule type="expression" dxfId="823" priority="670" stopIfTrue="1">
      <formula>$L238=1</formula>
    </cfRule>
  </conditionalFormatting>
  <conditionalFormatting sqref="E240:F240">
    <cfRule type="expression" dxfId="822" priority="664" stopIfTrue="1">
      <formula>$T239=1</formula>
    </cfRule>
    <cfRule type="expression" dxfId="821" priority="663" stopIfTrue="1">
      <formula>$T240=1</formula>
    </cfRule>
  </conditionalFormatting>
  <conditionalFormatting sqref="E244:F245">
    <cfRule type="expression" dxfId="820" priority="659" stopIfTrue="1">
      <formula>$T244=1</formula>
    </cfRule>
    <cfRule type="expression" dxfId="819" priority="660" stopIfTrue="1">
      <formula>$T243=1</formula>
    </cfRule>
  </conditionalFormatting>
  <conditionalFormatting sqref="E246:F246">
    <cfRule type="expression" dxfId="818" priority="673" stopIfTrue="1">
      <formula>$L243=1</formula>
    </cfRule>
    <cfRule type="expression" dxfId="817" priority="672" stopIfTrue="1">
      <formula>$L244=1</formula>
    </cfRule>
  </conditionalFormatting>
  <conditionalFormatting sqref="E248:F248">
    <cfRule type="expression" dxfId="816" priority="656" stopIfTrue="1">
      <formula>$T246=1</formula>
    </cfRule>
    <cfRule type="expression" dxfId="815" priority="655" stopIfTrue="1">
      <formula>$T247=1</formula>
    </cfRule>
  </conditionalFormatting>
  <conditionalFormatting sqref="E256:F256">
    <cfRule type="expression" dxfId="814" priority="615" stopIfTrue="1">
      <formula>$T$34=1</formula>
    </cfRule>
  </conditionalFormatting>
  <conditionalFormatting sqref="E257:F257">
    <cfRule type="expression" dxfId="813" priority="631" stopIfTrue="1">
      <formula>$L257=1</formula>
    </cfRule>
    <cfRule type="expression" dxfId="812" priority="632" stopIfTrue="1">
      <formula>$L256=1</formula>
    </cfRule>
  </conditionalFormatting>
  <conditionalFormatting sqref="E258:F259">
    <cfRule type="expression" dxfId="811" priority="607" stopIfTrue="1">
      <formula>$T258=1</formula>
    </cfRule>
    <cfRule type="expression" dxfId="810" priority="608" stopIfTrue="1">
      <formula>$T257=1</formula>
    </cfRule>
  </conditionalFormatting>
  <conditionalFormatting sqref="E260:F260">
    <cfRule type="expression" dxfId="809" priority="622" stopIfTrue="1">
      <formula>$T$34=1</formula>
    </cfRule>
  </conditionalFormatting>
  <conditionalFormatting sqref="E261:F264">
    <cfRule type="expression" dxfId="808" priority="627" stopIfTrue="1">
      <formula>$L261=1</formula>
    </cfRule>
  </conditionalFormatting>
  <conditionalFormatting sqref="E262:F264">
    <cfRule type="expression" dxfId="807" priority="628" stopIfTrue="1">
      <formula>$L261=1</formula>
    </cfRule>
  </conditionalFormatting>
  <conditionalFormatting sqref="E265:F265">
    <cfRule type="expression" dxfId="806" priority="645" stopIfTrue="1">
      <formula>#REF!=1</formula>
    </cfRule>
    <cfRule type="expression" dxfId="805" priority="646" stopIfTrue="1">
      <formula>$L264=1</formula>
    </cfRule>
  </conditionalFormatting>
  <conditionalFormatting sqref="E266:F266">
    <cfRule type="expression" dxfId="804" priority="643" stopIfTrue="1">
      <formula>$I265=1</formula>
    </cfRule>
    <cfRule type="expression" dxfId="803" priority="644" stopIfTrue="1">
      <formula>#REF!=1</formula>
    </cfRule>
  </conditionalFormatting>
  <conditionalFormatting sqref="E267:F267">
    <cfRule type="expression" dxfId="802" priority="610" stopIfTrue="1">
      <formula>$T266=1</formula>
    </cfRule>
    <cfRule type="expression" dxfId="801" priority="609" stopIfTrue="1">
      <formula>$T267=1</formula>
    </cfRule>
  </conditionalFormatting>
  <conditionalFormatting sqref="E268:F268">
    <cfRule type="expression" dxfId="800" priority="642" stopIfTrue="1">
      <formula>$I266=1</formula>
    </cfRule>
  </conditionalFormatting>
  <conditionalFormatting sqref="E268:F269">
    <cfRule type="expression" dxfId="799" priority="629" stopIfTrue="1">
      <formula>$L268=1</formula>
    </cfRule>
  </conditionalFormatting>
  <conditionalFormatting sqref="E269:F269">
    <cfRule type="expression" dxfId="798" priority="630" stopIfTrue="1">
      <formula>$L268=1</formula>
    </cfRule>
  </conditionalFormatting>
  <conditionalFormatting sqref="E270:F273">
    <cfRule type="expression" dxfId="797" priority="598" stopIfTrue="1">
      <formula>$T269=1</formula>
    </cfRule>
    <cfRule type="expression" dxfId="796" priority="597" stopIfTrue="1">
      <formula>$T270=1</formula>
    </cfRule>
  </conditionalFormatting>
  <conditionalFormatting sqref="E275:F275">
    <cfRule type="expression" dxfId="795" priority="1013" stopIfTrue="1">
      <formula>$L275=1</formula>
    </cfRule>
  </conditionalFormatting>
  <conditionalFormatting sqref="E276:F276">
    <cfRule type="expression" dxfId="794" priority="611" stopIfTrue="1">
      <formula>$T277=1</formula>
    </cfRule>
    <cfRule type="expression" dxfId="793" priority="612" stopIfTrue="1">
      <formula>$T276=1</formula>
    </cfRule>
  </conditionalFormatting>
  <conditionalFormatting sqref="E277:F277">
    <cfRule type="expression" dxfId="792" priority="634" stopIfTrue="1">
      <formula>$T$34=1</formula>
    </cfRule>
  </conditionalFormatting>
  <conditionalFormatting sqref="E278:F278">
    <cfRule type="expression" dxfId="791" priority="605" stopIfTrue="1">
      <formula>$T279=1</formula>
    </cfRule>
    <cfRule type="expression" dxfId="790" priority="606" stopIfTrue="1">
      <formula>$T278=1</formula>
    </cfRule>
  </conditionalFormatting>
  <conditionalFormatting sqref="E279:F280">
    <cfRule type="expression" dxfId="789" priority="623" stopIfTrue="1">
      <formula>$L280=1</formula>
    </cfRule>
    <cfRule type="expression" dxfId="788" priority="624" stopIfTrue="1">
      <formula>$L279=1</formula>
    </cfRule>
  </conditionalFormatting>
  <conditionalFormatting sqref="E281:F282">
    <cfRule type="expression" dxfId="787" priority="596" stopIfTrue="1">
      <formula>$T281=1</formula>
    </cfRule>
    <cfRule type="expression" dxfId="786" priority="595" stopIfTrue="1">
      <formula>$T282=1</formula>
    </cfRule>
  </conditionalFormatting>
  <conditionalFormatting sqref="E285:F286">
    <cfRule type="expression" dxfId="785" priority="618" stopIfTrue="1">
      <formula>$T286=1</formula>
    </cfRule>
    <cfRule type="expression" dxfId="784" priority="619" stopIfTrue="1">
      <formula>$T285=1</formula>
    </cfRule>
  </conditionalFormatting>
  <conditionalFormatting sqref="E287:F287">
    <cfRule type="expression" dxfId="783" priority="625" stopIfTrue="1">
      <formula>$L286=1</formula>
    </cfRule>
    <cfRule type="expression" dxfId="782" priority="626" stopIfTrue="1">
      <formula>$L285=1</formula>
    </cfRule>
  </conditionalFormatting>
  <conditionalFormatting sqref="E288:F289">
    <cfRule type="expression" dxfId="781" priority="614" stopIfTrue="1">
      <formula>$T288=1</formula>
    </cfRule>
    <cfRule type="expression" dxfId="780" priority="613" stopIfTrue="1">
      <formula>$T289=1</formula>
    </cfRule>
  </conditionalFormatting>
  <conditionalFormatting sqref="E304:F304">
    <cfRule type="expression" dxfId="779" priority="565" stopIfTrue="1">
      <formula>$T$34=1</formula>
    </cfRule>
  </conditionalFormatting>
  <conditionalFormatting sqref="E305:F305">
    <cfRule type="expression" dxfId="778" priority="575" stopIfTrue="1">
      <formula>$L305=1</formula>
    </cfRule>
    <cfRule type="expression" dxfId="777" priority="576" stopIfTrue="1">
      <formula>$L304=1</formula>
    </cfRule>
  </conditionalFormatting>
  <conditionalFormatting sqref="E306:F307">
    <cfRule type="expression" dxfId="776" priority="544" stopIfTrue="1">
      <formula>$T306=1</formula>
    </cfRule>
    <cfRule type="expression" dxfId="775" priority="545" stopIfTrue="1">
      <formula>$T305=1</formula>
    </cfRule>
  </conditionalFormatting>
  <conditionalFormatting sqref="E308:F308">
    <cfRule type="expression" dxfId="774" priority="568" stopIfTrue="1">
      <formula>$T$34=1</formula>
    </cfRule>
  </conditionalFormatting>
  <conditionalFormatting sqref="E309:F309 F331">
    <cfRule type="expression" dxfId="773" priority="583" stopIfTrue="1">
      <formula>#REF!=1</formula>
    </cfRule>
  </conditionalFormatting>
  <conditionalFormatting sqref="E309:F311">
    <cfRule type="expression" dxfId="772" priority="573" stopIfTrue="1">
      <formula>$L309=1</formula>
    </cfRule>
  </conditionalFormatting>
  <conditionalFormatting sqref="E310:F311">
    <cfRule type="expression" dxfId="771" priority="574" stopIfTrue="1">
      <formula>$L309=1</formula>
    </cfRule>
  </conditionalFormatting>
  <conditionalFormatting sqref="E312:F312">
    <cfRule type="expression" dxfId="770" priority="546" stopIfTrue="1">
      <formula>$T312=1</formula>
    </cfRule>
    <cfRule type="expression" dxfId="769" priority="547" stopIfTrue="1">
      <formula>$T311=1</formula>
    </cfRule>
  </conditionalFormatting>
  <conditionalFormatting sqref="E313:F313">
    <cfRule type="expression" dxfId="768" priority="587" stopIfTrue="1">
      <formula>$L312=1</formula>
    </cfRule>
    <cfRule type="expression" dxfId="767" priority="586" stopIfTrue="1">
      <formula>#REF!=1</formula>
    </cfRule>
  </conditionalFormatting>
  <conditionalFormatting sqref="E314:F314">
    <cfRule type="expression" dxfId="766" priority="585" stopIfTrue="1">
      <formula>#REF!=1</formula>
    </cfRule>
    <cfRule type="expression" dxfId="765" priority="584" stopIfTrue="1">
      <formula>$I313=1</formula>
    </cfRule>
  </conditionalFormatting>
  <conditionalFormatting sqref="E315:F315">
    <cfRule type="expression" dxfId="764" priority="560" stopIfTrue="1">
      <formula>$T314=1</formula>
    </cfRule>
    <cfRule type="expression" dxfId="763" priority="559" stopIfTrue="1">
      <formula>$T315=1</formula>
    </cfRule>
  </conditionalFormatting>
  <conditionalFormatting sqref="E316:F316">
    <cfRule type="expression" dxfId="762" priority="548" stopIfTrue="1">
      <formula>$T$34=1</formula>
    </cfRule>
  </conditionalFormatting>
  <conditionalFormatting sqref="E317:F321">
    <cfRule type="expression" dxfId="761" priority="531" stopIfTrue="1">
      <formula>$T316=1</formula>
    </cfRule>
    <cfRule type="expression" dxfId="760" priority="530" stopIfTrue="1">
      <formula>$T317=1</formula>
    </cfRule>
  </conditionalFormatting>
  <conditionalFormatting sqref="E323:F323">
    <cfRule type="expression" dxfId="759" priority="592" stopIfTrue="1">
      <formula>$L323=1</formula>
    </cfRule>
    <cfRule type="expression" dxfId="758" priority="577" stopIfTrue="1">
      <formula>$L324=1</formula>
    </cfRule>
  </conditionalFormatting>
  <conditionalFormatting sqref="E324:F324">
    <cfRule type="expression" dxfId="757" priority="562" stopIfTrue="1">
      <formula>$T324=1</formula>
    </cfRule>
    <cfRule type="expression" dxfId="756" priority="561" stopIfTrue="1">
      <formula>$T325=1</formula>
    </cfRule>
  </conditionalFormatting>
  <conditionalFormatting sqref="E325:F325">
    <cfRule type="expression" dxfId="755" priority="578" stopIfTrue="1">
      <formula>$T$34=1</formula>
    </cfRule>
  </conditionalFormatting>
  <conditionalFormatting sqref="E326:F326">
    <cfRule type="expression" dxfId="754" priority="539" stopIfTrue="1">
      <formula>$T325=1</formula>
    </cfRule>
    <cfRule type="expression" dxfId="753" priority="538" stopIfTrue="1">
      <formula>$T326=1</formula>
    </cfRule>
  </conditionalFormatting>
  <conditionalFormatting sqref="E327:F328">
    <cfRule type="expression" dxfId="752" priority="569" stopIfTrue="1">
      <formula>$L328=1</formula>
    </cfRule>
    <cfRule type="expression" dxfId="751" priority="570" stopIfTrue="1">
      <formula>$L327=1</formula>
    </cfRule>
  </conditionalFormatting>
  <conditionalFormatting sqref="E329:F330">
    <cfRule type="expression" dxfId="750" priority="554" stopIfTrue="1">
      <formula>$T329=1</formula>
    </cfRule>
    <cfRule type="expression" dxfId="749" priority="553" stopIfTrue="1">
      <formula>$T330=1</formula>
    </cfRule>
  </conditionalFormatting>
  <conditionalFormatting sqref="E332:F332">
    <cfRule type="expression" dxfId="748" priority="528" stopIfTrue="1">
      <formula>$T332=1</formula>
    </cfRule>
    <cfRule type="expression" dxfId="747" priority="529" stopIfTrue="1">
      <formula>$T331=1</formula>
    </cfRule>
  </conditionalFormatting>
  <conditionalFormatting sqref="E333:F334">
    <cfRule type="expression" dxfId="746" priority="567" stopIfTrue="1">
      <formula>$T333=1</formula>
    </cfRule>
    <cfRule type="expression" dxfId="745" priority="566" stopIfTrue="1">
      <formula>$T334=1</formula>
    </cfRule>
  </conditionalFormatting>
  <conditionalFormatting sqref="E335:F335">
    <cfRule type="expression" dxfId="744" priority="571" stopIfTrue="1">
      <formula>$L334=1</formula>
    </cfRule>
    <cfRule type="expression" dxfId="743" priority="572" stopIfTrue="1">
      <formula>$L333=1</formula>
    </cfRule>
  </conditionalFormatting>
  <conditionalFormatting sqref="E336:F336">
    <cfRule type="expression" dxfId="742" priority="563" stopIfTrue="1">
      <formula>$T337=1</formula>
    </cfRule>
    <cfRule type="expression" dxfId="741" priority="564" stopIfTrue="1">
      <formula>$T336=1</formula>
    </cfRule>
  </conditionalFormatting>
  <conditionalFormatting sqref="E337:F337">
    <cfRule type="expression" dxfId="740" priority="543" stopIfTrue="1">
      <formula>$T336=1</formula>
    </cfRule>
    <cfRule type="expression" dxfId="739" priority="542" stopIfTrue="1">
      <formula>$T337=1</formula>
    </cfRule>
  </conditionalFormatting>
  <conditionalFormatting sqref="E340:F340">
    <cfRule type="expression" dxfId="738" priority="532" stopIfTrue="1">
      <formula>$T340=1</formula>
    </cfRule>
    <cfRule type="expression" dxfId="737" priority="533" stopIfTrue="1">
      <formula>$T339=1</formula>
    </cfRule>
  </conditionalFormatting>
  <conditionalFormatting sqref="E342:F342">
    <cfRule type="expression" dxfId="736" priority="556" stopIfTrue="1">
      <formula>$T342=1</formula>
    </cfRule>
    <cfRule type="expression" dxfId="735" priority="555" stopIfTrue="1">
      <formula>$T343=1</formula>
    </cfRule>
  </conditionalFormatting>
  <conditionalFormatting sqref="E344:F344">
    <cfRule type="expression" dxfId="734" priority="536" stopIfTrue="1">
      <formula>$T344=1</formula>
    </cfRule>
    <cfRule type="expression" dxfId="733" priority="537" stopIfTrue="1">
      <formula>$T343=1</formula>
    </cfRule>
  </conditionalFormatting>
  <conditionalFormatting sqref="E355:F355">
    <cfRule type="expression" dxfId="732" priority="482" stopIfTrue="1">
      <formula>$T$34=1</formula>
    </cfRule>
  </conditionalFormatting>
  <conditionalFormatting sqref="E356:F356">
    <cfRule type="expression" dxfId="731" priority="514" stopIfTrue="1">
      <formula>$L356=1</formula>
    </cfRule>
    <cfRule type="expression" dxfId="730" priority="515" stopIfTrue="1">
      <formula>$L355=1</formula>
    </cfRule>
  </conditionalFormatting>
  <conditionalFormatting sqref="E357:F358">
    <cfRule type="expression" dxfId="729" priority="478" stopIfTrue="1">
      <formula>$T357=1</formula>
    </cfRule>
    <cfRule type="expression" dxfId="728" priority="479" stopIfTrue="1">
      <formula>$T356=1</formula>
    </cfRule>
  </conditionalFormatting>
  <conditionalFormatting sqref="E359:F359">
    <cfRule type="expression" dxfId="727" priority="470" stopIfTrue="1">
      <formula>$T362=1</formula>
    </cfRule>
    <cfRule type="expression" dxfId="726" priority="471" stopIfTrue="1">
      <formula>$T361=1</formula>
    </cfRule>
  </conditionalFormatting>
  <conditionalFormatting sqref="E360:F360">
    <cfRule type="expression" dxfId="725" priority="1018" stopIfTrue="1">
      <formula>#REF!=1</formula>
    </cfRule>
  </conditionalFormatting>
  <conditionalFormatting sqref="E361:F361">
    <cfRule type="expression" dxfId="724" priority="475" stopIfTrue="1">
      <formula>$T363=1</formula>
    </cfRule>
    <cfRule type="expression" dxfId="723" priority="474" stopIfTrue="1">
      <formula>$T364=1</formula>
    </cfRule>
  </conditionalFormatting>
  <conditionalFormatting sqref="E362:F362">
    <cfRule type="expression" dxfId="722" priority="476" stopIfTrue="1">
      <formula>$T363=1</formula>
    </cfRule>
    <cfRule type="expression" dxfId="721" priority="477" stopIfTrue="1">
      <formula>$T362=1</formula>
    </cfRule>
  </conditionalFormatting>
  <conditionalFormatting sqref="E363:F363">
    <cfRule type="expression" dxfId="720" priority="493" stopIfTrue="1">
      <formula>$T363=1</formula>
    </cfRule>
    <cfRule type="expression" dxfId="719" priority="494" stopIfTrue="1">
      <formula>$T362=1</formula>
    </cfRule>
  </conditionalFormatting>
  <conditionalFormatting sqref="E364:F364">
    <cfRule type="expression" dxfId="718" priority="522" stopIfTrue="1">
      <formula>$L360=1</formula>
    </cfRule>
    <cfRule type="expression" dxfId="717" priority="521" stopIfTrue="1">
      <formula>#REF!=1</formula>
    </cfRule>
  </conditionalFormatting>
  <conditionalFormatting sqref="E365:F365">
    <cfRule type="expression" dxfId="716" priority="520" stopIfTrue="1">
      <formula>#REF!=1</formula>
    </cfRule>
    <cfRule type="expression" dxfId="715" priority="519" stopIfTrue="1">
      <formula>$I361=1</formula>
    </cfRule>
  </conditionalFormatting>
  <conditionalFormatting sqref="E366:F366">
    <cfRule type="expression" dxfId="714" priority="502" stopIfTrue="1">
      <formula>$Q366=1</formula>
    </cfRule>
    <cfRule type="expression" dxfId="713" priority="503" stopIfTrue="1">
      <formula>$Q365=1</formula>
    </cfRule>
  </conditionalFormatting>
  <conditionalFormatting sqref="E367:F367">
    <cfRule type="expression" dxfId="712" priority="495" stopIfTrue="1">
      <formula>$T$34=1</formula>
    </cfRule>
  </conditionalFormatting>
  <conditionalFormatting sqref="E369:F369">
    <cfRule type="expression" dxfId="711" priority="465" stopIfTrue="1">
      <formula>$T376=1</formula>
    </cfRule>
    <cfRule type="expression" dxfId="710" priority="464" stopIfTrue="1">
      <formula>$T377=1</formula>
    </cfRule>
  </conditionalFormatting>
  <conditionalFormatting sqref="E373:F373">
    <cfRule type="expression" dxfId="709" priority="467" stopIfTrue="1">
      <formula>$Q375=1</formula>
    </cfRule>
    <cfRule type="expression" dxfId="708" priority="466" stopIfTrue="1">
      <formula>$Q376=1</formula>
    </cfRule>
  </conditionalFormatting>
  <conditionalFormatting sqref="E374:F374">
    <cfRule type="expression" dxfId="707" priority="473" stopIfTrue="1">
      <formula>$T376=1</formula>
    </cfRule>
    <cfRule type="expression" dxfId="706" priority="472" stopIfTrue="1">
      <formula>$T377=1</formula>
    </cfRule>
  </conditionalFormatting>
  <conditionalFormatting sqref="E375:F375">
    <cfRule type="expression" dxfId="705" priority="504" stopIfTrue="1">
      <formula>$T376=1</formula>
    </cfRule>
    <cfRule type="expression" dxfId="704" priority="505" stopIfTrue="1">
      <formula>$T375=1</formula>
    </cfRule>
  </conditionalFormatting>
  <conditionalFormatting sqref="E376:F376">
    <cfRule type="expression" dxfId="703" priority="517" stopIfTrue="1">
      <formula>$T$34=1</formula>
    </cfRule>
  </conditionalFormatting>
  <conditionalFormatting sqref="E377:F377">
    <cfRule type="expression" dxfId="702" priority="491" stopIfTrue="1">
      <formula>$T377=1</formula>
    </cfRule>
    <cfRule type="expression" dxfId="701" priority="492" stopIfTrue="1">
      <formula>$T376=1</formula>
    </cfRule>
  </conditionalFormatting>
  <conditionalFormatting sqref="E378:F378">
    <cfRule type="expression" dxfId="700" priority="1023" stopIfTrue="1">
      <formula>#REF!=1</formula>
    </cfRule>
  </conditionalFormatting>
  <conditionalFormatting sqref="E378:F379">
    <cfRule type="expression" dxfId="699" priority="510" stopIfTrue="1">
      <formula>$L371=1</formula>
    </cfRule>
  </conditionalFormatting>
  <conditionalFormatting sqref="E379:F379">
    <cfRule type="expression" dxfId="698" priority="511" stopIfTrue="1">
      <formula>$L371=1</formula>
    </cfRule>
  </conditionalFormatting>
  <conditionalFormatting sqref="E380:F381">
    <cfRule type="expression" dxfId="697" priority="496" stopIfTrue="1">
      <formula>$T381=1</formula>
    </cfRule>
    <cfRule type="expression" dxfId="696" priority="497" stopIfTrue="1">
      <formula>$T380=1</formula>
    </cfRule>
  </conditionalFormatting>
  <conditionalFormatting sqref="E383:F383">
    <cfRule type="expression" dxfId="695" priority="509" stopIfTrue="1">
      <formula>$T383=1</formula>
    </cfRule>
    <cfRule type="expression" dxfId="694" priority="508" stopIfTrue="1">
      <formula>$T384=1</formula>
    </cfRule>
  </conditionalFormatting>
  <conditionalFormatting sqref="E384:F384">
    <cfRule type="expression" dxfId="693" priority="468" stopIfTrue="1">
      <formula>$Q387=1</formula>
    </cfRule>
    <cfRule type="expression" dxfId="692" priority="469" stopIfTrue="1">
      <formula>$T386=1</formula>
    </cfRule>
  </conditionalFormatting>
  <conditionalFormatting sqref="E385:F385">
    <cfRule type="expression" dxfId="691" priority="513" stopIfTrue="1">
      <formula>$L376=1</formula>
    </cfRule>
    <cfRule type="expression" dxfId="690" priority="512" stopIfTrue="1">
      <formula>$L377=1</formula>
    </cfRule>
  </conditionalFormatting>
  <conditionalFormatting sqref="E386:F386">
    <cfRule type="expression" dxfId="689" priority="507" stopIfTrue="1">
      <formula>$T386=1</formula>
    </cfRule>
    <cfRule type="expression" dxfId="688" priority="506" stopIfTrue="1">
      <formula>$T387=1</formula>
    </cfRule>
  </conditionalFormatting>
  <conditionalFormatting sqref="E387:F388">
    <cfRule type="expression" dxfId="687" priority="480" stopIfTrue="1">
      <formula>$T387=1</formula>
    </cfRule>
    <cfRule type="expression" dxfId="686" priority="481" stopIfTrue="1">
      <formula>$T386=1</formula>
    </cfRule>
  </conditionalFormatting>
  <conditionalFormatting sqref="E390:F390">
    <cfRule type="expression" dxfId="685" priority="498" stopIfTrue="1">
      <formula>$T392=1</formula>
    </cfRule>
    <cfRule type="expression" dxfId="684" priority="499" stopIfTrue="1">
      <formula>$T391=1</formula>
    </cfRule>
  </conditionalFormatting>
  <conditionalFormatting sqref="E393:F394">
    <cfRule type="expression" dxfId="683" priority="527" stopIfTrue="1">
      <formula>#REF!=1</formula>
    </cfRule>
  </conditionalFormatting>
  <conditionalFormatting sqref="E414:F414">
    <cfRule type="expression" dxfId="682" priority="413" stopIfTrue="1">
      <formula>$T$34=1</formula>
    </cfRule>
  </conditionalFormatting>
  <conditionalFormatting sqref="E415:F415">
    <cfRule type="expression" dxfId="681" priority="411" stopIfTrue="1">
      <formula>$T415=1</formula>
    </cfRule>
    <cfRule type="expression" dxfId="680" priority="412" stopIfTrue="1">
      <formula>$T414=1</formula>
    </cfRule>
  </conditionalFormatting>
  <conditionalFormatting sqref="E416:F416">
    <cfRule type="expression" dxfId="679" priority="378" stopIfTrue="1">
      <formula>$T417=1</formula>
    </cfRule>
    <cfRule type="expression" dxfId="678" priority="377" stopIfTrue="1">
      <formula>$T418=1</formula>
    </cfRule>
  </conditionalFormatting>
  <conditionalFormatting sqref="E417:F417">
    <cfRule type="expression" dxfId="677" priority="1028" stopIfTrue="1">
      <formula>$R420=1</formula>
    </cfRule>
    <cfRule type="expression" dxfId="676" priority="1029" stopIfTrue="1">
      <formula>$T419=1</formula>
    </cfRule>
  </conditionalFormatting>
  <conditionalFormatting sqref="E418:F418 F439">
    <cfRule type="expression" dxfId="675" priority="440" stopIfTrue="1">
      <formula>#REF!=1</formula>
    </cfRule>
  </conditionalFormatting>
  <conditionalFormatting sqref="E418:F418">
    <cfRule type="expression" dxfId="674" priority="452" stopIfTrue="1">
      <formula>#REF!=1</formula>
    </cfRule>
  </conditionalFormatting>
  <conditionalFormatting sqref="E419:F419">
    <cfRule type="expression" dxfId="673" priority="402" stopIfTrue="1">
      <formula>$T418=1</formula>
    </cfRule>
    <cfRule type="expression" dxfId="672" priority="401" stopIfTrue="1">
      <formula>$T419=1</formula>
    </cfRule>
  </conditionalFormatting>
  <conditionalFormatting sqref="E421:F421 I441:J441 I499:J499">
    <cfRule type="expression" dxfId="671" priority="430" stopIfTrue="1">
      <formula>$R420=1</formula>
    </cfRule>
    <cfRule type="expression" dxfId="670" priority="429" stopIfTrue="1">
      <formula>$R421=1</formula>
    </cfRule>
  </conditionalFormatting>
  <conditionalFormatting sqref="E423:F423">
    <cfRule type="expression" dxfId="669" priority="399" stopIfTrue="1">
      <formula>$T423=1</formula>
    </cfRule>
    <cfRule type="expression" dxfId="668" priority="400" stopIfTrue="1">
      <formula>$T422=1</formula>
    </cfRule>
  </conditionalFormatting>
  <conditionalFormatting sqref="E425:F425">
    <cfRule type="expression" dxfId="667" priority="431" stopIfTrue="1">
      <formula>$T$34=1</formula>
    </cfRule>
  </conditionalFormatting>
  <conditionalFormatting sqref="E426:F426">
    <cfRule type="expression" dxfId="666" priority="379" stopIfTrue="1">
      <formula>$T428=1</formula>
    </cfRule>
    <cfRule type="expression" dxfId="665" priority="380" stopIfTrue="1">
      <formula>$T427=1</formula>
    </cfRule>
  </conditionalFormatting>
  <conditionalFormatting sqref="E427:F428">
    <cfRule type="expression" dxfId="664" priority="450" stopIfTrue="1">
      <formula>$O427=1</formula>
    </cfRule>
  </conditionalFormatting>
  <conditionalFormatting sqref="E431:F431 E495:F495">
    <cfRule type="expression" dxfId="663" priority="416" stopIfTrue="1">
      <formula>$R435=1</formula>
    </cfRule>
    <cfRule type="expression" dxfId="662" priority="417" stopIfTrue="1">
      <formula>$R434=1</formula>
    </cfRule>
  </conditionalFormatting>
  <conditionalFormatting sqref="E432:F432">
    <cfRule type="expression" dxfId="661" priority="438" stopIfTrue="1">
      <formula>$R434=1</formula>
    </cfRule>
    <cfRule type="expression" dxfId="660" priority="439" stopIfTrue="1">
      <formula>$R433=1</formula>
    </cfRule>
  </conditionalFormatting>
  <conditionalFormatting sqref="E433:F433">
    <cfRule type="expression" dxfId="659" priority="403" stopIfTrue="1">
      <formula>$T433=1</formula>
    </cfRule>
    <cfRule type="expression" dxfId="658" priority="404" stopIfTrue="1">
      <formula>$T432=1</formula>
    </cfRule>
  </conditionalFormatting>
  <conditionalFormatting sqref="E434:F434">
    <cfRule type="expression" dxfId="657" priority="428" stopIfTrue="1">
      <formula>$R434=1</formula>
    </cfRule>
    <cfRule type="expression" dxfId="656" priority="427" stopIfTrue="1">
      <formula>$R435=1</formula>
    </cfRule>
  </conditionalFormatting>
  <conditionalFormatting sqref="E435:F435">
    <cfRule type="expression" dxfId="655" priority="1032" stopIfTrue="1">
      <formula>$I425=1</formula>
    </cfRule>
    <cfRule type="expression" dxfId="654" priority="453" stopIfTrue="1">
      <formula>#REF!=1</formula>
    </cfRule>
  </conditionalFormatting>
  <conditionalFormatting sqref="E436:F436">
    <cfRule type="expression" dxfId="653" priority="410" stopIfTrue="1">
      <formula>$T436=1</formula>
    </cfRule>
    <cfRule type="expression" dxfId="652" priority="409" stopIfTrue="1">
      <formula>$T437=1</formula>
    </cfRule>
  </conditionalFormatting>
  <conditionalFormatting sqref="E437:F438">
    <cfRule type="expression" dxfId="651" priority="433" stopIfTrue="1">
      <formula>$R438=1</formula>
    </cfRule>
    <cfRule type="expression" dxfId="650" priority="432" stopIfTrue="1">
      <formula>$R439=1</formula>
    </cfRule>
  </conditionalFormatting>
  <conditionalFormatting sqref="E440:F440">
    <cfRule type="expression" dxfId="649" priority="1031" stopIfTrue="1">
      <formula>$R441=1</formula>
    </cfRule>
    <cfRule type="expression" dxfId="648" priority="1030" stopIfTrue="1">
      <formula>$T442=1</formula>
    </cfRule>
  </conditionalFormatting>
  <conditionalFormatting sqref="E442:F442">
    <cfRule type="expression" dxfId="647" priority="1056" stopIfTrue="1">
      <formula>$T445=1</formula>
    </cfRule>
    <cfRule type="expression" dxfId="646" priority="1055" stopIfTrue="1">
      <formula>#REF!=1</formula>
    </cfRule>
  </conditionalFormatting>
  <conditionalFormatting sqref="E443:F443">
    <cfRule type="expression" dxfId="645" priority="418" stopIfTrue="1">
      <formula>$T446=1</formula>
    </cfRule>
    <cfRule type="expression" dxfId="644" priority="419" stopIfTrue="1">
      <formula>$T445=1</formula>
    </cfRule>
  </conditionalFormatting>
  <conditionalFormatting sqref="E445:F445">
    <cfRule type="expression" dxfId="643" priority="434" stopIfTrue="1">
      <formula>$T450=1</formula>
    </cfRule>
    <cfRule type="expression" dxfId="642" priority="435" stopIfTrue="1">
      <formula>$T449=1</formula>
    </cfRule>
  </conditionalFormatting>
  <conditionalFormatting sqref="E447:F447">
    <cfRule type="expression" dxfId="641" priority="445" stopIfTrue="1">
      <formula>#REF!=1</formula>
    </cfRule>
  </conditionalFormatting>
  <conditionalFormatting sqref="E465:F465">
    <cfRule type="expression" dxfId="640" priority="239" stopIfTrue="1">
      <formula>$T464=1</formula>
    </cfRule>
    <cfRule type="expression" dxfId="639" priority="238" stopIfTrue="1">
      <formula>$T465=1</formula>
    </cfRule>
  </conditionalFormatting>
  <conditionalFormatting sqref="E466:F466">
    <cfRule type="expression" dxfId="638" priority="286" stopIfTrue="1">
      <formula>$T$34=1</formula>
    </cfRule>
  </conditionalFormatting>
  <conditionalFormatting sqref="E467:F468">
    <cfRule type="expression" dxfId="637" priority="236" stopIfTrue="1">
      <formula>$T467=1</formula>
    </cfRule>
    <cfRule type="expression" dxfId="636" priority="237" stopIfTrue="1">
      <formula>$T466=1</formula>
    </cfRule>
  </conditionalFormatting>
  <conditionalFormatting sqref="E469:F469">
    <cfRule type="expression" dxfId="635" priority="330" stopIfTrue="1">
      <formula>$R472=1</formula>
    </cfRule>
    <cfRule type="expression" dxfId="634" priority="331" stopIfTrue="1">
      <formula>$T471=1</formula>
    </cfRule>
  </conditionalFormatting>
  <conditionalFormatting sqref="E470:F470 F497">
    <cfRule type="expression" dxfId="633" priority="308" stopIfTrue="1">
      <formula>#REF!=1</formula>
    </cfRule>
  </conditionalFormatting>
  <conditionalFormatting sqref="E470:F470">
    <cfRule type="expression" dxfId="632" priority="320" stopIfTrue="1">
      <formula>#REF!=1</formula>
    </cfRule>
  </conditionalFormatting>
  <conditionalFormatting sqref="E471:F471">
    <cfRule type="expression" dxfId="631" priority="278" stopIfTrue="1">
      <formula>$T471=1</formula>
    </cfRule>
    <cfRule type="expression" dxfId="630" priority="279" stopIfTrue="1">
      <formula>$T470=1</formula>
    </cfRule>
  </conditionalFormatting>
  <conditionalFormatting sqref="E473:F473">
    <cfRule type="expression" dxfId="629" priority="300" stopIfTrue="1">
      <formula>$R473=1</formula>
    </cfRule>
    <cfRule type="expression" dxfId="628" priority="301" stopIfTrue="1">
      <formula>$R472=1</formula>
    </cfRule>
  </conditionalFormatting>
  <conditionalFormatting sqref="E475:F475">
    <cfRule type="expression" dxfId="627" priority="277" stopIfTrue="1">
      <formula>$T474=1</formula>
    </cfRule>
    <cfRule type="expression" dxfId="626" priority="276" stopIfTrue="1">
      <formula>$T475=1</formula>
    </cfRule>
  </conditionalFormatting>
  <conditionalFormatting sqref="E477:F477">
    <cfRule type="expression" dxfId="625" priority="232" stopIfTrue="1">
      <formula>$T477=1</formula>
    </cfRule>
    <cfRule type="expression" dxfId="624" priority="233" stopIfTrue="1">
      <formula>$T476=1</formula>
    </cfRule>
  </conditionalFormatting>
  <conditionalFormatting sqref="E478:F478">
    <cfRule type="expression" dxfId="623" priority="265" stopIfTrue="1">
      <formula>$T479=1</formula>
    </cfRule>
    <cfRule type="expression" dxfId="622" priority="264" stopIfTrue="1">
      <formula>$T480=1</formula>
    </cfRule>
  </conditionalFormatting>
  <conditionalFormatting sqref="E479:F480">
    <cfRule type="expression" dxfId="621" priority="318" stopIfTrue="1">
      <formula>$O479=1</formula>
    </cfRule>
  </conditionalFormatting>
  <conditionalFormatting sqref="E480:F481">
    <cfRule type="expression" dxfId="620" priority="337" stopIfTrue="1">
      <formula>$R481=1</formula>
    </cfRule>
  </conditionalFormatting>
  <conditionalFormatting sqref="E481:F481">
    <cfRule type="expression" dxfId="619" priority="314" stopIfTrue="1">
      <formula>$R481=1</formula>
    </cfRule>
  </conditionalFormatting>
  <conditionalFormatting sqref="E483:F483">
    <cfRule type="expression" dxfId="618" priority="289" stopIfTrue="1">
      <formula>$R487=1</formula>
    </cfRule>
    <cfRule type="expression" dxfId="617" priority="290" stopIfTrue="1">
      <formula>$R486=1</formula>
    </cfRule>
  </conditionalFormatting>
  <conditionalFormatting sqref="E484:F484">
    <cfRule type="expression" dxfId="616" priority="306" stopIfTrue="1">
      <formula>$R486=1</formula>
    </cfRule>
    <cfRule type="expression" dxfId="615" priority="307" stopIfTrue="1">
      <formula>$R485=1</formula>
    </cfRule>
  </conditionalFormatting>
  <conditionalFormatting sqref="E485:F486">
    <cfRule type="expression" dxfId="614" priority="240" stopIfTrue="1">
      <formula>$T485=1</formula>
    </cfRule>
    <cfRule type="expression" dxfId="613" priority="241" stopIfTrue="1">
      <formula>$T484=1</formula>
    </cfRule>
  </conditionalFormatting>
  <conditionalFormatting sqref="E487:F487">
    <cfRule type="expression" dxfId="612" priority="334" stopIfTrue="1">
      <formula>$I477=1</formula>
    </cfRule>
    <cfRule type="expression" dxfId="611" priority="321" stopIfTrue="1">
      <formula>#REF!=1</formula>
    </cfRule>
  </conditionalFormatting>
  <conditionalFormatting sqref="E488:F488">
    <cfRule type="expression" dxfId="610" priority="284" stopIfTrue="1">
      <formula>$T489=1</formula>
    </cfRule>
    <cfRule type="expression" dxfId="609" priority="285" stopIfTrue="1">
      <formula>$T488=1</formula>
    </cfRule>
  </conditionalFormatting>
  <conditionalFormatting sqref="E489:F489">
    <cfRule type="expression" dxfId="608" priority="1063" stopIfTrue="1">
      <formula>$R490=1</formula>
    </cfRule>
  </conditionalFormatting>
  <conditionalFormatting sqref="E489:F491">
    <cfRule type="expression" dxfId="607" priority="1062" stopIfTrue="1">
      <formula>$R497=1</formula>
    </cfRule>
  </conditionalFormatting>
  <conditionalFormatting sqref="E490:F491">
    <cfRule type="expression" dxfId="606" priority="1076" stopIfTrue="1">
      <formula>$R497=1</formula>
    </cfRule>
  </conditionalFormatting>
  <conditionalFormatting sqref="E492:F492 E618">
    <cfRule type="expression" dxfId="605" priority="1073" stopIfTrue="1">
      <formula>$R499=1</formula>
    </cfRule>
    <cfRule type="expression" dxfId="604" priority="1074" stopIfTrue="1">
      <formula>$R498=1</formula>
    </cfRule>
  </conditionalFormatting>
  <conditionalFormatting sqref="E493:F493">
    <cfRule type="expression" dxfId="603" priority="1071" stopIfTrue="1">
      <formula>$R498=1</formula>
    </cfRule>
    <cfRule type="expression" dxfId="602" priority="1070" stopIfTrue="1">
      <formula>$R499=1</formula>
    </cfRule>
  </conditionalFormatting>
  <conditionalFormatting sqref="E494:F494">
    <cfRule type="expression" dxfId="601" priority="1068" stopIfTrue="1">
      <formula>$R498=1</formula>
    </cfRule>
    <cfRule type="expression" dxfId="600" priority="1067" stopIfTrue="1">
      <formula>$R499=1</formula>
    </cfRule>
  </conditionalFormatting>
  <conditionalFormatting sqref="E496:F496 E610:E612">
    <cfRule type="expression" dxfId="599" priority="1064" stopIfTrue="1">
      <formula>$R499=1</formula>
    </cfRule>
  </conditionalFormatting>
  <conditionalFormatting sqref="E496:F496 E612">
    <cfRule type="expression" dxfId="598" priority="1065" stopIfTrue="1">
      <formula>$R498=1</formula>
    </cfRule>
  </conditionalFormatting>
  <conditionalFormatting sqref="E498:F498">
    <cfRule type="expression" dxfId="597" priority="333" stopIfTrue="1">
      <formula>$R499=1</formula>
    </cfRule>
    <cfRule type="expression" dxfId="596" priority="332" stopIfTrue="1">
      <formula>$T500=1</formula>
    </cfRule>
  </conditionalFormatting>
  <conditionalFormatting sqref="E500:F500">
    <cfRule type="expression" dxfId="595" priority="353" stopIfTrue="1">
      <formula>$T503=1</formula>
    </cfRule>
    <cfRule type="expression" dxfId="594" priority="352" stopIfTrue="1">
      <formula>#REF!=1</formula>
    </cfRule>
  </conditionalFormatting>
  <conditionalFormatting sqref="E501:F501">
    <cfRule type="expression" dxfId="593" priority="291" stopIfTrue="1">
      <formula>$T504=1</formula>
    </cfRule>
    <cfRule type="expression" dxfId="592" priority="292" stopIfTrue="1">
      <formula>$T503=1</formula>
    </cfRule>
  </conditionalFormatting>
  <conditionalFormatting sqref="E503:F503">
    <cfRule type="expression" dxfId="591" priority="303" stopIfTrue="1">
      <formula>$T507=1</formula>
    </cfRule>
    <cfRule type="expression" dxfId="590" priority="302" stopIfTrue="1">
      <formula>$T508=1</formula>
    </cfRule>
  </conditionalFormatting>
  <conditionalFormatting sqref="E505:F505">
    <cfRule type="expression" dxfId="589" priority="313" stopIfTrue="1">
      <formula>#REF!=1</formula>
    </cfRule>
  </conditionalFormatting>
  <conditionalFormatting sqref="E506:F506">
    <cfRule type="expression" dxfId="588" priority="234" stopIfTrue="1">
      <formula>$T506=1</formula>
    </cfRule>
    <cfRule type="expression" dxfId="587" priority="235" stopIfTrue="1">
      <formula>$T505=1</formula>
    </cfRule>
  </conditionalFormatting>
  <conditionalFormatting sqref="E508:F508 E511:F511 E514:F514 E517:F517">
    <cfRule type="expression" dxfId="586" priority="328" stopIfTrue="1">
      <formula>#REF!=1</formula>
    </cfRule>
  </conditionalFormatting>
  <conditionalFormatting sqref="E530:F530">
    <cfRule type="expression" dxfId="585" priority="158" stopIfTrue="1">
      <formula>$T530=1</formula>
    </cfRule>
    <cfRule type="expression" dxfId="584" priority="159" stopIfTrue="1">
      <formula>$T529=1</formula>
    </cfRule>
  </conditionalFormatting>
  <conditionalFormatting sqref="E531:F531">
    <cfRule type="expression" dxfId="583" priority="180" stopIfTrue="1">
      <formula>$T$34=1</formula>
    </cfRule>
  </conditionalFormatting>
  <conditionalFormatting sqref="E532:F533">
    <cfRule type="expression" dxfId="582" priority="154" stopIfTrue="1">
      <formula>$T532=1</formula>
    </cfRule>
    <cfRule type="expression" dxfId="581" priority="155" stopIfTrue="1">
      <formula>$T531=1</formula>
    </cfRule>
  </conditionalFormatting>
  <conditionalFormatting sqref="E534:F534">
    <cfRule type="expression" dxfId="580" priority="197" stopIfTrue="1">
      <formula>$R537=1</formula>
    </cfRule>
    <cfRule type="expression" dxfId="579" priority="198" stopIfTrue="1">
      <formula>$T536=1</formula>
    </cfRule>
  </conditionalFormatting>
  <conditionalFormatting sqref="E535:F537">
    <cfRule type="expression" dxfId="578" priority="157" stopIfTrue="1">
      <formula>$T534=1</formula>
    </cfRule>
    <cfRule type="expression" dxfId="577" priority="156" stopIfTrue="1">
      <formula>$T535=1</formula>
    </cfRule>
  </conditionalFormatting>
  <conditionalFormatting sqref="E538:F538">
    <cfRule type="expression" dxfId="576" priority="184" stopIfTrue="1">
      <formula>$R537=1</formula>
    </cfRule>
    <cfRule type="expression" dxfId="575" priority="183" stopIfTrue="1">
      <formula>$R538=1</formula>
    </cfRule>
  </conditionalFormatting>
  <conditionalFormatting sqref="E540:F542">
    <cfRule type="expression" dxfId="574" priority="153" stopIfTrue="1">
      <formula>$T539=1</formula>
    </cfRule>
    <cfRule type="expression" dxfId="573" priority="152" stopIfTrue="1">
      <formula>$T540=1</formula>
    </cfRule>
  </conditionalFormatting>
  <conditionalFormatting sqref="E543:F543">
    <cfRule type="expression" dxfId="572" priority="177" stopIfTrue="1">
      <formula>$T544=1</formula>
    </cfRule>
    <cfRule type="expression" dxfId="571" priority="176" stopIfTrue="1">
      <formula>$T545=1</formula>
    </cfRule>
  </conditionalFormatting>
  <conditionalFormatting sqref="E544:F544">
    <cfRule type="expression" dxfId="570" priority="193" stopIfTrue="1">
      <formula>$O545=1</formula>
    </cfRule>
  </conditionalFormatting>
  <conditionalFormatting sqref="E544:F545">
    <cfRule type="expression" dxfId="569" priority="194" stopIfTrue="1">
      <formula>$O544=1</formula>
    </cfRule>
  </conditionalFormatting>
  <conditionalFormatting sqref="E545:F545">
    <cfRule type="expression" dxfId="568" priority="201" stopIfTrue="1">
      <formula>$R546=1</formula>
    </cfRule>
  </conditionalFormatting>
  <conditionalFormatting sqref="E546:F548">
    <cfRule type="expression" dxfId="567" priority="151" stopIfTrue="1">
      <formula>$T545=1</formula>
    </cfRule>
    <cfRule type="expression" dxfId="566" priority="150" stopIfTrue="1">
      <formula>$T546=1</formula>
    </cfRule>
  </conditionalFormatting>
  <conditionalFormatting sqref="E549:F549">
    <cfRule type="expression" dxfId="565" priority="186" stopIfTrue="1">
      <formula>$R550=1</formula>
    </cfRule>
    <cfRule type="expression" dxfId="564" priority="185" stopIfTrue="1">
      <formula>$R551=1</formula>
    </cfRule>
  </conditionalFormatting>
  <conditionalFormatting sqref="E550:F551">
    <cfRule type="expression" dxfId="563" priority="171" stopIfTrue="1">
      <formula>$T549=1</formula>
    </cfRule>
    <cfRule type="expression" dxfId="562" priority="170" stopIfTrue="1">
      <formula>$T550=1</formula>
    </cfRule>
  </conditionalFormatting>
  <conditionalFormatting sqref="E552:F552">
    <cfRule type="expression" dxfId="561" priority="195" stopIfTrue="1">
      <formula>#REF!=1</formula>
    </cfRule>
    <cfRule type="expression" dxfId="560" priority="199" stopIfTrue="1">
      <formula>$I542=1</formula>
    </cfRule>
  </conditionalFormatting>
  <conditionalFormatting sqref="E553:F553">
    <cfRule type="expression" dxfId="559" priority="178" stopIfTrue="1">
      <formula>$T554=1</formula>
    </cfRule>
    <cfRule type="expression" dxfId="558" priority="179" stopIfTrue="1">
      <formula>$T553=1</formula>
    </cfRule>
  </conditionalFormatting>
  <conditionalFormatting sqref="E554:F554">
    <cfRule type="expression" dxfId="557" priority="160" stopIfTrue="1">
      <formula>$T$34=1</formula>
    </cfRule>
  </conditionalFormatting>
  <conditionalFormatting sqref="E555:F556">
    <cfRule type="expression" dxfId="556" priority="214" stopIfTrue="1">
      <formula>$R562=1</formula>
    </cfRule>
    <cfRule type="expression" dxfId="555" priority="221" stopIfTrue="1">
      <formula>$R561=1</formula>
    </cfRule>
  </conditionalFormatting>
  <conditionalFormatting sqref="E557:F557">
    <cfRule type="expression" dxfId="554" priority="219" stopIfTrue="1">
      <formula>$R563=1</formula>
    </cfRule>
    <cfRule type="expression" dxfId="553" priority="220" stopIfTrue="1">
      <formula>$R562=1</formula>
    </cfRule>
  </conditionalFormatting>
  <conditionalFormatting sqref="E558:F558">
    <cfRule type="expression" dxfId="552" priority="217" stopIfTrue="1">
      <formula>$R563=1</formula>
    </cfRule>
    <cfRule type="expression" dxfId="551" priority="218" stopIfTrue="1">
      <formula>$R562=1</formula>
    </cfRule>
  </conditionalFormatting>
  <conditionalFormatting sqref="E559:F559">
    <cfRule type="expression" dxfId="550" priority="206" stopIfTrue="1">
      <formula>$R562=1</formula>
    </cfRule>
    <cfRule type="expression" dxfId="549" priority="205" stopIfTrue="1">
      <formula>$R563=1</formula>
    </cfRule>
  </conditionalFormatting>
  <conditionalFormatting sqref="E560:F560">
    <cfRule type="expression" dxfId="548" priority="215" stopIfTrue="1">
      <formula>$R563=1</formula>
    </cfRule>
    <cfRule type="expression" dxfId="547" priority="216" stopIfTrue="1">
      <formula>$R562=1</formula>
    </cfRule>
  </conditionalFormatting>
  <conditionalFormatting sqref="E562:F562">
    <cfRule type="expression" dxfId="546" priority="1082" stopIfTrue="1">
      <formula>$R563=1</formula>
    </cfRule>
    <cfRule type="expression" dxfId="545" priority="1081" stopIfTrue="1">
      <formula>#REF!=1</formula>
    </cfRule>
  </conditionalFormatting>
  <conditionalFormatting sqref="E564:F564">
    <cfRule type="expression" dxfId="544" priority="181" stopIfTrue="1">
      <formula>$T567=1</formula>
    </cfRule>
    <cfRule type="expression" dxfId="543" priority="182" stopIfTrue="1">
      <formula>$T566=1</formula>
    </cfRule>
  </conditionalFormatting>
  <conditionalFormatting sqref="E566:F566">
    <cfRule type="expression" dxfId="542" priority="1087" stopIfTrue="1">
      <formula>#REF!=1</formula>
    </cfRule>
    <cfRule type="expression" dxfId="541" priority="1088" stopIfTrue="1">
      <formula>#REF!=1</formula>
    </cfRule>
  </conditionalFormatting>
  <conditionalFormatting sqref="E568:F568">
    <cfRule type="expression" dxfId="540" priority="192" stopIfTrue="1">
      <formula>#REF!=1</formula>
    </cfRule>
    <cfRule type="expression" dxfId="539" priority="203" stopIfTrue="1">
      <formula>$T573=1</formula>
    </cfRule>
  </conditionalFormatting>
  <conditionalFormatting sqref="E569:F569">
    <cfRule type="expression" dxfId="538" priority="1085" stopIfTrue="1">
      <formula>$T569=1</formula>
    </cfRule>
    <cfRule type="expression" dxfId="537" priority="1086" stopIfTrue="1">
      <formula>#REF!=1</formula>
    </cfRule>
  </conditionalFormatting>
  <conditionalFormatting sqref="E571:F571 E574:F574 E577:F577">
    <cfRule type="expression" dxfId="536" priority="196" stopIfTrue="1">
      <formula>#REF!=1</formula>
    </cfRule>
  </conditionalFormatting>
  <conditionalFormatting sqref="E587:F587">
    <cfRule type="expression" dxfId="535" priority="119" stopIfTrue="1">
      <formula>$T586=1</formula>
    </cfRule>
    <cfRule type="expression" dxfId="534" priority="118" stopIfTrue="1">
      <formula>$T587=1</formula>
    </cfRule>
  </conditionalFormatting>
  <conditionalFormatting sqref="E588:F588">
    <cfRule type="expression" dxfId="533" priority="132" stopIfTrue="1">
      <formula>$T$34=1</formula>
    </cfRule>
  </conditionalFormatting>
  <conditionalFormatting sqref="E589:F590">
    <cfRule type="expression" dxfId="532" priority="115" stopIfTrue="1">
      <formula>$T588=1</formula>
    </cfRule>
    <cfRule type="expression" dxfId="531" priority="114" stopIfTrue="1">
      <formula>$T589=1</formula>
    </cfRule>
  </conditionalFormatting>
  <conditionalFormatting sqref="E591:F591">
    <cfRule type="expression" dxfId="530" priority="140" stopIfTrue="1">
      <formula>$R594=1</formula>
    </cfRule>
    <cfRule type="expression" dxfId="529" priority="141" stopIfTrue="1">
      <formula>$T593=1</formula>
    </cfRule>
  </conditionalFormatting>
  <conditionalFormatting sqref="E592:F594">
    <cfRule type="expression" dxfId="528" priority="116" stopIfTrue="1">
      <formula>$T592=1</formula>
    </cfRule>
    <cfRule type="expression" dxfId="527" priority="117" stopIfTrue="1">
      <formula>$T591=1</formula>
    </cfRule>
  </conditionalFormatting>
  <conditionalFormatting sqref="E595:F595">
    <cfRule type="expression" dxfId="526" priority="133" stopIfTrue="1">
      <formula>$R595=1</formula>
    </cfRule>
    <cfRule type="expression" dxfId="525" priority="134" stopIfTrue="1">
      <formula>$R594=1</formula>
    </cfRule>
  </conditionalFormatting>
  <conditionalFormatting sqref="E597:F597 E598:E599">
    <cfRule type="expression" dxfId="524" priority="113" stopIfTrue="1">
      <formula>$T596=1</formula>
    </cfRule>
    <cfRule type="expression" dxfId="523" priority="112" stopIfTrue="1">
      <formula>$T597=1</formula>
    </cfRule>
  </conditionalFormatting>
  <conditionalFormatting sqref="E603:F604">
    <cfRule type="expression" dxfId="522" priority="110" stopIfTrue="1">
      <formula>$T603=1</formula>
    </cfRule>
  </conditionalFormatting>
  <conditionalFormatting sqref="E604:F604">
    <cfRule type="expression" dxfId="521" priority="111" stopIfTrue="1">
      <formula>$T603=1</formula>
    </cfRule>
  </conditionalFormatting>
  <conditionalFormatting sqref="F97">
    <cfRule type="expression" dxfId="520" priority="808" stopIfTrue="1">
      <formula>$T97=1</formula>
    </cfRule>
    <cfRule type="expression" dxfId="519" priority="809" stopIfTrue="1">
      <formula>$T96=1</formula>
    </cfRule>
  </conditionalFormatting>
  <conditionalFormatting sqref="F101:F102">
    <cfRule type="expression" dxfId="518" priority="811" stopIfTrue="1">
      <formula>$T100=1</formula>
    </cfRule>
    <cfRule type="expression" dxfId="517" priority="810" stopIfTrue="1">
      <formula>$T101=1</formula>
    </cfRule>
  </conditionalFormatting>
  <conditionalFormatting sqref="F113:F118">
    <cfRule type="expression" dxfId="516" priority="815" stopIfTrue="1">
      <formula>$T112=1</formula>
    </cfRule>
    <cfRule type="expression" dxfId="515" priority="814" stopIfTrue="1">
      <formula>$T113=1</formula>
    </cfRule>
  </conditionalFormatting>
  <conditionalFormatting sqref="F123:F127">
    <cfRule type="expression" dxfId="514" priority="813" stopIfTrue="1">
      <formula>$T122=1</formula>
    </cfRule>
    <cfRule type="expression" dxfId="513" priority="812" stopIfTrue="1">
      <formula>$T123=1</formula>
    </cfRule>
  </conditionalFormatting>
  <conditionalFormatting sqref="F152:F154">
    <cfRule type="expression" dxfId="512" priority="789" stopIfTrue="1">
      <formula>$T151=1</formula>
    </cfRule>
    <cfRule type="expression" dxfId="511" priority="788" stopIfTrue="1">
      <formula>$T152=1</formula>
    </cfRule>
  </conditionalFormatting>
  <conditionalFormatting sqref="F160">
    <cfRule type="expression" dxfId="510" priority="979" stopIfTrue="1">
      <formula>$M159=1</formula>
    </cfRule>
    <cfRule type="expression" dxfId="509" priority="978" stopIfTrue="1">
      <formula>$L160=1</formula>
    </cfRule>
  </conditionalFormatting>
  <conditionalFormatting sqref="F163:F166 E141:F141">
    <cfRule type="expression" dxfId="508" priority="955" stopIfTrue="1">
      <formula>#REF!=1</formula>
    </cfRule>
  </conditionalFormatting>
  <conditionalFormatting sqref="F167">
    <cfRule type="expression" dxfId="507" priority="958" stopIfTrue="1">
      <formula>#REF!=1</formula>
    </cfRule>
    <cfRule type="expression" dxfId="506" priority="957" stopIfTrue="1">
      <formula>$T166=1</formula>
    </cfRule>
  </conditionalFormatting>
  <conditionalFormatting sqref="F192">
    <cfRule type="expression" dxfId="505" priority="755" stopIfTrue="1">
      <formula>$L192=1</formula>
    </cfRule>
    <cfRule type="expression" dxfId="504" priority="756" stopIfTrue="1">
      <formula>$L191=1</formula>
    </cfRule>
  </conditionalFormatting>
  <conditionalFormatting sqref="F198">
    <cfRule type="expression" dxfId="503" priority="762" stopIfTrue="1">
      <formula>$L198=1</formula>
    </cfRule>
    <cfRule type="expression" dxfId="502" priority="763" stopIfTrue="1">
      <formula>$L197=1</formula>
    </cfRule>
  </conditionalFormatting>
  <conditionalFormatting sqref="F204 F206">
    <cfRule type="expression" dxfId="501" priority="964" stopIfTrue="1">
      <formula>#REF!=1</formula>
    </cfRule>
    <cfRule type="expression" dxfId="500" priority="963" stopIfTrue="1">
      <formula>#REF!=1</formula>
    </cfRule>
  </conditionalFormatting>
  <conditionalFormatting sqref="F232">
    <cfRule type="expression" dxfId="499" priority="690" stopIfTrue="1">
      <formula>$L231=1</formula>
    </cfRule>
    <cfRule type="expression" dxfId="498" priority="689" stopIfTrue="1">
      <formula>$L232=1</formula>
    </cfRule>
  </conditionalFormatting>
  <conditionalFormatting sqref="F237">
    <cfRule type="expression" dxfId="497" priority="694" stopIfTrue="1">
      <formula>$L236=1</formula>
    </cfRule>
    <cfRule type="expression" dxfId="496" priority="693" stopIfTrue="1">
      <formula>$L237=1</formula>
    </cfRule>
  </conditionalFormatting>
  <conditionalFormatting sqref="F241:F242 E219:F219">
    <cfRule type="expression" dxfId="495" priority="695" stopIfTrue="1">
      <formula>#REF!=1</formula>
    </cfRule>
  </conditionalFormatting>
  <conditionalFormatting sqref="F241:F242">
    <cfRule type="expression" dxfId="494" priority="684" stopIfTrue="1">
      <formula>$L241=1</formula>
    </cfRule>
  </conditionalFormatting>
  <conditionalFormatting sqref="F243">
    <cfRule type="expression" dxfId="493" priority="697" stopIfTrue="1">
      <formula>#REF!=1</formula>
    </cfRule>
    <cfRule type="expression" dxfId="492" priority="696" stopIfTrue="1">
      <formula>#REF!=1</formula>
    </cfRule>
  </conditionalFormatting>
  <conditionalFormatting sqref="F274">
    <cfRule type="expression" dxfId="491" priority="637" stopIfTrue="1">
      <formula>$L274=1</formula>
    </cfRule>
    <cfRule type="expression" dxfId="490" priority="638" stopIfTrue="1">
      <formula>$L273=1</formula>
    </cfRule>
  </conditionalFormatting>
  <conditionalFormatting sqref="F283 E261:F261">
    <cfRule type="expression" dxfId="489" priority="639" stopIfTrue="1">
      <formula>#REF!=1</formula>
    </cfRule>
  </conditionalFormatting>
  <conditionalFormatting sqref="F284">
    <cfRule type="expression" dxfId="488" priority="641" stopIfTrue="1">
      <formula>#REF!=1</formula>
    </cfRule>
    <cfRule type="expression" dxfId="487" priority="640" stopIfTrue="1">
      <formula>#REF!=1</formula>
    </cfRule>
  </conditionalFormatting>
  <conditionalFormatting sqref="F290:F292">
    <cfRule type="expression" dxfId="486" priority="648" stopIfTrue="1">
      <formula>#REF!=1</formula>
    </cfRule>
    <cfRule type="expression" dxfId="485" priority="647" stopIfTrue="1">
      <formula>#REF!=1</formula>
    </cfRule>
  </conditionalFormatting>
  <conditionalFormatting sqref="F322">
    <cfRule type="expression" dxfId="484" priority="581" stopIfTrue="1">
      <formula>$L322=1</formula>
    </cfRule>
    <cfRule type="expression" dxfId="483" priority="582" stopIfTrue="1">
      <formula>$L321=1</formula>
    </cfRule>
  </conditionalFormatting>
  <conditionalFormatting sqref="F331 E275:F275 F283">
    <cfRule type="expression" dxfId="482" priority="633" stopIfTrue="1">
      <formula>$L276=1</formula>
    </cfRule>
  </conditionalFormatting>
  <conditionalFormatting sqref="F338:F339 F341">
    <cfRule type="expression" dxfId="481" priority="589" stopIfTrue="1">
      <formula>#REF!=1</formula>
    </cfRule>
    <cfRule type="expression" dxfId="480" priority="588" stopIfTrue="1">
      <formula>#REF!=1</formula>
    </cfRule>
  </conditionalFormatting>
  <conditionalFormatting sqref="F343">
    <cfRule type="expression" dxfId="479" priority="591" stopIfTrue="1">
      <formula>#REF!=1</formula>
    </cfRule>
    <cfRule type="expression" dxfId="478" priority="590" stopIfTrue="1">
      <formula>#REF!=1</formula>
    </cfRule>
  </conditionalFormatting>
  <conditionalFormatting sqref="F382 E360:F360">
    <cfRule type="expression" dxfId="477" priority="518" stopIfTrue="1">
      <formula>#REF!=1</formula>
    </cfRule>
  </conditionalFormatting>
  <conditionalFormatting sqref="F382">
    <cfRule type="expression" dxfId="476" priority="516" stopIfTrue="1">
      <formula>$L375=1</formula>
    </cfRule>
  </conditionalFormatting>
  <conditionalFormatting sqref="F389">
    <cfRule type="expression" dxfId="475" priority="523" stopIfTrue="1">
      <formula>#REF!=1</formula>
    </cfRule>
    <cfRule type="expression" dxfId="474" priority="524" stopIfTrue="1">
      <formula>#REF!=1</formula>
    </cfRule>
  </conditionalFormatting>
  <conditionalFormatting sqref="F391">
    <cfRule type="expression" dxfId="473" priority="526" stopIfTrue="1">
      <formula>#REF!=1</formula>
    </cfRule>
    <cfRule type="expression" dxfId="472" priority="525" stopIfTrue="1">
      <formula>#REF!=1</formula>
    </cfRule>
  </conditionalFormatting>
  <conditionalFormatting sqref="F413">
    <cfRule type="expression" dxfId="471" priority="388" stopIfTrue="1">
      <formula>$T414=1</formula>
    </cfRule>
    <cfRule type="expression" dxfId="470" priority="387" stopIfTrue="1">
      <formula>$T415=1</formula>
    </cfRule>
  </conditionalFormatting>
  <conditionalFormatting sqref="F420">
    <cfRule type="expression" dxfId="469" priority="375" stopIfTrue="1">
      <formula>$T421=1</formula>
    </cfRule>
    <cfRule type="expression" dxfId="468" priority="376" stopIfTrue="1">
      <formula>#REF!=1</formula>
    </cfRule>
  </conditionalFormatting>
  <conditionalFormatting sqref="F422">
    <cfRule type="expression" dxfId="467" priority="368" stopIfTrue="1">
      <formula>#REF!=1</formula>
    </cfRule>
    <cfRule type="expression" dxfId="466" priority="367" stopIfTrue="1">
      <formula>$T423=1</formula>
    </cfRule>
  </conditionalFormatting>
  <conditionalFormatting sqref="F424">
    <cfRule type="expression" dxfId="465" priority="384" stopIfTrue="1">
      <formula>$T425=1</formula>
    </cfRule>
    <cfRule type="expression" dxfId="464" priority="383" stopIfTrue="1">
      <formula>$T426=1</formula>
    </cfRule>
  </conditionalFormatting>
  <conditionalFormatting sqref="F430">
    <cfRule type="expression" dxfId="463" priority="398" stopIfTrue="1">
      <formula>$T431=1</formula>
    </cfRule>
    <cfRule type="expression" dxfId="462" priority="397" stopIfTrue="1">
      <formula>$T432=1</formula>
    </cfRule>
  </conditionalFormatting>
  <conditionalFormatting sqref="F439">
    <cfRule type="expression" dxfId="461" priority="1033" stopIfTrue="1">
      <formula>$I427=1</formula>
    </cfRule>
  </conditionalFormatting>
  <conditionalFormatting sqref="F441">
    <cfRule type="expression" dxfId="460" priority="369" stopIfTrue="1">
      <formula>$T442=1</formula>
    </cfRule>
    <cfRule type="expression" dxfId="459" priority="370" stopIfTrue="1">
      <formula>#REF!=1</formula>
    </cfRule>
  </conditionalFormatting>
  <conditionalFormatting sqref="F444">
    <cfRule type="expression" dxfId="458" priority="441" stopIfTrue="1">
      <formula>#REF!=1</formula>
    </cfRule>
    <cfRule type="expression" dxfId="457" priority="442" stopIfTrue="1">
      <formula>#REF!=1</formula>
    </cfRule>
  </conditionalFormatting>
  <conditionalFormatting sqref="F446">
    <cfRule type="expression" dxfId="456" priority="443" stopIfTrue="1">
      <formula>#REF!=1</formula>
    </cfRule>
    <cfRule type="expression" dxfId="455" priority="444" stopIfTrue="1">
      <formula>#REF!=1</formula>
    </cfRule>
  </conditionalFormatting>
  <conditionalFormatting sqref="F448">
    <cfRule type="expression" dxfId="454" priority="391" stopIfTrue="1">
      <formula>$T454=1</formula>
    </cfRule>
    <cfRule type="expression" dxfId="453" priority="392" stopIfTrue="1">
      <formula>$T453=1</formula>
    </cfRule>
  </conditionalFormatting>
  <conditionalFormatting sqref="F472">
    <cfRule type="expression" dxfId="452" priority="262" stopIfTrue="1">
      <formula>$T473=1</formula>
    </cfRule>
    <cfRule type="expression" dxfId="451" priority="263" stopIfTrue="1">
      <formula>#REF!=1</formula>
    </cfRule>
  </conditionalFormatting>
  <conditionalFormatting sqref="F474">
    <cfRule type="expression" dxfId="450" priority="254" stopIfTrue="1">
      <formula>$T475=1</formula>
    </cfRule>
    <cfRule type="expression" dxfId="449" priority="255" stopIfTrue="1">
      <formula>#REF!=1</formula>
    </cfRule>
  </conditionalFormatting>
  <conditionalFormatting sqref="F476">
    <cfRule type="expression" dxfId="448" priority="269" stopIfTrue="1">
      <formula>$T477=1</formula>
    </cfRule>
    <cfRule type="expression" dxfId="447" priority="268" stopIfTrue="1">
      <formula>$T478=1</formula>
    </cfRule>
  </conditionalFormatting>
  <conditionalFormatting sqref="F482">
    <cfRule type="expression" dxfId="446" priority="275" stopIfTrue="1">
      <formula>$T483=1</formula>
    </cfRule>
    <cfRule type="expression" dxfId="445" priority="274" stopIfTrue="1">
      <formula>$T484=1</formula>
    </cfRule>
  </conditionalFormatting>
  <conditionalFormatting sqref="F497">
    <cfRule type="expression" dxfId="444" priority="335" stopIfTrue="1">
      <formula>$I479=1</formula>
    </cfRule>
  </conditionalFormatting>
  <conditionalFormatting sqref="F499">
    <cfRule type="expression" dxfId="443" priority="257" stopIfTrue="1">
      <formula>#REF!=1</formula>
    </cfRule>
    <cfRule type="expression" dxfId="442" priority="256" stopIfTrue="1">
      <formula>$T500=1</formula>
    </cfRule>
  </conditionalFormatting>
  <conditionalFormatting sqref="F502">
    <cfRule type="expression" dxfId="441" priority="309" stopIfTrue="1">
      <formula>#REF!=1</formula>
    </cfRule>
    <cfRule type="expression" dxfId="440" priority="310" stopIfTrue="1">
      <formula>#REF!=1</formula>
    </cfRule>
  </conditionalFormatting>
  <conditionalFormatting sqref="F504">
    <cfRule type="expression" dxfId="439" priority="311" stopIfTrue="1">
      <formula>#REF!=1</formula>
    </cfRule>
    <cfRule type="expression" dxfId="438" priority="312" stopIfTrue="1">
      <formula>#REF!=1</formula>
    </cfRule>
  </conditionalFormatting>
  <conditionalFormatting sqref="F539">
    <cfRule type="expression" dxfId="437" priority="175" stopIfTrue="1">
      <formula>#REF!=1</formula>
    </cfRule>
    <cfRule type="expression" dxfId="436" priority="174" stopIfTrue="1">
      <formula>$T540=1</formula>
    </cfRule>
  </conditionalFormatting>
  <conditionalFormatting sqref="F561">
    <cfRule type="expression" dxfId="435" priority="200" stopIfTrue="1">
      <formula>$I544=1</formula>
    </cfRule>
    <cfRule type="expression" dxfId="434" priority="187" stopIfTrue="1">
      <formula>#REF!=1</formula>
    </cfRule>
  </conditionalFormatting>
  <conditionalFormatting sqref="F563">
    <cfRule type="expression" dxfId="433" priority="1083" stopIfTrue="1">
      <formula>#REF!=1</formula>
    </cfRule>
    <cfRule type="expression" dxfId="432" priority="1084" stopIfTrue="1">
      <formula>#REF!=1</formula>
    </cfRule>
  </conditionalFormatting>
  <conditionalFormatting sqref="F565">
    <cfRule type="expression" dxfId="431" priority="189" stopIfTrue="1">
      <formula>#REF!=1</formula>
    </cfRule>
    <cfRule type="expression" dxfId="430" priority="188" stopIfTrue="1">
      <formula>#REF!=1</formula>
    </cfRule>
  </conditionalFormatting>
  <conditionalFormatting sqref="F567">
    <cfRule type="expression" dxfId="429" priority="190" stopIfTrue="1">
      <formula>#REF!=1</formula>
    </cfRule>
    <cfRule type="expression" dxfId="428" priority="191" stopIfTrue="1">
      <formula>#REF!=1</formula>
    </cfRule>
  </conditionalFormatting>
  <conditionalFormatting sqref="F596">
    <cfRule type="expression" dxfId="427" priority="126" stopIfTrue="1">
      <formula>$T597=1</formula>
    </cfRule>
    <cfRule type="expression" dxfId="426" priority="127" stopIfTrue="1">
      <formula>#REF!=1</formula>
    </cfRule>
  </conditionalFormatting>
  <conditionalFormatting sqref="F605:F607">
    <cfRule type="expression" dxfId="425" priority="142" stopIfTrue="1">
      <formula>$I597=1</formula>
    </cfRule>
    <cfRule type="expression" dxfId="424" priority="139" stopIfTrue="1">
      <formula>#REF!=1</formula>
    </cfRule>
  </conditionalFormatting>
  <conditionalFormatting sqref="F608:F610">
    <cfRule type="expression" dxfId="423" priority="1105" stopIfTrue="1">
      <formula>$I601=1</formula>
    </cfRule>
  </conditionalFormatting>
  <conditionalFormatting sqref="F608:F618 H603 E603:F603">
    <cfRule type="expression" dxfId="422" priority="1092" stopIfTrue="1">
      <formula>#REF!=1</formula>
    </cfRule>
  </conditionalFormatting>
  <conditionalFormatting sqref="F611:F612">
    <cfRule type="expression" dxfId="421" priority="1112" stopIfTrue="1">
      <formula>$M587=1</formula>
    </cfRule>
  </conditionalFormatting>
  <conditionalFormatting sqref="F613">
    <cfRule type="expression" dxfId="420" priority="1111" stopIfTrue="1">
      <formula>$M590=1</formula>
    </cfRule>
  </conditionalFormatting>
  <conditionalFormatting sqref="F614:F615 F617">
    <cfRule type="expression" dxfId="419" priority="1100" stopIfTrue="1">
      <formula>#REF!=1</formula>
    </cfRule>
  </conditionalFormatting>
  <conditionalFormatting sqref="F616">
    <cfRule type="expression" dxfId="418" priority="1104" stopIfTrue="1">
      <formula>$I611=1</formula>
    </cfRule>
  </conditionalFormatting>
  <conditionalFormatting sqref="F618">
    <cfRule type="expression" dxfId="417" priority="1091" stopIfTrue="1">
      <formula>$T618=1</formula>
    </cfRule>
  </conditionalFormatting>
  <conditionalFormatting sqref="F669">
    <cfRule type="expression" dxfId="416" priority="74" stopIfTrue="1">
      <formula>$T668=1</formula>
    </cfRule>
    <cfRule type="expression" dxfId="415" priority="73" stopIfTrue="1">
      <formula>$T669=1</formula>
    </cfRule>
  </conditionalFormatting>
  <conditionalFormatting sqref="F670">
    <cfRule type="expression" dxfId="414" priority="78" stopIfTrue="1">
      <formula>$T$34=1</formula>
    </cfRule>
  </conditionalFormatting>
  <conditionalFormatting sqref="F671:F672">
    <cfRule type="expression" dxfId="413" priority="69" stopIfTrue="1">
      <formula>$T671=1</formula>
    </cfRule>
    <cfRule type="expression" dxfId="412" priority="70" stopIfTrue="1">
      <formula>$T670=1</formula>
    </cfRule>
  </conditionalFormatting>
  <conditionalFormatting sqref="F673">
    <cfRule type="expression" dxfId="411" priority="83" stopIfTrue="1">
      <formula>$T675=1</formula>
    </cfRule>
    <cfRule type="expression" dxfId="410" priority="82" stopIfTrue="1">
      <formula>$R676=1</formula>
    </cfRule>
  </conditionalFormatting>
  <conditionalFormatting sqref="F674:F676">
    <cfRule type="expression" dxfId="409" priority="72" stopIfTrue="1">
      <formula>$T673=1</formula>
    </cfRule>
    <cfRule type="expression" dxfId="408" priority="71" stopIfTrue="1">
      <formula>$T674=1</formula>
    </cfRule>
  </conditionalFormatting>
  <conditionalFormatting sqref="F677">
    <cfRule type="expression" dxfId="407" priority="79" stopIfTrue="1">
      <formula>$R677=1</formula>
    </cfRule>
    <cfRule type="expression" dxfId="406" priority="80" stopIfTrue="1">
      <formula>$R676=1</formula>
    </cfRule>
  </conditionalFormatting>
  <conditionalFormatting sqref="F678">
    <cfRule type="expression" dxfId="405" priority="76" stopIfTrue="1">
      <formula>$T679=1</formula>
    </cfRule>
    <cfRule type="expression" dxfId="404" priority="77" stopIfTrue="1">
      <formula>#REF!=1</formula>
    </cfRule>
  </conditionalFormatting>
  <conditionalFormatting sqref="F679:F684">
    <cfRule type="expression" dxfId="403" priority="68" stopIfTrue="1">
      <formula>$T678=1</formula>
    </cfRule>
  </conditionalFormatting>
  <conditionalFormatting sqref="F679:F686">
    <cfRule type="expression" dxfId="402" priority="66" stopIfTrue="1">
      <formula>$T679=1</formula>
    </cfRule>
  </conditionalFormatting>
  <conditionalFormatting sqref="F686">
    <cfRule type="expression" dxfId="401" priority="67" stopIfTrue="1">
      <formula>$T685=1</formula>
    </cfRule>
  </conditionalFormatting>
  <conditionalFormatting sqref="F687:F689">
    <cfRule type="expression" dxfId="400" priority="81" stopIfTrue="1">
      <formula>#REF!=1</formula>
    </cfRule>
    <cfRule type="expression" dxfId="399" priority="84" stopIfTrue="1">
      <formula>$I679=1</formula>
    </cfRule>
  </conditionalFormatting>
  <conditionalFormatting sqref="F690:F692">
    <cfRule type="expression" dxfId="398" priority="94" stopIfTrue="1">
      <formula>$I683=1</formula>
    </cfRule>
  </conditionalFormatting>
  <conditionalFormatting sqref="F693:F694">
    <cfRule type="expression" dxfId="397" priority="95" stopIfTrue="1">
      <formula>$M669=1</formula>
    </cfRule>
  </conditionalFormatting>
  <conditionalFormatting sqref="F695:F696">
    <cfRule type="expression" dxfId="396" priority="91" stopIfTrue="1">
      <formula>#REF!=1</formula>
    </cfRule>
  </conditionalFormatting>
  <conditionalFormatting sqref="F697">
    <cfRule type="expression" dxfId="395" priority="93" stopIfTrue="1">
      <formula>$I693=1</formula>
    </cfRule>
  </conditionalFormatting>
  <conditionalFormatting sqref="F754">
    <cfRule type="expression" dxfId="394" priority="1127" stopIfTrue="1">
      <formula>$T753=1</formula>
    </cfRule>
  </conditionalFormatting>
  <conditionalFormatting sqref="F754:F779">
    <cfRule type="expression" dxfId="393" priority="1126" stopIfTrue="1">
      <formula>$U754=1</formula>
    </cfRule>
  </conditionalFormatting>
  <conditionalFormatting sqref="F755:F780">
    <cfRule type="expression" dxfId="392" priority="1129" stopIfTrue="1">
      <formula>$U754=1</formula>
    </cfRule>
  </conditionalFormatting>
  <conditionalFormatting sqref="F788:F799 E101:E102">
    <cfRule type="expression" dxfId="391" priority="806" stopIfTrue="1">
      <formula>$T101=1</formula>
    </cfRule>
  </conditionalFormatting>
  <conditionalFormatting sqref="G807:H812">
    <cfRule type="expression" dxfId="390" priority="26">
      <formula>$F807="ANULADA"</formula>
    </cfRule>
    <cfRule type="expression" dxfId="389" priority="25">
      <formula>$F807="TERMINADA"</formula>
    </cfRule>
  </conditionalFormatting>
  <conditionalFormatting sqref="H392">
    <cfRule type="expression" dxfId="388" priority="500" stopIfTrue="1">
      <formula>$T392=1</formula>
    </cfRule>
    <cfRule type="expression" dxfId="387" priority="501" stopIfTrue="1">
      <formula>$T391=1</formula>
    </cfRule>
  </conditionalFormatting>
  <conditionalFormatting sqref="H450">
    <cfRule type="expression" dxfId="386" priority="436" stopIfTrue="1">
      <formula>$T450=1</formula>
    </cfRule>
    <cfRule type="expression" dxfId="385" priority="437" stopIfTrue="1">
      <formula>$T449=1</formula>
    </cfRule>
  </conditionalFormatting>
  <conditionalFormatting sqref="H508">
    <cfRule type="expression" dxfId="384" priority="304" stopIfTrue="1">
      <formula>$T508=1</formula>
    </cfRule>
    <cfRule type="expression" dxfId="383" priority="305" stopIfTrue="1">
      <formula>$T507=1</formula>
    </cfRule>
  </conditionalFormatting>
  <conditionalFormatting sqref="H529">
    <cfRule type="expression" dxfId="382" priority="163" stopIfTrue="1">
      <formula>$T$34=1</formula>
    </cfRule>
  </conditionalFormatting>
  <conditionalFormatting sqref="H530:H551">
    <cfRule type="expression" dxfId="381" priority="162" stopIfTrue="1">
      <formula>$T529=1</formula>
    </cfRule>
    <cfRule type="expression" dxfId="380" priority="161" stopIfTrue="1">
      <formula>$T530=1</formula>
    </cfRule>
  </conditionalFormatting>
  <conditionalFormatting sqref="H586">
    <cfRule type="expression" dxfId="379" priority="121" stopIfTrue="1">
      <formula>$T$34=1</formula>
    </cfRule>
  </conditionalFormatting>
  <conditionalFormatting sqref="H668">
    <cfRule type="expression" dxfId="378" priority="75" stopIfTrue="1">
      <formula>$T$34=1</formula>
    </cfRule>
  </conditionalFormatting>
  <conditionalFormatting sqref="H669:H684 H686:H689">
    <cfRule type="expression" dxfId="377" priority="86" stopIfTrue="1">
      <formula>$T668=1</formula>
    </cfRule>
  </conditionalFormatting>
  <conditionalFormatting sqref="H669:H689">
    <cfRule type="expression" dxfId="376" priority="85" stopIfTrue="1">
      <formula>$T669=1</formula>
    </cfRule>
  </conditionalFormatting>
  <conditionalFormatting sqref="H685 F685">
    <cfRule type="expression" dxfId="375" priority="90" stopIfTrue="1">
      <formula>#REF!=1</formula>
    </cfRule>
  </conditionalFormatting>
  <conditionalFormatting sqref="H753">
    <cfRule type="expression" dxfId="374" priority="35" stopIfTrue="1">
      <formula>$T$34=1</formula>
    </cfRule>
  </conditionalFormatting>
  <conditionalFormatting sqref="H754:H774">
    <cfRule type="expression" dxfId="373" priority="36" stopIfTrue="1">
      <formula>$U754=1</formula>
    </cfRule>
  </conditionalFormatting>
  <conditionalFormatting sqref="H755:H769 H771:H774">
    <cfRule type="expression" dxfId="372" priority="37" stopIfTrue="1">
      <formula>$U754=1</formula>
    </cfRule>
  </conditionalFormatting>
  <conditionalFormatting sqref="H770">
    <cfRule type="expression" dxfId="371" priority="38" stopIfTrue="1">
      <formula>#REF!=1</formula>
    </cfRule>
  </conditionalFormatting>
  <conditionalFormatting sqref="H343:K343">
    <cfRule type="expression" dxfId="370" priority="557" stopIfTrue="1">
      <formula>$T343=1</formula>
    </cfRule>
    <cfRule type="expression" dxfId="369" priority="558" stopIfTrue="1">
      <formula>$T342=1</formula>
    </cfRule>
  </conditionalFormatting>
  <conditionalFormatting sqref="H294:XFD294">
    <cfRule type="expression" dxfId="368" priority="604" stopIfTrue="1">
      <formula>$T293=1</formula>
    </cfRule>
    <cfRule type="expression" dxfId="367" priority="603" stopIfTrue="1">
      <formula>$T294=1</formula>
    </cfRule>
  </conditionalFormatting>
  <conditionalFormatting sqref="I587:I588">
    <cfRule type="expression" dxfId="366" priority="105" stopIfTrue="1">
      <formula>$S$34=1</formula>
    </cfRule>
  </conditionalFormatting>
  <conditionalFormatting sqref="I589:I596">
    <cfRule type="expression" dxfId="365" priority="103" stopIfTrue="1">
      <formula>$S589=1</formula>
    </cfRule>
    <cfRule type="expression" dxfId="364" priority="104" stopIfTrue="1">
      <formula>$S588=1</formula>
    </cfRule>
  </conditionalFormatting>
  <conditionalFormatting sqref="I597:I602">
    <cfRule type="expression" dxfId="363" priority="108" stopIfTrue="1">
      <formula>$S596=1</formula>
    </cfRule>
    <cfRule type="expression" dxfId="362" priority="109" stopIfTrue="1">
      <formula>$S595=1</formula>
    </cfRule>
  </conditionalFormatting>
  <conditionalFormatting sqref="I603">
    <cfRule type="expression" dxfId="361" priority="1107" stopIfTrue="1">
      <formula>#REF!=1</formula>
    </cfRule>
    <cfRule type="expression" dxfId="360" priority="1108" stopIfTrue="1">
      <formula>$S602=1</formula>
    </cfRule>
  </conditionalFormatting>
  <conditionalFormatting sqref="I604">
    <cfRule type="expression" dxfId="359" priority="1109" stopIfTrue="1">
      <formula>$S603=1</formula>
    </cfRule>
    <cfRule type="expression" dxfId="358" priority="1110" stopIfTrue="1">
      <formula>#REF!=1</formula>
    </cfRule>
  </conditionalFormatting>
  <conditionalFormatting sqref="I669:I670">
    <cfRule type="expression" dxfId="357" priority="59" stopIfTrue="1">
      <formula>$S$34=1</formula>
    </cfRule>
  </conditionalFormatting>
  <conditionalFormatting sqref="I671:I694">
    <cfRule type="expression" dxfId="356" priority="58" stopIfTrue="1">
      <formula>$S670=1</formula>
    </cfRule>
    <cfRule type="expression" dxfId="355" priority="57" stopIfTrue="1">
      <formula>$S671=1</formula>
    </cfRule>
  </conditionalFormatting>
  <conditionalFormatting sqref="I754:I755">
    <cfRule type="expression" dxfId="354" priority="16" stopIfTrue="1">
      <formula>$S$34=1</formula>
    </cfRule>
  </conditionalFormatting>
  <conditionalFormatting sqref="I807">
    <cfRule type="expression" dxfId="353" priority="27">
      <formula>#REF!="TERMINADA"</formula>
    </cfRule>
    <cfRule type="expression" dxfId="352" priority="28">
      <formula>#REF!="ANULADA"</formula>
    </cfRule>
  </conditionalFormatting>
  <conditionalFormatting sqref="I808:I812">
    <cfRule type="expression" dxfId="351" priority="22">
      <formula>$F792="ANULADA"</formula>
    </cfRule>
    <cfRule type="expression" dxfId="350" priority="21">
      <formula>$F792="TERMINADA"</formula>
    </cfRule>
  </conditionalFormatting>
  <conditionalFormatting sqref="I148:J149">
    <cfRule type="expression" dxfId="349" priority="782" stopIfTrue="1">
      <formula>$T147=1</formula>
    </cfRule>
    <cfRule type="expression" dxfId="348" priority="781" stopIfTrue="1">
      <formula>$T148=1</formula>
    </cfRule>
  </conditionalFormatting>
  <conditionalFormatting sqref="I151:J151">
    <cfRule type="expression" dxfId="347" priority="996" stopIfTrue="1">
      <formula>$T152=1</formula>
    </cfRule>
    <cfRule type="expression" dxfId="346" priority="997" stopIfTrue="1">
      <formula>$T151=1</formula>
    </cfRule>
  </conditionalFormatting>
  <conditionalFormatting sqref="I153:J153">
    <cfRule type="expression" dxfId="345" priority="968" stopIfTrue="1">
      <formula>$M158=1</formula>
    </cfRule>
    <cfRule type="expression" dxfId="344" priority="969" stopIfTrue="1">
      <formula>$M157=1</formula>
    </cfRule>
  </conditionalFormatting>
  <conditionalFormatting sqref="I163:J163">
    <cfRule type="expression" dxfId="343" priority="992" stopIfTrue="1">
      <formula>$S165=1</formula>
    </cfRule>
    <cfRule type="expression" dxfId="342" priority="993" stopIfTrue="1">
      <formula>$M164=1</formula>
    </cfRule>
  </conditionalFormatting>
  <conditionalFormatting sqref="I350:J350">
    <cfRule type="expression" dxfId="341" priority="990" stopIfTrue="1">
      <formula>$K352=1</formula>
    </cfRule>
    <cfRule type="expression" dxfId="340" priority="991" stopIfTrue="1">
      <formula>$K351=1</formula>
    </cfRule>
  </conditionalFormatting>
  <conditionalFormatting sqref="I390:J390">
    <cfRule type="expression" dxfId="339" priority="463" stopIfTrue="1">
      <formula>$Q389=1</formula>
    </cfRule>
  </conditionalFormatting>
  <conditionalFormatting sqref="I390:J395">
    <cfRule type="expression" dxfId="338" priority="461" stopIfTrue="1">
      <formula>$T390=1</formula>
    </cfRule>
  </conditionalFormatting>
  <conditionalFormatting sqref="I391:J395">
    <cfRule type="expression" dxfId="337" priority="462" stopIfTrue="1">
      <formula>$T390=1</formula>
    </cfRule>
  </conditionalFormatting>
  <conditionalFormatting sqref="I472:J472">
    <cfRule type="expression" dxfId="336" priority="222" stopIfTrue="1">
      <formula>$T$34=1</formula>
    </cfRule>
  </conditionalFormatting>
  <conditionalFormatting sqref="I473:J478">
    <cfRule type="expression" dxfId="335" priority="230" stopIfTrue="1">
      <formula>$T473=1</formula>
    </cfRule>
  </conditionalFormatting>
  <conditionalFormatting sqref="I473:J479">
    <cfRule type="expression" dxfId="334" priority="231" stopIfTrue="1">
      <formula>$T472=1</formula>
    </cfRule>
  </conditionalFormatting>
  <conditionalFormatting sqref="I479:J481">
    <cfRule type="expression" dxfId="333" priority="226" stopIfTrue="1">
      <formula>$R479=1</formula>
    </cfRule>
  </conditionalFormatting>
  <conditionalFormatting sqref="I480:J482">
    <cfRule type="expression" dxfId="332" priority="227" stopIfTrue="1">
      <formula>$R479=1</formula>
    </cfRule>
  </conditionalFormatting>
  <conditionalFormatting sqref="I482:J485">
    <cfRule type="expression" dxfId="331" priority="223" stopIfTrue="1">
      <formula>$O482=1</formula>
    </cfRule>
  </conditionalFormatting>
  <conditionalFormatting sqref="I483:J485">
    <cfRule type="expression" dxfId="330" priority="224" stopIfTrue="1">
      <formula>$O482=1</formula>
    </cfRule>
  </conditionalFormatting>
  <conditionalFormatting sqref="I486:J486">
    <cfRule type="expression" dxfId="329" priority="228" stopIfTrue="1">
      <formula>$O487=1</formula>
    </cfRule>
  </conditionalFormatting>
  <conditionalFormatting sqref="I486:J487">
    <cfRule type="expression" dxfId="328" priority="229" stopIfTrue="1">
      <formula>$O486=1</formula>
    </cfRule>
  </conditionalFormatting>
  <conditionalFormatting sqref="I488:J494">
    <cfRule type="expression" dxfId="327" priority="225" stopIfTrue="1">
      <formula>$R488=1</formula>
    </cfRule>
  </conditionalFormatting>
  <conditionalFormatting sqref="I374:K374">
    <cfRule type="expression" dxfId="326" priority="455" stopIfTrue="1">
      <formula>$T$34=1</formula>
    </cfRule>
  </conditionalFormatting>
  <conditionalFormatting sqref="I375:K383">
    <cfRule type="expression" dxfId="325" priority="458" stopIfTrue="1">
      <formula>$T375=1</formula>
    </cfRule>
  </conditionalFormatting>
  <conditionalFormatting sqref="I375:K384">
    <cfRule type="expression" dxfId="324" priority="459" stopIfTrue="1">
      <formula>$T374=1</formula>
    </cfRule>
  </conditionalFormatting>
  <conditionalFormatting sqref="I384:K389">
    <cfRule type="expression" dxfId="323" priority="456" stopIfTrue="1">
      <formula>$Q384=1</formula>
    </cfRule>
  </conditionalFormatting>
  <conditionalFormatting sqref="I385:K389">
    <cfRule type="expression" dxfId="322" priority="457" stopIfTrue="1">
      <formula>$Q384=1</formula>
    </cfRule>
  </conditionalFormatting>
  <conditionalFormatting sqref="I419:K419">
    <cfRule type="expression" dxfId="321" priority="354" stopIfTrue="1">
      <formula>$T$34=1</formula>
    </cfRule>
  </conditionalFormatting>
  <conditionalFormatting sqref="I420:K425">
    <cfRule type="expression" dxfId="320" priority="362" stopIfTrue="1">
      <formula>$T420=1</formula>
    </cfRule>
  </conditionalFormatting>
  <conditionalFormatting sqref="I420:K426">
    <cfRule type="expression" dxfId="319" priority="363" stopIfTrue="1">
      <formula>$T419=1</formula>
    </cfRule>
  </conditionalFormatting>
  <conditionalFormatting sqref="I426:K428">
    <cfRule type="expression" dxfId="318" priority="358" stopIfTrue="1">
      <formula>$R426=1</formula>
    </cfRule>
  </conditionalFormatting>
  <conditionalFormatting sqref="I427:K429">
    <cfRule type="expression" dxfId="317" priority="359" stopIfTrue="1">
      <formula>$R426=1</formula>
    </cfRule>
  </conditionalFormatting>
  <conditionalFormatting sqref="I429:K432">
    <cfRule type="expression" dxfId="316" priority="355" stopIfTrue="1">
      <formula>$O429=1</formula>
    </cfRule>
  </conditionalFormatting>
  <conditionalFormatting sqref="I430:K432">
    <cfRule type="expression" dxfId="315" priority="356" stopIfTrue="1">
      <formula>$O429=1</formula>
    </cfRule>
  </conditionalFormatting>
  <conditionalFormatting sqref="I433:K433">
    <cfRule type="expression" dxfId="314" priority="360" stopIfTrue="1">
      <formula>$O434=1</formula>
    </cfRule>
  </conditionalFormatting>
  <conditionalFormatting sqref="I433:K434">
    <cfRule type="expression" dxfId="313" priority="361" stopIfTrue="1">
      <formula>$O433=1</formula>
    </cfRule>
  </conditionalFormatting>
  <conditionalFormatting sqref="I434:K440">
    <cfRule type="expression" dxfId="312" priority="364" stopIfTrue="1">
      <formula>$R435=1</formula>
    </cfRule>
  </conditionalFormatting>
  <conditionalFormatting sqref="I435:K440">
    <cfRule type="expression" dxfId="311" priority="357" stopIfTrue="1">
      <formula>$R435=1</formula>
    </cfRule>
  </conditionalFormatting>
  <conditionalFormatting sqref="I443:K443">
    <cfRule type="expression" dxfId="310" priority="1052" stopIfTrue="1">
      <formula>$T447=1</formula>
    </cfRule>
    <cfRule type="expression" dxfId="309" priority="1051" stopIfTrue="1">
      <formula>$T448=1</formula>
    </cfRule>
  </conditionalFormatting>
  <conditionalFormatting sqref="I444:K444">
    <cfRule type="expression" dxfId="308" priority="1050" stopIfTrue="1">
      <formula>$T447=1</formula>
    </cfRule>
    <cfRule type="expression" dxfId="307" priority="1049" stopIfTrue="1">
      <formula>$T448=1</formula>
    </cfRule>
  </conditionalFormatting>
  <conditionalFormatting sqref="I445:K445">
    <cfRule type="expression" dxfId="306" priority="1048" stopIfTrue="1">
      <formula>$T447=1</formula>
    </cfRule>
    <cfRule type="expression" dxfId="305" priority="1047" stopIfTrue="1">
      <formula>$T448=1</formula>
    </cfRule>
  </conditionalFormatting>
  <conditionalFormatting sqref="I446:K446">
    <cfRule type="expression" dxfId="304" priority="1046" stopIfTrue="1">
      <formula>$T447=1</formula>
    </cfRule>
    <cfRule type="expression" dxfId="303" priority="1045" stopIfTrue="1">
      <formula>$T448=1</formula>
    </cfRule>
  </conditionalFormatting>
  <conditionalFormatting sqref="I447:K447">
    <cfRule type="expression" dxfId="302" priority="1044" stopIfTrue="1">
      <formula>$T447=1</formula>
    </cfRule>
    <cfRule type="expression" dxfId="301" priority="1043" stopIfTrue="1">
      <formula>$T448=1</formula>
    </cfRule>
  </conditionalFormatting>
  <conditionalFormatting sqref="I460:K461">
    <cfRule type="expression" dxfId="300" priority="1042" stopIfTrue="1">
      <formula>$T446=1</formula>
    </cfRule>
    <cfRule type="expression" dxfId="299" priority="1041" stopIfTrue="1">
      <formula>$T447=1</formula>
    </cfRule>
  </conditionalFormatting>
  <conditionalFormatting sqref="I471:K471">
    <cfRule type="expression" dxfId="298" priority="242" stopIfTrue="1">
      <formula>$T$34=1</formula>
    </cfRule>
  </conditionalFormatting>
  <conditionalFormatting sqref="I501:K501">
    <cfRule type="expression" dxfId="297" priority="349" stopIfTrue="1">
      <formula>$T506=1</formula>
    </cfRule>
    <cfRule type="expression" dxfId="296" priority="350" stopIfTrue="1">
      <formula>$T505=1</formula>
    </cfRule>
  </conditionalFormatting>
  <conditionalFormatting sqref="I502:K502">
    <cfRule type="expression" dxfId="295" priority="347" stopIfTrue="1">
      <formula>$T506=1</formula>
    </cfRule>
    <cfRule type="expression" dxfId="294" priority="348" stopIfTrue="1">
      <formula>$T505=1</formula>
    </cfRule>
  </conditionalFormatting>
  <conditionalFormatting sqref="I503:K503">
    <cfRule type="expression" dxfId="293" priority="345" stopIfTrue="1">
      <formula>$T506=1</formula>
    </cfRule>
    <cfRule type="expression" dxfId="292" priority="346" stopIfTrue="1">
      <formula>$T505=1</formula>
    </cfRule>
  </conditionalFormatting>
  <conditionalFormatting sqref="I504:K504">
    <cfRule type="expression" dxfId="291" priority="344" stopIfTrue="1">
      <formula>$T505=1</formula>
    </cfRule>
    <cfRule type="expression" dxfId="290" priority="343" stopIfTrue="1">
      <formula>$T506=1</formula>
    </cfRule>
  </conditionalFormatting>
  <conditionalFormatting sqref="I505:K505">
    <cfRule type="expression" dxfId="289" priority="342" stopIfTrue="1">
      <formula>$T505=1</formula>
    </cfRule>
    <cfRule type="expression" dxfId="288" priority="341" stopIfTrue="1">
      <formula>$T506=1</formula>
    </cfRule>
  </conditionalFormatting>
  <conditionalFormatting sqref="I544:K551">
    <cfRule type="expression" dxfId="287" priority="165" stopIfTrue="1">
      <formula>$T543=1</formula>
    </cfRule>
    <cfRule type="expression" dxfId="286" priority="164" stopIfTrue="1">
      <formula>$T544=1</formula>
    </cfRule>
  </conditionalFormatting>
  <conditionalFormatting sqref="I364:L364">
    <cfRule type="expression" dxfId="285" priority="1021" stopIfTrue="1">
      <formula>$T372=1</formula>
    </cfRule>
    <cfRule type="expression" dxfId="284" priority="1022" stopIfTrue="1">
      <formula>$T371=1</formula>
    </cfRule>
  </conditionalFormatting>
  <conditionalFormatting sqref="I529:L543">
    <cfRule type="expression" dxfId="283" priority="147">
      <formula>$G529="TERMINADA"</formula>
    </cfRule>
    <cfRule type="expression" dxfId="282" priority="148">
      <formula>$G529="ANULADA"</formula>
    </cfRule>
  </conditionalFormatting>
  <conditionalFormatting sqref="I623:L624 I628:L628 I631:L637">
    <cfRule type="expression" dxfId="281" priority="1096">
      <formula>#REF!="ANULADA"</formula>
    </cfRule>
    <cfRule type="expression" dxfId="280" priority="1095">
      <formula>#REF!="TERMINADA"</formula>
    </cfRule>
  </conditionalFormatting>
  <conditionalFormatting sqref="I625:L627">
    <cfRule type="expression" dxfId="279" priority="1102">
      <formula>$G614="ANULADA"</formula>
    </cfRule>
    <cfRule type="expression" dxfId="278" priority="1101">
      <formula>$G614="TERMINADA"</formula>
    </cfRule>
  </conditionalFormatting>
  <conditionalFormatting sqref="I629:L630">
    <cfRule type="expression" dxfId="277" priority="1094">
      <formula>$G617="ANULADA"</formula>
    </cfRule>
    <cfRule type="expression" dxfId="276" priority="1093">
      <formula>$G617="TERMINADA"</formula>
    </cfRule>
  </conditionalFormatting>
  <conditionalFormatting sqref="I638:L656">
    <cfRule type="expression" dxfId="275" priority="97">
      <formula>$G618="ANULADA"</formula>
    </cfRule>
    <cfRule type="expression" dxfId="274" priority="96">
      <formula>$G618="TERMINADA"</formula>
    </cfRule>
  </conditionalFormatting>
  <conditionalFormatting sqref="J529:J543">
    <cfRule type="duplicateValues" dxfId="273" priority="149"/>
  </conditionalFormatting>
  <conditionalFormatting sqref="J670">
    <cfRule type="expression" dxfId="272" priority="62" stopIfTrue="1">
      <formula>$S$34=1</formula>
    </cfRule>
  </conditionalFormatting>
  <conditionalFormatting sqref="J807:J812">
    <cfRule type="expression" dxfId="271" priority="24">
      <formula>$F807="ANULADA"</formula>
    </cfRule>
    <cfRule type="expression" dxfId="270" priority="23">
      <formula>$F807="TERMINADA"</formula>
    </cfRule>
  </conditionalFormatting>
  <conditionalFormatting sqref="J587:K588">
    <cfRule type="expression" dxfId="269" priority="102" stopIfTrue="1">
      <formula>$S$34=1</formula>
    </cfRule>
  </conditionalFormatting>
  <conditionalFormatting sqref="J589:K596">
    <cfRule type="expression" dxfId="268" priority="101" stopIfTrue="1">
      <formula>$S588=1</formula>
    </cfRule>
    <cfRule type="expression" dxfId="267" priority="100" stopIfTrue="1">
      <formula>$S589=1</formula>
    </cfRule>
  </conditionalFormatting>
  <conditionalFormatting sqref="J669:K669">
    <cfRule type="expression" dxfId="266" priority="65" stopIfTrue="1">
      <formula>$S$34=1</formula>
    </cfRule>
  </conditionalFormatting>
  <conditionalFormatting sqref="J676:K678">
    <cfRule type="expression" dxfId="265" priority="63" stopIfTrue="1">
      <formula>$S676=1</formula>
    </cfRule>
    <cfRule type="expression" dxfId="264" priority="64" stopIfTrue="1">
      <formula>$S675=1</formula>
    </cfRule>
  </conditionalFormatting>
  <conditionalFormatting sqref="K165">
    <cfRule type="expression" dxfId="263" priority="989" stopIfTrue="1">
      <formula>$M164=1</formula>
    </cfRule>
    <cfRule type="expression" dxfId="262" priority="988" stopIfTrue="1">
      <formula>$S165=1</formula>
    </cfRule>
  </conditionalFormatting>
  <conditionalFormatting sqref="K182">
    <cfRule type="expression" dxfId="261" priority="995" stopIfTrue="1">
      <formula>$R183=1</formula>
    </cfRule>
    <cfRule type="expression" dxfId="260" priority="994" stopIfTrue="1">
      <formula>$R184=1</formula>
    </cfRule>
  </conditionalFormatting>
  <conditionalFormatting sqref="K222">
    <cfRule type="expression" dxfId="259" priority="651" stopIfTrue="1">
      <formula>$R224=1</formula>
    </cfRule>
    <cfRule type="expression" dxfId="258" priority="652" stopIfTrue="1">
      <formula>$R223=1</formula>
    </cfRule>
  </conditionalFormatting>
  <conditionalFormatting sqref="K264">
    <cfRule type="expression" dxfId="257" priority="593" stopIfTrue="1">
      <formula>$R266=1</formula>
    </cfRule>
    <cfRule type="expression" dxfId="256" priority="594" stopIfTrue="1">
      <formula>$R265=1</formula>
    </cfRule>
  </conditionalFormatting>
  <conditionalFormatting sqref="K352 Q355:XFD355">
    <cfRule type="expression" dxfId="255" priority="961" stopIfTrue="1">
      <formula>$K349=1</formula>
    </cfRule>
    <cfRule type="expression" dxfId="254" priority="962" stopIfTrue="1">
      <formula>$K348=1</formula>
    </cfRule>
  </conditionalFormatting>
  <conditionalFormatting sqref="K390">
    <cfRule type="expression" dxfId="253" priority="460" stopIfTrue="1">
      <formula>$Q389=1</formula>
    </cfRule>
  </conditionalFormatting>
  <conditionalFormatting sqref="K472:K477">
    <cfRule type="expression" dxfId="252" priority="250" stopIfTrue="1">
      <formula>$T472=1</formula>
    </cfRule>
  </conditionalFormatting>
  <conditionalFormatting sqref="K472:K478">
    <cfRule type="expression" dxfId="251" priority="251" stopIfTrue="1">
      <formula>$T471=1</formula>
    </cfRule>
  </conditionalFormatting>
  <conditionalFormatting sqref="K478:K480">
    <cfRule type="expression" dxfId="250" priority="246" stopIfTrue="1">
      <formula>$R478=1</formula>
    </cfRule>
  </conditionalFormatting>
  <conditionalFormatting sqref="K479:K481">
    <cfRule type="expression" dxfId="249" priority="247" stopIfTrue="1">
      <formula>$R478=1</formula>
    </cfRule>
  </conditionalFormatting>
  <conditionalFormatting sqref="K481:K484">
    <cfRule type="expression" dxfId="248" priority="243" stopIfTrue="1">
      <formula>$O481=1</formula>
    </cfRule>
  </conditionalFormatting>
  <conditionalFormatting sqref="K482:K484">
    <cfRule type="expression" dxfId="247" priority="244" stopIfTrue="1">
      <formula>$O481=1</formula>
    </cfRule>
  </conditionalFormatting>
  <conditionalFormatting sqref="K485">
    <cfRule type="expression" dxfId="246" priority="248" stopIfTrue="1">
      <formula>$O486=1</formula>
    </cfRule>
  </conditionalFormatting>
  <conditionalFormatting sqref="K485:K486">
    <cfRule type="expression" dxfId="245" priority="249" stopIfTrue="1">
      <formula>$O485=1</formula>
    </cfRule>
  </conditionalFormatting>
  <conditionalFormatting sqref="K487:K494">
    <cfRule type="expression" dxfId="244" priority="245" stopIfTrue="1">
      <formula>$R487=1</formula>
    </cfRule>
  </conditionalFormatting>
  <conditionalFormatting sqref="K670">
    <cfRule type="expression" dxfId="243" priority="56" stopIfTrue="1">
      <formula>$S$34=1</formula>
    </cfRule>
  </conditionalFormatting>
  <conditionalFormatting sqref="K671:K675">
    <cfRule type="expression" dxfId="242" priority="54" stopIfTrue="1">
      <formula>$S671=1</formula>
    </cfRule>
    <cfRule type="expression" dxfId="241" priority="55" stopIfTrue="1">
      <formula>$S670=1</formula>
    </cfRule>
  </conditionalFormatting>
  <conditionalFormatting sqref="K754:L755">
    <cfRule type="expression" dxfId="240" priority="13" stopIfTrue="1">
      <formula>$S$34=1</formula>
    </cfRule>
  </conditionalFormatting>
  <conditionalFormatting sqref="K756:L777">
    <cfRule type="expression" dxfId="239" priority="12" stopIfTrue="1">
      <formula>$T755=1</formula>
    </cfRule>
    <cfRule type="expression" dxfId="238" priority="11" stopIfTrue="1">
      <formula>$T756=1</formula>
    </cfRule>
  </conditionalFormatting>
  <conditionalFormatting sqref="K352:P352">
    <cfRule type="expression" dxfId="237" priority="953" stopIfTrue="1">
      <formula>$K352=1</formula>
    </cfRule>
    <cfRule type="expression" dxfId="236" priority="954" stopIfTrue="1">
      <formula>$K351=1</formula>
    </cfRule>
  </conditionalFormatting>
  <conditionalFormatting sqref="L136">
    <cfRule type="expression" dxfId="235" priority="780" stopIfTrue="1">
      <formula>$T$34=1</formula>
    </cfRule>
  </conditionalFormatting>
  <conditionalFormatting sqref="L137:L144">
    <cfRule type="expression" dxfId="234" priority="779" stopIfTrue="1">
      <formula>$T136=1</formula>
    </cfRule>
    <cfRule type="expression" dxfId="233" priority="778" stopIfTrue="1">
      <formula>$T137=1</formula>
    </cfRule>
  </conditionalFormatting>
  <conditionalFormatting sqref="L151">
    <cfRule type="expression" dxfId="232" priority="706" stopIfTrue="1">
      <formula>$T151=1</formula>
    </cfRule>
    <cfRule type="expression" dxfId="231" priority="705" stopIfTrue="1">
      <formula>$T152=1</formula>
    </cfRule>
  </conditionalFormatting>
  <conditionalFormatting sqref="L152">
    <cfRule type="expression" dxfId="230" priority="717" stopIfTrue="1">
      <formula>$T152=1</formula>
    </cfRule>
    <cfRule type="expression" dxfId="229" priority="718" stopIfTrue="1">
      <formula>$T151=1</formula>
    </cfRule>
  </conditionalFormatting>
  <conditionalFormatting sqref="L153">
    <cfRule type="expression" dxfId="228" priority="970" stopIfTrue="1">
      <formula>$T154=1</formula>
    </cfRule>
    <cfRule type="expression" dxfId="227" priority="971" stopIfTrue="1">
      <formula>$T153=1</formula>
    </cfRule>
  </conditionalFormatting>
  <conditionalFormatting sqref="L154">
    <cfRule type="expression" dxfId="226" priority="972" stopIfTrue="1">
      <formula>$L161=1</formula>
    </cfRule>
    <cfRule type="expression" dxfId="225" priority="973" stopIfTrue="1">
      <formula>$L160=1</formula>
    </cfRule>
  </conditionalFormatting>
  <conditionalFormatting sqref="L355">
    <cfRule type="expression" dxfId="224" priority="483" stopIfTrue="1">
      <formula>$T$34=1</formula>
    </cfRule>
  </conditionalFormatting>
  <conditionalFormatting sqref="L356:L357">
    <cfRule type="expression" dxfId="223" priority="551" stopIfTrue="1">
      <formula>$T355=1</formula>
    </cfRule>
    <cfRule type="expression" dxfId="222" priority="550" stopIfTrue="1">
      <formula>$T356=1</formula>
    </cfRule>
  </conditionalFormatting>
  <conditionalFormatting sqref="L358">
    <cfRule type="expression" dxfId="221" priority="1016" stopIfTrue="1">
      <formula>$T359=1</formula>
    </cfRule>
    <cfRule type="expression" dxfId="220" priority="1017" stopIfTrue="1">
      <formula>$T358=1</formula>
    </cfRule>
  </conditionalFormatting>
  <conditionalFormatting sqref="L359:L361">
    <cfRule type="expression" dxfId="219" priority="1019" stopIfTrue="1">
      <formula>$T362=1</formula>
    </cfRule>
    <cfRule type="expression" dxfId="218" priority="1020" stopIfTrue="1">
      <formula>$T361=1</formula>
    </cfRule>
  </conditionalFormatting>
  <conditionalFormatting sqref="L362 A442:A444 C442:D444">
    <cfRule type="expression" dxfId="217" priority="1026" stopIfTrue="1">
      <formula>$T364=1</formula>
    </cfRule>
  </conditionalFormatting>
  <conditionalFormatting sqref="L362:L363">
    <cfRule type="expression" dxfId="216" priority="1025" stopIfTrue="1">
      <formula>$Q365=1</formula>
    </cfRule>
  </conditionalFormatting>
  <conditionalFormatting sqref="L363">
    <cfRule type="expression" dxfId="215" priority="1027" stopIfTrue="1">
      <formula>$Q365=1</formula>
    </cfRule>
  </conditionalFormatting>
  <conditionalFormatting sqref="L449">
    <cfRule type="expression" dxfId="214" priority="415" stopIfTrue="1">
      <formula>$T$34=1</formula>
    </cfRule>
  </conditionalFormatting>
  <conditionalFormatting sqref="L450:L452">
    <cfRule type="expression" dxfId="213" priority="414" stopIfTrue="1">
      <formula>$T449=1</formula>
    </cfRule>
  </conditionalFormatting>
  <conditionalFormatting sqref="L450:L458">
    <cfRule type="expression" dxfId="212" priority="407" stopIfTrue="1">
      <formula>$T450=1</formula>
    </cfRule>
  </conditionalFormatting>
  <conditionalFormatting sqref="L453">
    <cfRule type="expression" dxfId="211" priority="408" stopIfTrue="1">
      <formula>$T451=1</formula>
    </cfRule>
  </conditionalFormatting>
  <conditionalFormatting sqref="L454 L517">
    <cfRule type="expression" dxfId="210" priority="1038" stopIfTrue="1">
      <formula>$T451=1</formula>
    </cfRule>
  </conditionalFormatting>
  <conditionalFormatting sqref="L459:L462">
    <cfRule type="expression" dxfId="209" priority="1036" stopIfTrue="1">
      <formula>$T460=1</formula>
    </cfRule>
    <cfRule type="expression" dxfId="208" priority="1035" stopIfTrue="1">
      <formula>$T461=1</formula>
    </cfRule>
  </conditionalFormatting>
  <conditionalFormatting sqref="L504">
    <cfRule type="expression" dxfId="207" priority="325" stopIfTrue="1">
      <formula>$T$34=1</formula>
    </cfRule>
  </conditionalFormatting>
  <conditionalFormatting sqref="L505:L506">
    <cfRule type="expression" dxfId="206" priority="324" stopIfTrue="1">
      <formula>$T505=1</formula>
    </cfRule>
  </conditionalFormatting>
  <conditionalFormatting sqref="L507">
    <cfRule type="expression" dxfId="205" priority="288" stopIfTrue="1">
      <formula>$T$34=1</formula>
    </cfRule>
  </conditionalFormatting>
  <conditionalFormatting sqref="L508:L510">
    <cfRule type="expression" dxfId="204" priority="287" stopIfTrue="1">
      <formula>$T507=1</formula>
    </cfRule>
  </conditionalFormatting>
  <conditionalFormatting sqref="L508:L518">
    <cfRule type="expression" dxfId="203" priority="282" stopIfTrue="1">
      <formula>$T508=1</formula>
    </cfRule>
  </conditionalFormatting>
  <conditionalFormatting sqref="L511">
    <cfRule type="expression" dxfId="202" priority="283" stopIfTrue="1">
      <formula>$T509=1</formula>
    </cfRule>
  </conditionalFormatting>
  <conditionalFormatting sqref="L512">
    <cfRule type="expression" dxfId="201" priority="338" stopIfTrue="1">
      <formula>$T509=1</formula>
    </cfRule>
  </conditionalFormatting>
  <conditionalFormatting sqref="N151">
    <cfRule type="expression" dxfId="200" priority="703" stopIfTrue="1">
      <formula>$T152=1</formula>
    </cfRule>
    <cfRule type="expression" dxfId="199" priority="704" stopIfTrue="1">
      <formula>$T151=1</formula>
    </cfRule>
  </conditionalFormatting>
  <conditionalFormatting sqref="N152">
    <cfRule type="expression" dxfId="198" priority="715" stopIfTrue="1">
      <formula>$T152=1</formula>
    </cfRule>
    <cfRule type="expression" dxfId="197" priority="716" stopIfTrue="1">
      <formula>$T151=1</formula>
    </cfRule>
  </conditionalFormatting>
  <conditionalFormatting sqref="N153">
    <cfRule type="expression" dxfId="196" priority="974" stopIfTrue="1">
      <formula>$L162=1</formula>
    </cfRule>
    <cfRule type="expression" dxfId="195" priority="711" stopIfTrue="1">
      <formula>#REF!=1</formula>
    </cfRule>
  </conditionalFormatting>
  <conditionalFormatting sqref="P151">
    <cfRule type="expression" dxfId="194" priority="702" stopIfTrue="1">
      <formula>$T151=1</formula>
    </cfRule>
    <cfRule type="expression" dxfId="193" priority="701" stopIfTrue="1">
      <formula>$T152=1</formula>
    </cfRule>
  </conditionalFormatting>
  <conditionalFormatting sqref="P152">
    <cfRule type="expression" dxfId="192" priority="713" stopIfTrue="1">
      <formula>$T152=1</formula>
    </cfRule>
    <cfRule type="expression" dxfId="191" priority="714" stopIfTrue="1">
      <formula>$T151=1</formula>
    </cfRule>
  </conditionalFormatting>
  <conditionalFormatting sqref="P153">
    <cfRule type="expression" dxfId="190" priority="975" stopIfTrue="1">
      <formula>$T154=1</formula>
    </cfRule>
  </conditionalFormatting>
  <conditionalFormatting sqref="P153:P155">
    <cfRule type="expression" dxfId="189" priority="985" stopIfTrue="1">
      <formula>$M155=1</formula>
    </cfRule>
  </conditionalFormatting>
  <conditionalFormatting sqref="P154 P157">
    <cfRule type="expression" dxfId="188" priority="708" stopIfTrue="1">
      <formula>#REF!=1</formula>
    </cfRule>
  </conditionalFormatting>
  <conditionalFormatting sqref="P155">
    <cfRule type="expression" dxfId="187" priority="986" stopIfTrue="1">
      <formula>$M156=1</formula>
    </cfRule>
  </conditionalFormatting>
  <conditionalFormatting sqref="P156">
    <cfRule type="expression" dxfId="186" priority="976" stopIfTrue="1">
      <formula>$M159=1</formula>
    </cfRule>
    <cfRule type="expression" dxfId="185" priority="977" stopIfTrue="1">
      <formula>$M158=1</formula>
    </cfRule>
  </conditionalFormatting>
  <conditionalFormatting sqref="P157">
    <cfRule type="expression" dxfId="184" priority="983" stopIfTrue="1">
      <formula>$L160=1</formula>
    </cfRule>
  </conditionalFormatting>
  <conditionalFormatting sqref="P158">
    <cfRule type="expression" dxfId="183" priority="707" stopIfTrue="1">
      <formula>$L162=1</formula>
    </cfRule>
    <cfRule type="expression" dxfId="182" priority="982" stopIfTrue="1">
      <formula>$L163=1</formula>
    </cfRule>
  </conditionalFormatting>
  <conditionalFormatting sqref="P159">
    <cfRule type="expression" dxfId="181" priority="709" stopIfTrue="1">
      <formula>$L163=1</formula>
    </cfRule>
    <cfRule type="expression" dxfId="180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29" zoomScale="75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321" t="s">
        <v>87</v>
      </c>
      <c r="B4" s="321"/>
      <c r="C4" s="321"/>
      <c r="D4" s="321"/>
      <c r="E4" s="321"/>
      <c r="F4" s="321"/>
      <c r="G4" s="321"/>
      <c r="H4" s="321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179" priority="20" stopIfTrue="1">
      <formula>#REF!=1</formula>
    </cfRule>
  </conditionalFormatting>
  <conditionalFormatting sqref="A7:A31 C7:D31 I8:J31">
    <cfRule type="expression" dxfId="178" priority="14" stopIfTrue="1">
      <formula>$T7=1</formula>
    </cfRule>
    <cfRule type="expression" dxfId="177" priority="15" stopIfTrue="1">
      <formula>$T6=1</formula>
    </cfRule>
  </conditionalFormatting>
  <conditionalFormatting sqref="A32 C32:D32">
    <cfRule type="expression" dxfId="176" priority="1133" stopIfTrue="1">
      <formula>$T31=1</formula>
    </cfRule>
  </conditionalFormatting>
  <conditionalFormatting sqref="A32:A50 C32:D51">
    <cfRule type="expression" dxfId="175" priority="18" stopIfTrue="1">
      <formula>$S32=1</formula>
    </cfRule>
  </conditionalFormatting>
  <conditionalFormatting sqref="A33:A50 C33:D51">
    <cfRule type="expression" dxfId="174" priority="19" stopIfTrue="1">
      <formula>$S32=1</formula>
    </cfRule>
  </conditionalFormatting>
  <conditionalFormatting sqref="A51">
    <cfRule type="expression" dxfId="173" priority="1" stopIfTrue="1">
      <formula>$T51=1</formula>
    </cfRule>
    <cfRule type="expression" dxfId="172" priority="2" stopIfTrue="1">
      <formula>$T50=1</formula>
    </cfRule>
  </conditionalFormatting>
  <conditionalFormatting sqref="C6:D6">
    <cfRule type="expression" dxfId="171" priority="17" stopIfTrue="1">
      <formula>#REF!=1</formula>
    </cfRule>
  </conditionalFormatting>
  <conditionalFormatting sqref="E6:E28">
    <cfRule type="expression" dxfId="170" priority="1125" stopIfTrue="1">
      <formula>$S9=1</formula>
    </cfRule>
  </conditionalFormatting>
  <conditionalFormatting sqref="E6:E47">
    <cfRule type="expression" dxfId="169" priority="39" stopIfTrue="1">
      <formula>#REF!=1</formula>
    </cfRule>
  </conditionalFormatting>
  <conditionalFormatting sqref="E29:E47">
    <cfRule type="expression" dxfId="168" priority="40" stopIfTrue="1">
      <formula>$R32=1</formula>
    </cfRule>
  </conditionalFormatting>
  <conditionalFormatting sqref="E40:E47">
    <cfRule type="expression" dxfId="167" priority="1066" stopIfTrue="1">
      <formula>$R43=1</formula>
    </cfRule>
  </conditionalFormatting>
  <conditionalFormatting sqref="E40:E51">
    <cfRule type="expression" dxfId="166" priority="952" stopIfTrue="1">
      <formula>#REF!=1</formula>
    </cfRule>
  </conditionalFormatting>
  <conditionalFormatting sqref="E48:E51">
    <cfRule type="expression" dxfId="165" priority="1135" stopIfTrue="1">
      <formula>$R52=1</formula>
    </cfRule>
    <cfRule type="expression" dxfId="164" priority="1134" stopIfTrue="1">
      <formula>#REF!=1</formula>
    </cfRule>
    <cfRule type="expression" dxfId="163" priority="1069" stopIfTrue="1">
      <formula>$R52=1</formula>
    </cfRule>
  </conditionalFormatting>
  <conditionalFormatting sqref="F6">
    <cfRule type="expression" dxfId="162" priority="1127" stopIfTrue="1">
      <formula>$T5=1</formula>
    </cfRule>
  </conditionalFormatting>
  <conditionalFormatting sqref="F6:F31">
    <cfRule type="expression" dxfId="161" priority="1126" stopIfTrue="1">
      <formula>$U6=1</formula>
    </cfRule>
  </conditionalFormatting>
  <conditionalFormatting sqref="F7:F32">
    <cfRule type="expression" dxfId="160" priority="1129" stopIfTrue="1">
      <formula>$U6=1</formula>
    </cfRule>
  </conditionalFormatting>
  <conditionalFormatting sqref="F32:F51">
    <cfRule type="expression" dxfId="159" priority="800" stopIfTrue="1">
      <formula>$T32=1</formula>
    </cfRule>
  </conditionalFormatting>
  <conditionalFormatting sqref="F33:F51">
    <cfRule type="expression" dxfId="158" priority="801" stopIfTrue="1">
      <formula>$T32=1</formula>
    </cfRule>
  </conditionalFormatting>
  <conditionalFormatting sqref="F40:F51">
    <cfRule type="expression" dxfId="157" priority="807" stopIfTrue="1">
      <formula>$T39=1</formula>
    </cfRule>
    <cfRule type="expression" dxfId="156" priority="806" stopIfTrue="1">
      <formula>$T40=1</formula>
    </cfRule>
  </conditionalFormatting>
  <conditionalFormatting sqref="G59:H63 J59:J63 A59:D87">
    <cfRule type="expression" dxfId="155" priority="9">
      <formula>$F59="TERMINADA"</formula>
    </cfRule>
    <cfRule type="expression" dxfId="154" priority="10">
      <formula>$F59="ANULADA"</formula>
    </cfRule>
  </conditionalFormatting>
  <conditionalFormatting sqref="H5">
    <cfRule type="expression" dxfId="153" priority="35" stopIfTrue="1">
      <formula>#REF!=1</formula>
    </cfRule>
  </conditionalFormatting>
  <conditionalFormatting sqref="H6">
    <cfRule type="expression" dxfId="152" priority="935" stopIfTrue="1">
      <formula>$T5=1</formula>
    </cfRule>
  </conditionalFormatting>
  <conditionalFormatting sqref="H6:H26">
    <cfRule type="expression" dxfId="151" priority="36" stopIfTrue="1">
      <formula>$U6=1</formula>
    </cfRule>
  </conditionalFormatting>
  <conditionalFormatting sqref="H7:H21 H23:H26">
    <cfRule type="expression" dxfId="150" priority="37" stopIfTrue="1">
      <formula>$U6=1</formula>
    </cfRule>
  </conditionalFormatting>
  <conditionalFormatting sqref="H22">
    <cfRule type="expression" dxfId="149" priority="38" stopIfTrue="1">
      <formula>#REF!=1</formula>
    </cfRule>
  </conditionalFormatting>
  <conditionalFormatting sqref="I6:I7">
    <cfRule type="expression" dxfId="148" priority="16" stopIfTrue="1">
      <formula>#REF!=1</formula>
    </cfRule>
  </conditionalFormatting>
  <conditionalFormatting sqref="I59">
    <cfRule type="expression" dxfId="147" priority="28">
      <formula>#REF!="ANULADA"</formula>
    </cfRule>
    <cfRule type="expression" dxfId="146" priority="27">
      <formula>#REF!="TERMINADA"</formula>
    </cfRule>
  </conditionalFormatting>
  <conditionalFormatting sqref="I60">
    <cfRule type="expression" dxfId="145" priority="21">
      <formula>$F44="TERMINADA"</formula>
    </cfRule>
    <cfRule type="expression" dxfId="144" priority="22">
      <formula>$F44="ANULADA"</formula>
    </cfRule>
  </conditionalFormatting>
  <conditionalFormatting sqref="I61:I63 A88:D92">
    <cfRule type="expression" dxfId="143" priority="34">
      <formula>$F46="ANULADA"</formula>
    </cfRule>
    <cfRule type="expression" dxfId="142" priority="33">
      <formula>$F46="TERMINADA"</formula>
    </cfRule>
  </conditionalFormatting>
  <conditionalFormatting sqref="K6:L7">
    <cfRule type="expression" dxfId="141" priority="13" stopIfTrue="1">
      <formula>#REF!=1</formula>
    </cfRule>
  </conditionalFormatting>
  <conditionalFormatting sqref="K8:L29">
    <cfRule type="expression" dxfId="140" priority="12" stopIfTrue="1">
      <formula>$T7=1</formula>
    </cfRule>
    <cfRule type="expression" dxfId="139" priority="11" stopIfTrue="1">
      <formula>$T8=1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CAAD-F4AA-0E48-A33F-796F7923F0A9}">
  <dimension ref="A4:O105"/>
  <sheetViews>
    <sheetView showGridLines="0" topLeftCell="A49" zoomScale="67" zoomScaleNormal="131" workbookViewId="0">
      <selection activeCell="E8" sqref="E8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21" t="s">
        <v>239</v>
      </c>
      <c r="B4" s="321"/>
      <c r="C4" s="321"/>
      <c r="D4" s="321"/>
      <c r="E4" s="321"/>
      <c r="F4" s="321"/>
      <c r="G4" s="321"/>
      <c r="H4" s="321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76</v>
      </c>
      <c r="B6" s="250">
        <f>SUM(Tabla936173055235763909354663447734123[[#This Row],[Vida]],Tabla936173055235763909354663447734123[[#This Row],[Gmm]])</f>
        <v>3</v>
      </c>
      <c r="C6" s="113">
        <v>2</v>
      </c>
      <c r="D6" s="103">
        <v>11380.54</v>
      </c>
      <c r="E6" s="109">
        <f>_xlfn.XLOOKUP(Tabla936173055235763909354663447734123[[#This Row],[Asesor]],Tabla4851894224[Columna1],Tabla4851894224[Columna12],0)</f>
        <v>1</v>
      </c>
      <c r="F6" s="274">
        <f>_xlfn.XLOOKUP(Tabla936173055235763909354663447734123[[#This Row],[Asesor]],Tabla4851894224[Columna1],Tabla4851894224[Columna3],0)</f>
        <v>182186.96</v>
      </c>
      <c r="G6" s="254">
        <f>SUM(Tabla936173055235763909354663447734123[[#This Row],[Prima Pagada vida]],Tabla936173055235763909354663447734123[[#This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43</v>
      </c>
      <c r="B7" s="250">
        <f>SUM(Tabla936173055235763909354663447734123[[#This Row],[Vida]],Tabla936173055235763909354663447734123[[#This Row],[Gmm]])</f>
        <v>2.5</v>
      </c>
      <c r="C7" s="113">
        <v>0</v>
      </c>
      <c r="D7" s="103">
        <v>0</v>
      </c>
      <c r="E7" s="109">
        <f>_xlfn.XLOOKUP(Tabla936173055235763909354663447734123[[#This Row],[Asesor]],Tabla4851894224[Columna1],Tabla4851894224[Columna12],0)</f>
        <v>2.5</v>
      </c>
      <c r="F7" s="274">
        <f>_xlfn.XLOOKUP(Tabla936173055235763909354663447734123[[#This Row],[Asesor]],Tabla4851894224[Columna1],Tabla4851894224[Columna3],0)</f>
        <v>54265.49</v>
      </c>
      <c r="G7" s="254">
        <f>SUM(Tabla936173055235763909354663447734123[[#This Row],[Prima Pagada vida]],Tabla936173055235763909354663447734123[[#This Row],[Prima Pagada gmm]])</f>
        <v>54265.49</v>
      </c>
      <c r="H7" s="112"/>
      <c r="I7" s="300" t="s">
        <v>76</v>
      </c>
      <c r="J7" s="112">
        <f>Tabla4851894224[[#This Row],[Columna2]]/2</f>
        <v>1</v>
      </c>
      <c r="K7" s="301">
        <v>2</v>
      </c>
      <c r="L7" s="302">
        <v>182186.96</v>
      </c>
      <c r="N7" s="106" t="s">
        <v>132</v>
      </c>
      <c r="O7" s="1" t="s">
        <v>182</v>
      </c>
    </row>
    <row r="8" spans="1:15" ht="13" x14ac:dyDescent="0.15">
      <c r="A8" s="300" t="s">
        <v>10</v>
      </c>
      <c r="B8" s="250">
        <f>SUM(Tabla936173055235763909354663447734123[[#This Row],[Vida]],Tabla936173055235763909354663447734123[[#This Row],[Gmm]])</f>
        <v>2.5</v>
      </c>
      <c r="C8" s="113">
        <v>2</v>
      </c>
      <c r="D8" s="103">
        <v>96052.28</v>
      </c>
      <c r="E8" s="109">
        <f>_xlfn.XLOOKUP(Tabla936173055235763909354663447734123[[#This Row],[Asesor]],Tabla4851894224[Columna1],Tabla4851894224[Columna12],0)</f>
        <v>0.5</v>
      </c>
      <c r="F8" s="274">
        <f>_xlfn.XLOOKUP(Tabla936173055235763909354663447734123[[#This Row],[Asesor]],Tabla4851894224[Columna1],Tabla4851894224[Columna3],0)</f>
        <v>35721.82</v>
      </c>
      <c r="G8" s="254">
        <f>SUM(Tabla936173055235763909354663447734123[[#This Row],[Prima Pagada vida]],Tabla936173055235763909354663447734123[[#This Row],[Prima Pagada gmm]])</f>
        <v>131774.1</v>
      </c>
      <c r="H8" s="112"/>
      <c r="I8" s="300" t="s">
        <v>13</v>
      </c>
      <c r="J8" s="112">
        <f>Tabla4851894224[[#This Row],[Columna2]]/2</f>
        <v>0.5</v>
      </c>
      <c r="K8" s="301">
        <v>1</v>
      </c>
      <c r="L8" s="302">
        <v>34372.230000000003</v>
      </c>
      <c r="N8" s="106" t="s">
        <v>134</v>
      </c>
      <c r="O8" s="1" t="s">
        <v>118</v>
      </c>
    </row>
    <row r="9" spans="1:15" ht="13" x14ac:dyDescent="0.15">
      <c r="A9" s="300" t="s">
        <v>13</v>
      </c>
      <c r="B9" s="250">
        <f>SUM(Tabla936173055235763909354663447734123[[#This Row],[Vida]],Tabla936173055235763909354663447734123[[#This Row],[Gmm]])</f>
        <v>6.5</v>
      </c>
      <c r="C9" s="113">
        <v>6</v>
      </c>
      <c r="D9" s="103">
        <v>308451.52</v>
      </c>
      <c r="E9" s="109">
        <f>_xlfn.XLOOKUP(Tabla936173055235763909354663447734123[[#This Row],[Asesor]],Tabla4851894224[Columna1],Tabla4851894224[Columna12],0)</f>
        <v>0.5</v>
      </c>
      <c r="F9" s="274">
        <f>_xlfn.XLOOKUP(Tabla936173055235763909354663447734123[[#This Row],[Asesor]],Tabla4851894224[Columna1],Tabla4851894224[Columna3],0)</f>
        <v>34372.230000000003</v>
      </c>
      <c r="G9" s="254">
        <f>SUM(Tabla936173055235763909354663447734123[[#This Row],[Prima Pagada vida]],Tabla936173055235763909354663447734123[[#This Row],[Prima Pagada gmm]])</f>
        <v>342823.75</v>
      </c>
      <c r="H9" s="112"/>
      <c r="I9" s="300" t="s">
        <v>43</v>
      </c>
      <c r="J9" s="112">
        <f>Tabla4851894224[[#This Row],[Columna2]]/2</f>
        <v>2.5</v>
      </c>
      <c r="K9" s="301">
        <v>5</v>
      </c>
      <c r="L9" s="302">
        <v>54265.49</v>
      </c>
      <c r="N9" s="106" t="s">
        <v>136</v>
      </c>
      <c r="O9" s="1" t="s">
        <v>182</v>
      </c>
    </row>
    <row r="10" spans="1:15" x14ac:dyDescent="0.15">
      <c r="A10" s="300" t="s">
        <v>32</v>
      </c>
      <c r="B10" s="250">
        <f>SUM(Tabla936173055235763909354663447734123[[#This Row],[Vida]],Tabla936173055235763909354663447734123[[#This Row],[Gmm]])</f>
        <v>1.5</v>
      </c>
      <c r="C10" s="113">
        <v>1</v>
      </c>
      <c r="D10" s="103">
        <v>0</v>
      </c>
      <c r="E10" s="109">
        <f>_xlfn.XLOOKUP(Tabla936173055235763909354663447734123[[#This Row],[Asesor]],Tabla4851894224[Columna1],Tabla4851894224[Columna12],0)</f>
        <v>0.5</v>
      </c>
      <c r="F10" s="274">
        <f>_xlfn.XLOOKUP(Tabla936173055235763909354663447734123[[#This Row],[Asesor]],Tabla4851894224[Columna1],Tabla4851894224[Columna3],0)</f>
        <v>24780</v>
      </c>
      <c r="G10" s="279">
        <f>SUM(Tabla936173055235763909354663447734123[[#This Row],[Prima Pagada vida]],Tabla936173055235763909354663447734123[[#This Row],[Prima Pagada gmm]])</f>
        <v>24780</v>
      </c>
      <c r="H10" s="112"/>
      <c r="I10" s="300" t="s">
        <v>10</v>
      </c>
      <c r="J10" s="112">
        <f>Tabla4851894224[[#This Row],[Columna2]]/2</f>
        <v>0.5</v>
      </c>
      <c r="K10" s="301">
        <v>1</v>
      </c>
      <c r="L10" s="302">
        <v>35721.82</v>
      </c>
      <c r="N10" s="106" t="s">
        <v>137</v>
      </c>
      <c r="O10" s="1" t="s">
        <v>126</v>
      </c>
    </row>
    <row r="11" spans="1:15" ht="13" x14ac:dyDescent="0.15">
      <c r="A11" s="300" t="s">
        <v>78</v>
      </c>
      <c r="B11" s="250">
        <f>SUM(Tabla936173055235763909354663447734123[[#This Row],[Vida]],Tabla936173055235763909354663447734123[[#This Row],[Gmm]])</f>
        <v>1</v>
      </c>
      <c r="C11" s="113">
        <v>0</v>
      </c>
      <c r="D11" s="103">
        <v>0</v>
      </c>
      <c r="E11" s="109">
        <f>_xlfn.XLOOKUP(Tabla936173055235763909354663447734123[[#This Row],[Asesor]],Tabla4851894224[Columna1],Tabla4851894224[Columna12],0)</f>
        <v>1</v>
      </c>
      <c r="F11" s="274">
        <f>_xlfn.XLOOKUP(Tabla936173055235763909354663447734123[[#This Row],[Asesor]],Tabla4851894224[Columna1],Tabla4851894224[Columna3],0)</f>
        <v>6734.74</v>
      </c>
      <c r="G11" s="254">
        <f>SUM(Tabla936173055235763909354663447734123[[#This Row],[Prima Pagada vida]],Tabla936173055235763909354663447734123[[#This Row],[Prima Pagada gmm]])</f>
        <v>6734.74</v>
      </c>
      <c r="H11" s="112"/>
      <c r="I11" s="300" t="s">
        <v>32</v>
      </c>
      <c r="J11" s="112">
        <f>Tabla4851894224[[#This Row],[Columna2]]/2</f>
        <v>0.5</v>
      </c>
      <c r="K11" s="301">
        <v>1</v>
      </c>
      <c r="L11" s="302">
        <v>24780</v>
      </c>
      <c r="N11" s="106" t="s">
        <v>138</v>
      </c>
      <c r="O11" s="1" t="s">
        <v>237</v>
      </c>
    </row>
    <row r="12" spans="1:15" ht="13" x14ac:dyDescent="0.15">
      <c r="A12" s="300" t="s">
        <v>224</v>
      </c>
      <c r="B12" s="250">
        <f>SUM(Tabla936173055235763909354663447734123[[#This Row],[Vida]],Tabla936173055235763909354663447734123[[#This Row],[Gmm]])</f>
        <v>2</v>
      </c>
      <c r="C12" s="113">
        <v>1</v>
      </c>
      <c r="D12" s="103">
        <v>1188.9100000000001</v>
      </c>
      <c r="E12" s="109">
        <f>_xlfn.XLOOKUP(Tabla936173055235763909354663447734123[[#This Row],[Asesor]],Tabla4851894224[Columna1],Tabla4851894224[Columna12],0)</f>
        <v>1</v>
      </c>
      <c r="F12" s="274">
        <f>_xlfn.XLOOKUP(Tabla936173055235763909354663447734123[[#This Row],[Asesor]],Tabla4851894224[Columna1],Tabla4851894224[Columna3],0)</f>
        <v>5295.33</v>
      </c>
      <c r="G12" s="254">
        <f>SUM(Tabla936173055235763909354663447734123[[#This Row],[Prima Pagada vida]],Tabla936173055235763909354663447734123[[#This Row],[Prima Pagada gmm]])</f>
        <v>6484.24</v>
      </c>
      <c r="H12" s="112"/>
      <c r="I12" s="300" t="s">
        <v>29</v>
      </c>
      <c r="J12" s="112">
        <f>Tabla4851894224[[#This Row],[Columna2]]/2</f>
        <v>0.5</v>
      </c>
      <c r="K12" s="301">
        <v>1</v>
      </c>
      <c r="L12" s="302">
        <v>3285.35</v>
      </c>
      <c r="N12" s="106" t="s">
        <v>140</v>
      </c>
      <c r="O12" s="1" t="s">
        <v>238</v>
      </c>
    </row>
    <row r="13" spans="1:15" ht="13" x14ac:dyDescent="0.15">
      <c r="A13" s="300" t="s">
        <v>29</v>
      </c>
      <c r="B13" s="250">
        <f>SUM(Tabla936173055235763909354663447734123[[#This Row],[Vida]],Tabla936173055235763909354663447734123[[#This Row],[Gmm]])</f>
        <v>3.5</v>
      </c>
      <c r="C13" s="113">
        <v>3</v>
      </c>
      <c r="D13" s="103">
        <v>5872.79</v>
      </c>
      <c r="E13" s="109">
        <f>_xlfn.XLOOKUP(Tabla936173055235763909354663447734123[[#This Row],[Asesor]],Tabla4851894224[Columna1],Tabla4851894224[Columna12],0)</f>
        <v>0.5</v>
      </c>
      <c r="F13" s="274">
        <f>_xlfn.XLOOKUP(Tabla936173055235763909354663447734123[[#This Row],[Asesor]],Tabla4851894224[Columna1],Tabla4851894224[Columna3],0)</f>
        <v>3285.35</v>
      </c>
      <c r="G13" s="254">
        <f>SUM(Tabla936173055235763909354663447734123[[#This Row],[Prima Pagada vida]],Tabla936173055235763909354663447734123[[#This Row],[Prima Pagada gmm]])</f>
        <v>9158.14</v>
      </c>
      <c r="H13" s="112"/>
      <c r="I13" s="300" t="s">
        <v>78</v>
      </c>
      <c r="J13" s="112">
        <f>Tabla4851894224[[#This Row],[Columna2]]/2</f>
        <v>1</v>
      </c>
      <c r="K13" s="301">
        <v>2</v>
      </c>
      <c r="L13" s="302">
        <v>6734.74</v>
      </c>
      <c r="N13" s="106" t="s">
        <v>141</v>
      </c>
      <c r="O13" s="1" t="s">
        <v>237</v>
      </c>
    </row>
    <row r="14" spans="1:15" ht="13" x14ac:dyDescent="0.15">
      <c r="A14" s="300" t="s">
        <v>12</v>
      </c>
      <c r="B14" s="250">
        <f>SUM(Tabla936173055235763909354663447734123[[#This Row],[Vida]],Tabla936173055235763909354663447734123[[#This Row],[Gmm]])</f>
        <v>4</v>
      </c>
      <c r="C14" s="113">
        <v>4</v>
      </c>
      <c r="D14" s="103">
        <v>1421726.6</v>
      </c>
      <c r="E14" s="109">
        <f>_xlfn.XLOOKUP(Tabla936173055235763909354663447734123[[#This Row],[Asesor]],Tabla4851894224[Columna1],Tabla4851894224[Columna12],0)</f>
        <v>0</v>
      </c>
      <c r="F14" s="274">
        <f>_xlfn.XLOOKUP(Tabla936173055235763909354663447734123[[#This Row],[Asesor]],Tabla4851894224[Columna1],Tabla4851894224[Columna3],0)</f>
        <v>0</v>
      </c>
      <c r="G14" s="254">
        <f>SUM(Tabla936173055235763909354663447734123[[#This Row],[Prima Pagada vida]],Tabla936173055235763909354663447734123[[#This Row],[Prima Pagada gmm]])</f>
        <v>1421726.6</v>
      </c>
      <c r="H14" s="112"/>
      <c r="I14" s="300" t="s">
        <v>49</v>
      </c>
      <c r="J14" s="112">
        <f>Tabla4851894224[[#This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31</v>
      </c>
      <c r="B15" s="250">
        <f>SUM(Tabla936173055235763909354663447734123[[#This Row],[Vida]],Tabla936173055235763909354663447734123[[#This Row],[Gmm]])</f>
        <v>1</v>
      </c>
      <c r="C15" s="113">
        <v>1</v>
      </c>
      <c r="D15" s="103">
        <v>191362.05</v>
      </c>
      <c r="E15" s="109">
        <f>_xlfn.XLOOKUP(Tabla936173055235763909354663447734123[[#This Row],[Asesor]],Tabla4851894224[Columna1],Tabla4851894224[Columna12],0)</f>
        <v>0</v>
      </c>
      <c r="F15" s="274">
        <f>_xlfn.XLOOKUP(Tabla936173055235763909354663447734123[[#This Row],[Asesor]],Tabla4851894224[Columna1],Tabla4851894224[Columna3],0)</f>
        <v>0</v>
      </c>
      <c r="G15" s="254">
        <f>SUM(Tabla936173055235763909354663447734123[[#This Row],[Prima Pagada vida]],Tabla936173055235763909354663447734123[[#This Row],[Prima Pagada gmm]])</f>
        <v>191362.05</v>
      </c>
      <c r="H15" s="112"/>
      <c r="I15" s="300" t="s">
        <v>26</v>
      </c>
      <c r="J15" s="112">
        <f>Tabla4851894224[[#This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11</v>
      </c>
      <c r="B16" s="250">
        <f>SUM(Tabla936173055235763909354663447734123[[#This Row],[Vida]],Tabla936173055235763909354663447734123[[#This Row],[Gmm]])</f>
        <v>1</v>
      </c>
      <c r="C16" s="113">
        <v>1</v>
      </c>
      <c r="D16" s="103">
        <v>63633.32</v>
      </c>
      <c r="E16" s="109">
        <f>_xlfn.XLOOKUP(Tabla936173055235763909354663447734123[[#This Row],[Asesor]],Tabla4851894224[Columna1],Tabla4851894224[Columna12],0)</f>
        <v>0</v>
      </c>
      <c r="F16" s="274">
        <f>_xlfn.XLOOKUP(Tabla936173055235763909354663447734123[[#This Row],[Asesor]],Tabla4851894224[Columna1],Tabla4851894224[Columna3],0)</f>
        <v>0</v>
      </c>
      <c r="G16" s="254">
        <f>SUM(Tabla936173055235763909354663447734123[[#This Row],[Prima Pagada vida]],Tabla936173055235763909354663447734123[[#This Row],[Prima Pagada gmm]])</f>
        <v>63633.32</v>
      </c>
      <c r="H16" s="112"/>
      <c r="I16" s="300" t="s">
        <v>116</v>
      </c>
      <c r="J16" s="112">
        <f>Tabla4851894224[[#This Row],[Columna2]]/2</f>
        <v>0</v>
      </c>
      <c r="K16" s="301">
        <v>0</v>
      </c>
      <c r="L16" s="302">
        <v>0</v>
      </c>
    </row>
    <row r="17" spans="1:12" ht="13" x14ac:dyDescent="0.15">
      <c r="A17" s="300" t="s">
        <v>186</v>
      </c>
      <c r="B17" s="250">
        <f>SUM(Tabla936173055235763909354663447734123[[#This Row],[Vida]],Tabla936173055235763909354663447734123[[#This Row],[Gmm]])</f>
        <v>2</v>
      </c>
      <c r="C17" s="113">
        <v>2</v>
      </c>
      <c r="D17" s="103">
        <v>52787.07</v>
      </c>
      <c r="E17" s="109">
        <f>_xlfn.XLOOKUP(Tabla936173055235763909354663447734123[[#This Row],[Asesor]],Tabla4851894224[Columna1],Tabla4851894224[Columna12],0)</f>
        <v>0</v>
      </c>
      <c r="F17" s="274">
        <f>_xlfn.XLOOKUP(Tabla936173055235763909354663447734123[[#This Row],[Asesor]],Tabla4851894224[Columna1],Tabla4851894224[Columna3],0)</f>
        <v>0</v>
      </c>
      <c r="G17" s="254">
        <f>SUM(Tabla936173055235763909354663447734123[[#This Row],[Prima Pagada vida]],Tabla936173055235763909354663447734123[[#This Row],[Prima Pagada gmm]])</f>
        <v>52787.07</v>
      </c>
      <c r="H17" s="112"/>
      <c r="I17" s="300" t="s">
        <v>110</v>
      </c>
      <c r="J17" s="112">
        <f>Tabla4851894224[[#This Row],[Columna2]]/2</f>
        <v>0</v>
      </c>
      <c r="K17" s="301">
        <v>0</v>
      </c>
      <c r="L17" s="302">
        <v>0</v>
      </c>
    </row>
    <row r="18" spans="1:12" x14ac:dyDescent="0.15">
      <c r="A18" s="300" t="s">
        <v>236</v>
      </c>
      <c r="B18" s="250">
        <f>SUM(Tabla936173055235763909354663447734123[[#This Row],[Vida]],Tabla936173055235763909354663447734123[[#This Row],[Gmm]])</f>
        <v>2</v>
      </c>
      <c r="C18" s="113">
        <v>2</v>
      </c>
      <c r="D18" s="103">
        <v>16380.01</v>
      </c>
      <c r="E18" s="109">
        <f>_xlfn.XLOOKUP(Tabla936173055235763909354663447734123[[#This Row],[Asesor]],Tabla4851894224[Columna1],Tabla4851894224[Columna12],0)</f>
        <v>0</v>
      </c>
      <c r="F18" s="274">
        <f>_xlfn.XLOOKUP(Tabla936173055235763909354663447734123[[#This Row],[Asesor]],Tabla4851894224[Columna1],Tabla4851894224[Columna3],0)</f>
        <v>0</v>
      </c>
      <c r="G18" s="279">
        <f>SUM(Tabla936173055235763909354663447734123[[#This Row],[Prima Pagada vida]],Tabla936173055235763909354663447734123[[#This Row],[Prima Pagada gmm]])</f>
        <v>16380.01</v>
      </c>
      <c r="H18" s="112"/>
      <c r="I18" s="300" t="s">
        <v>224</v>
      </c>
      <c r="J18" s="112">
        <f>Tabla4851894224[[#This Row],[Columna2]]/2</f>
        <v>1</v>
      </c>
      <c r="K18" s="301">
        <v>2</v>
      </c>
      <c r="L18" s="302">
        <v>5295.33</v>
      </c>
    </row>
    <row r="19" spans="1:12" ht="13" x14ac:dyDescent="0.15">
      <c r="A19" s="300" t="s">
        <v>30</v>
      </c>
      <c r="B19" s="250">
        <f>SUM(Tabla936173055235763909354663447734123[[#This Row],[Vida]],Tabla936173055235763909354663447734123[[#This Row],[Gmm]])</f>
        <v>4</v>
      </c>
      <c r="C19" s="113">
        <v>4</v>
      </c>
      <c r="D19" s="103">
        <v>11737.38</v>
      </c>
      <c r="E19" s="109">
        <f>_xlfn.XLOOKUP(Tabla936173055235763909354663447734123[[#This Row],[Asesor]],Tabla4851894224[Columna1],Tabla4851894224[Columna12],0)</f>
        <v>0</v>
      </c>
      <c r="F19" s="274">
        <f>_xlfn.XLOOKUP(Tabla936173055235763909354663447734123[[#This Row],[Asesor]],Tabla4851894224[Columna1],Tabla4851894224[Columna3],0)</f>
        <v>0</v>
      </c>
      <c r="G19" s="254">
        <f>SUM(Tabla936173055235763909354663447734123[[#This Row],[Prima Pagada vida]],Tabla936173055235763909354663447734123[[#This Row],[Prima Pagada gmm]])</f>
        <v>11737.38</v>
      </c>
      <c r="H19" s="112"/>
      <c r="I19" s="300"/>
      <c r="J19" s="112">
        <f>Tabla4851894224[[#This Row],[Columna2]]/2</f>
        <v>0</v>
      </c>
      <c r="K19" s="113"/>
      <c r="L19" s="103"/>
    </row>
    <row r="20" spans="1:12" ht="13" x14ac:dyDescent="0.15">
      <c r="A20" s="300" t="s">
        <v>25</v>
      </c>
      <c r="B20" s="250">
        <f>SUM(Tabla936173055235763909354663447734123[[#This Row],[Vida]],Tabla936173055235763909354663447734123[[#This Row],[Gmm]])</f>
        <v>2</v>
      </c>
      <c r="C20" s="113">
        <v>2</v>
      </c>
      <c r="D20" s="103">
        <v>11392.35</v>
      </c>
      <c r="E20" s="109">
        <f>_xlfn.XLOOKUP(Tabla936173055235763909354663447734123[[#This Row],[Asesor]],Tabla4851894224[Columna1],Tabla4851894224[Columna12],0)</f>
        <v>0</v>
      </c>
      <c r="F20" s="274">
        <f>_xlfn.XLOOKUP(Tabla936173055235763909354663447734123[[#This Row],[Asesor]],Tabla4851894224[Columna1],Tabla4851894224[Columna3],0)</f>
        <v>0</v>
      </c>
      <c r="G20" s="254">
        <f>SUM(Tabla936173055235763909354663447734123[[#This Row],[Prima Pagada vida]],Tabla936173055235763909354663447734123[[#This Row],[Prima Pagada gmm]])</f>
        <v>11392.35</v>
      </c>
      <c r="H20" s="112"/>
      <c r="I20" s="300"/>
      <c r="J20" s="112">
        <f>Tabla4851894224[[#This Row],[Columna2]]/2</f>
        <v>0</v>
      </c>
      <c r="K20" s="113"/>
      <c r="L20" s="103"/>
    </row>
    <row r="21" spans="1:12" ht="13" x14ac:dyDescent="0.15">
      <c r="A21" s="300" t="s">
        <v>26</v>
      </c>
      <c r="B21" s="250">
        <f>SUM(Tabla936173055235763909354663447734123[[#This Row],[Vida]],Tabla936173055235763909354663447734123[[#This Row],[Gmm]])</f>
        <v>1</v>
      </c>
      <c r="C21" s="113">
        <v>1</v>
      </c>
      <c r="D21" s="103">
        <v>6316.29</v>
      </c>
      <c r="E21" s="109">
        <f>_xlfn.XLOOKUP(Tabla936173055235763909354663447734123[[#This Row],[Asesor]],Tabla4851894224[Columna1],Tabla4851894224[Columna12],0)</f>
        <v>0</v>
      </c>
      <c r="F21" s="274">
        <f>_xlfn.XLOOKUP(Tabla936173055235763909354663447734123[[#This Row],[Asesor]],Tabla4851894224[Columna1],Tabla4851894224[Columna3],0)</f>
        <v>0</v>
      </c>
      <c r="G21" s="254">
        <f>SUM(Tabla936173055235763909354663447734123[[#This Row],[Prima Pagada vida]],Tabla936173055235763909354663447734123[[#This Row],[Prima Pagada gmm]])</f>
        <v>6316.29</v>
      </c>
      <c r="H21" s="112"/>
      <c r="I21" s="300"/>
      <c r="J21" s="112">
        <f>Tabla4851894224[[#This Row],[Columna2]]/2</f>
        <v>0</v>
      </c>
      <c r="K21" s="113"/>
      <c r="L21" s="103"/>
    </row>
    <row r="22" spans="1:12" ht="13" x14ac:dyDescent="0.15">
      <c r="A22" s="300" t="s">
        <v>20</v>
      </c>
      <c r="B22" s="250">
        <f>SUM(Tabla936173055235763909354663447734123[[#This Row],[Vida]],Tabla936173055235763909354663447734123[[#This Row],[Gmm]])</f>
        <v>2</v>
      </c>
      <c r="C22" s="113">
        <v>2</v>
      </c>
      <c r="D22" s="103">
        <v>3925.24</v>
      </c>
      <c r="E22" s="109">
        <f>_xlfn.XLOOKUP(Tabla936173055235763909354663447734123[[#This Row],[Asesor]],Tabla4851894224[Columna1],Tabla4851894224[Columna12],0)</f>
        <v>0</v>
      </c>
      <c r="F22" s="274">
        <f>_xlfn.XLOOKUP(Tabla936173055235763909354663447734123[[#This Row],[Asesor]],Tabla4851894224[Columna1],Tabla4851894224[Columna3],0)</f>
        <v>0</v>
      </c>
      <c r="G22" s="254">
        <f>SUM(Tabla936173055235763909354663447734123[[#This Row],[Prima Pagada vida]],Tabla936173055235763909354663447734123[[#This Row],[Prima Pagada gmm]])</f>
        <v>3925.24</v>
      </c>
      <c r="H22" s="112"/>
      <c r="I22" s="300"/>
      <c r="J22" s="112">
        <f>Tabla4851894224[[#This Row],[Columna2]]/2</f>
        <v>0</v>
      </c>
      <c r="K22" s="113"/>
      <c r="L22" s="103"/>
    </row>
    <row r="23" spans="1:12" ht="13" x14ac:dyDescent="0.15">
      <c r="A23" s="300" t="s">
        <v>130</v>
      </c>
      <c r="B23" s="250">
        <f>SUM(Tabla936173055235763909354663447734123[[#This Row],[Vida]],Tabla936173055235763909354663447734123[[#This Row],[Gmm]])</f>
        <v>2</v>
      </c>
      <c r="C23" s="113">
        <v>2</v>
      </c>
      <c r="D23" s="103">
        <v>3215.45</v>
      </c>
      <c r="E23" s="109">
        <f>_xlfn.XLOOKUP(Tabla936173055235763909354663447734123[[#This Row],[Asesor]],Tabla4851894224[Columna1],Tabla4851894224[Columna12],0)</f>
        <v>0</v>
      </c>
      <c r="F23" s="274">
        <f>_xlfn.XLOOKUP(Tabla936173055235763909354663447734123[[#This Row],[Asesor]],Tabla4851894224[Columna1],Tabla4851894224[Columna3],0)</f>
        <v>0</v>
      </c>
      <c r="G23" s="254">
        <f>SUM(Tabla936173055235763909354663447734123[[#This Row],[Prima Pagada vida]],Tabla936173055235763909354663447734123[[#This Row],[Prima Pagada gmm]])</f>
        <v>3215.45</v>
      </c>
      <c r="H23" s="112"/>
      <c r="I23" s="300"/>
      <c r="J23" s="112">
        <f>Tabla4851894224[[#This Row],[Columna2]]/2</f>
        <v>0</v>
      </c>
      <c r="K23" s="113"/>
      <c r="L23" s="103"/>
    </row>
    <row r="24" spans="1:12" ht="13" x14ac:dyDescent="0.15">
      <c r="A24" s="300" t="s">
        <v>35</v>
      </c>
      <c r="B24" s="250">
        <f>SUM(Tabla936173055235763909354663447734123[[#This Row],[Vida]],Tabla936173055235763909354663447734123[[#This Row],[Gmm]])</f>
        <v>1</v>
      </c>
      <c r="C24" s="113">
        <v>1</v>
      </c>
      <c r="D24" s="103">
        <v>3013.57</v>
      </c>
      <c r="E24" s="109">
        <f>_xlfn.XLOOKUP(Tabla936173055235763909354663447734123[[#This Row],[Asesor]],Tabla4851894224[Columna1],Tabla4851894224[Columna12],0)</f>
        <v>0</v>
      </c>
      <c r="F24" s="274">
        <f>_xlfn.XLOOKUP(Tabla936173055235763909354663447734123[[#This Row],[Asesor]],Tabla4851894224[Columna1],Tabla4851894224[Columna3],0)</f>
        <v>0</v>
      </c>
      <c r="G24" s="254">
        <f>SUM(Tabla936173055235763909354663447734123[[#This Row],[Prima Pagada vida]],Tabla936173055235763909354663447734123[[#This Row],[Prima Pagada gmm]])</f>
        <v>3013.57</v>
      </c>
      <c r="H24" s="112"/>
      <c r="I24" s="300"/>
      <c r="J24" s="112">
        <f>Tabla4851894224[[#This Row],[Columna2]]/2</f>
        <v>0</v>
      </c>
      <c r="K24" s="113"/>
      <c r="L24" s="103"/>
    </row>
    <row r="25" spans="1:12" ht="13" x14ac:dyDescent="0.15">
      <c r="A25" s="300" t="s">
        <v>85</v>
      </c>
      <c r="B25" s="250">
        <f>SUM(Tabla936173055235763909354663447734123[[#This Row],[Vida]],Tabla936173055235763909354663447734123[[#This Row],[Gmm]])</f>
        <v>1</v>
      </c>
      <c r="C25" s="113">
        <v>1</v>
      </c>
      <c r="D25" s="103">
        <v>2073.34</v>
      </c>
      <c r="E25" s="109">
        <f>_xlfn.XLOOKUP(Tabla936173055235763909354663447734123[[#This Row],[Asesor]],Tabla4851894224[Columna1],Tabla4851894224[Columna12],0)</f>
        <v>0</v>
      </c>
      <c r="F25" s="274">
        <f>_xlfn.XLOOKUP(Tabla936173055235763909354663447734123[[#This Row],[Asesor]],Tabla4851894224[Columna1],Tabla4851894224[Columna3],0)</f>
        <v>0</v>
      </c>
      <c r="G25" s="254">
        <f>SUM(Tabla936173055235763909354663447734123[[#This Row],[Prima Pagada vida]],Tabla936173055235763909354663447734123[[#This Row],[Prima Pagada gmm]])</f>
        <v>2073.34</v>
      </c>
      <c r="H25" s="112"/>
      <c r="I25" s="300"/>
      <c r="J25" s="112">
        <f>Tabla4851894224[[#This Row],[Columna2]]/2</f>
        <v>0</v>
      </c>
      <c r="K25" s="113"/>
      <c r="L25" s="103"/>
    </row>
    <row r="26" spans="1:12" ht="13" x14ac:dyDescent="0.15">
      <c r="A26" s="300" t="s">
        <v>17</v>
      </c>
      <c r="B26" s="250">
        <f>SUM(Tabla936173055235763909354663447734123[[#This Row],[Vida]],Tabla936173055235763909354663447734123[[#This Row],[Gmm]])</f>
        <v>1</v>
      </c>
      <c r="C26" s="113">
        <v>1</v>
      </c>
      <c r="D26" s="103">
        <v>1671.19</v>
      </c>
      <c r="E26" s="109">
        <f>_xlfn.XLOOKUP(Tabla936173055235763909354663447734123[[#This Row],[Asesor]],Tabla4851894224[Columna1],Tabla4851894224[Columna12],0)</f>
        <v>0</v>
      </c>
      <c r="F26" s="274">
        <f>_xlfn.XLOOKUP(Tabla936173055235763909354663447734123[[#This Row],[Asesor]],Tabla4851894224[Columna1],Tabla4851894224[Columna3],0)</f>
        <v>0</v>
      </c>
      <c r="G26" s="254">
        <f>SUM(Tabla936173055235763909354663447734123[[#This Row],[Prima Pagada vida]],Tabla936173055235763909354663447734123[[#This Row],[Prima Pagada gmm]])</f>
        <v>1671.19</v>
      </c>
      <c r="H26" s="112"/>
      <c r="I26" s="300"/>
      <c r="J26" s="112">
        <f>Tabla4851894224[[#This Row],[Columna2]]/2</f>
        <v>0</v>
      </c>
      <c r="K26" s="113"/>
      <c r="L26" s="103"/>
    </row>
    <row r="27" spans="1:12" ht="13" x14ac:dyDescent="0.15">
      <c r="A27" s="300" t="s">
        <v>37</v>
      </c>
      <c r="B27" s="250">
        <f>SUM(Tabla936173055235763909354663447734123[[#This Row],[Vida]],Tabla936173055235763909354663447734123[[#This Row],[Gmm]])</f>
        <v>1</v>
      </c>
      <c r="C27" s="113">
        <v>1</v>
      </c>
      <c r="D27" s="103">
        <v>88.15</v>
      </c>
      <c r="E27" s="277">
        <f>_xlfn.XLOOKUP(Tabla936173055235763909354663447734123[[#This Row],[Asesor]],Tabla4851894224[Columna1],Tabla4851894224[Columna12],0)</f>
        <v>0</v>
      </c>
      <c r="F27" s="274">
        <f>_xlfn.XLOOKUP(Tabla936173055235763909354663447734123[[#This Row],[Asesor]],Tabla4851894224[Columna1],Tabla4851894224[Columna3],0)</f>
        <v>0</v>
      </c>
      <c r="G27" s="254">
        <f>SUM(Tabla936173055235763909354663447734123[[#This Row],[Prima Pagada vida]],Tabla936173055235763909354663447734123[[#This Row],[Prima Pagada gmm]])</f>
        <v>88.15</v>
      </c>
      <c r="I27" s="112"/>
      <c r="J27" s="112">
        <f>Tabla4851894224[[#This Row],[Columna2]]/2</f>
        <v>0</v>
      </c>
      <c r="K27" s="113"/>
      <c r="L27" s="103"/>
    </row>
    <row r="28" spans="1:12" ht="13" x14ac:dyDescent="0.15">
      <c r="A28" s="300" t="s">
        <v>39</v>
      </c>
      <c r="B28" s="250">
        <f>SUM(Tabla936173055235763909354663447734123[[#This Row],[Vida]],Tabla936173055235763909354663447734123[[#This Row],[Gmm]])</f>
        <v>0</v>
      </c>
      <c r="C28" s="113">
        <v>0</v>
      </c>
      <c r="D28" s="103">
        <v>0</v>
      </c>
      <c r="E28" s="109">
        <f>_xlfn.XLOOKUP(Tabla936173055235763909354663447734123[[#This Row],[Asesor]],Tabla4851894224[Columna1],Tabla4851894224[Columna12],0)</f>
        <v>0</v>
      </c>
      <c r="F28" s="274">
        <f>_xlfn.XLOOKUP(Tabla936173055235763909354663447734123[[#This Row],[Asesor]],Tabla4851894224[Columna1],Tabla4851894224[Columna3],0)</f>
        <v>0</v>
      </c>
      <c r="G28" s="254">
        <f>SUM(Tabla936173055235763909354663447734123[[#This Row],[Prima Pagada vida]],Tabla936173055235763909354663447734123[[#This Row],[Prima Pagada gmm]])</f>
        <v>0</v>
      </c>
      <c r="I28" s="112"/>
      <c r="J28" s="112">
        <f>Tabla4851894224[[#This Row],[Columna2]]/2</f>
        <v>0</v>
      </c>
      <c r="K28" s="113"/>
      <c r="L28" s="103"/>
    </row>
    <row r="29" spans="1:12" ht="13" x14ac:dyDescent="0.15">
      <c r="A29" s="300" t="s">
        <v>98</v>
      </c>
      <c r="B29" s="250">
        <f>SUM(Tabla936173055235763909354663447734123[[#This Row],[Vida]],Tabla936173055235763909354663447734123[[#This Row],[Gmm]])</f>
        <v>0</v>
      </c>
      <c r="C29" s="113">
        <v>0</v>
      </c>
      <c r="D29" s="103">
        <v>0</v>
      </c>
      <c r="E29" s="109">
        <f>_xlfn.XLOOKUP(Tabla936173055235763909354663447734123[[#This Row],[Asesor]],Tabla4851894224[Columna1],Tabla4851894224[Columna12],0)</f>
        <v>0</v>
      </c>
      <c r="F29" s="274">
        <f>_xlfn.XLOOKUP(Tabla936173055235763909354663447734123[[#This Row],[Asesor]],Tabla4851894224[Columna1],Tabla4851894224[Columna3],0)</f>
        <v>0</v>
      </c>
      <c r="G29" s="254">
        <f>SUM(Tabla936173055235763909354663447734123[[#This Row],[Prima Pagada vida]],Tabla936173055235763909354663447734123[[#This Row],[Prima Pagada gmm]])</f>
        <v>0</v>
      </c>
      <c r="I29" s="112"/>
      <c r="J29" s="112">
        <f>Tabla4851894224[[#This Row],[Columna2]]/2</f>
        <v>0</v>
      </c>
      <c r="K29" s="113"/>
      <c r="L29" s="103"/>
    </row>
    <row r="30" spans="1:12" ht="13" x14ac:dyDescent="0.15">
      <c r="A30" s="300" t="s">
        <v>27</v>
      </c>
      <c r="B30" s="250">
        <f>SUM(Tabla936173055235763909354663447734123[[#This Row],[Vida]],Tabla936173055235763909354663447734123[[#This Row],[Gmm]])</f>
        <v>0</v>
      </c>
      <c r="C30" s="113">
        <v>0</v>
      </c>
      <c r="D30" s="103">
        <v>0</v>
      </c>
      <c r="E30" s="109">
        <f>_xlfn.XLOOKUP(Tabla936173055235763909354663447734123[[#This Row],[Asesor]],Tabla4851894224[Columna1],Tabla4851894224[Columna12],0)</f>
        <v>0</v>
      </c>
      <c r="F30" s="274">
        <f>_xlfn.XLOOKUP(Tabla936173055235763909354663447734123[[#This Row],[Asesor]],Tabla4851894224[Columna1],Tabla4851894224[Columna3],0)</f>
        <v>0</v>
      </c>
      <c r="G30" s="254">
        <f>SUM(Tabla936173055235763909354663447734123[[#This Row],[Prima Pagada vida]],Tabla936173055235763909354663447734123[[#This Row],[Prima Pagada gmm]])</f>
        <v>0</v>
      </c>
      <c r="I30" s="112"/>
      <c r="J30" s="112">
        <f>Tabla4851894224[[#This Row],[Columna2]]/2</f>
        <v>0</v>
      </c>
      <c r="K30" s="113"/>
      <c r="L30" s="103"/>
    </row>
    <row r="31" spans="1:12" ht="13" x14ac:dyDescent="0.15">
      <c r="A31" s="300" t="s">
        <v>110</v>
      </c>
      <c r="B31" s="250">
        <f>SUM(Tabla936173055235763909354663447734123[[#This Row],[Vida]],Tabla936173055235763909354663447734123[[#This Row],[Gmm]])</f>
        <v>0</v>
      </c>
      <c r="C31" s="113">
        <v>0</v>
      </c>
      <c r="D31" s="103">
        <v>0</v>
      </c>
      <c r="E31" s="109">
        <f>_xlfn.XLOOKUP(Tabla936173055235763909354663447734123[[#This Row],[Asesor]],Tabla4851894224[Columna1],Tabla4851894224[Columna12],0)</f>
        <v>0</v>
      </c>
      <c r="F31" s="274">
        <f>_xlfn.XLOOKUP(Tabla936173055235763909354663447734123[[#This Row],[Asesor]],Tabla4851894224[Columna1],Tabla4851894224[Columna3],0)</f>
        <v>0</v>
      </c>
      <c r="G31" s="254">
        <f>SUM(Tabla936173055235763909354663447734123[[#This Row],[Prima Pagada vida]],Tabla936173055235763909354663447734123[[#This Row],[Prima Pagada gmm]])</f>
        <v>0</v>
      </c>
      <c r="I31" s="112"/>
      <c r="J31" s="112">
        <f>Tabla4851894224[[#This Row],[Columna2]]/2</f>
        <v>0</v>
      </c>
      <c r="K31" s="113"/>
      <c r="L31" s="103"/>
    </row>
    <row r="32" spans="1:12" ht="13" x14ac:dyDescent="0.15">
      <c r="A32" s="300" t="s">
        <v>18</v>
      </c>
      <c r="B32" s="250">
        <f>SUM(Tabla936173055235763909354663447734123[[#This Row],[Vida]],Tabla936173055235763909354663447734123[[#This Row],[Gmm]])</f>
        <v>0</v>
      </c>
      <c r="C32" s="113">
        <v>0</v>
      </c>
      <c r="D32" s="103">
        <v>0</v>
      </c>
      <c r="E32" s="109">
        <f>_xlfn.XLOOKUP(Tabla936173055235763909354663447734123[[#This Row],[Asesor]],Tabla4851894224[Columna1],Tabla4851894224[Columna12],0)</f>
        <v>0</v>
      </c>
      <c r="F32" s="274">
        <f>_xlfn.XLOOKUP(Tabla936173055235763909354663447734123[[#This Row],[Asesor]],Tabla4851894224[Columna1],Tabla4851894224[Columna3],0)</f>
        <v>0</v>
      </c>
      <c r="G32" s="254">
        <f>SUM(Tabla936173055235763909354663447734123[[#This Row],[Prima Pagada vida]],Tabla936173055235763909354663447734123[[#This Row],[Prima Pagada gmm]])</f>
        <v>0</v>
      </c>
    </row>
    <row r="33" spans="1:13" ht="13" x14ac:dyDescent="0.15">
      <c r="A33" s="300" t="s">
        <v>97</v>
      </c>
      <c r="B33" s="250">
        <f>SUM(Tabla936173055235763909354663447734123[[#This Row],[Vida]],Tabla936173055235763909354663447734123[[#This Row],[Gmm]])</f>
        <v>0</v>
      </c>
      <c r="C33" s="113">
        <v>0</v>
      </c>
      <c r="D33" s="103">
        <v>0</v>
      </c>
      <c r="E33" s="109">
        <f>_xlfn.XLOOKUP(Tabla936173055235763909354663447734123[[#This Row],[Asesor]],Tabla4851894224[Columna1],Tabla4851894224[Columna12],0)</f>
        <v>0</v>
      </c>
      <c r="F33" s="274">
        <f>_xlfn.XLOOKUP(Tabla936173055235763909354663447734123[[#This Row],[Asesor]],Tabla4851894224[Columna1],Tabla4851894224[Columna3],0)</f>
        <v>0</v>
      </c>
      <c r="G33" s="254">
        <f>SUM(Tabla936173055235763909354663447734123[[#This Row],[Prima Pagada vida]],Tabla936173055235763909354663447734123[[#This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SUM(Tabla936173055235763909354663447734123[[#This Row],[Vida]],Tabla936173055235763909354663447734123[[#This Row],[Gmm]])</f>
        <v>0</v>
      </c>
      <c r="C34" s="113">
        <v>0</v>
      </c>
      <c r="D34" s="103">
        <v>0</v>
      </c>
      <c r="E34" s="109">
        <f>_xlfn.XLOOKUP(Tabla936173055235763909354663447734123[[#This Row],[Asesor]],Tabla4851894224[Columna1],Tabla4851894224[Columna12],0)</f>
        <v>0</v>
      </c>
      <c r="F34" s="274">
        <f>_xlfn.XLOOKUP(Tabla936173055235763909354663447734123[[#This Row],[Asesor]],Tabla4851894224[Columna1],Tabla4851894224[Columna3],0)</f>
        <v>0</v>
      </c>
      <c r="G34" s="254">
        <f>SUM(Tabla936173055235763909354663447734123[[#This Row],[Prima Pagada vida]],Tabla936173055235763909354663447734123[[#This Row],[Prima Pagada gmm]])</f>
        <v>0</v>
      </c>
    </row>
    <row r="35" spans="1:13" ht="13" x14ac:dyDescent="0.15">
      <c r="A35" s="300" t="s">
        <v>14</v>
      </c>
      <c r="B35" s="250">
        <f>SUM(Tabla936173055235763909354663447734123[[#This Row],[Vida]],Tabla936173055235763909354663447734123[[#This Row],[Gmm]])</f>
        <v>0</v>
      </c>
      <c r="C35" s="113">
        <v>0</v>
      </c>
      <c r="D35" s="103">
        <v>0</v>
      </c>
      <c r="E35" s="109">
        <f>_xlfn.XLOOKUP(Tabla936173055235763909354663447734123[[#This Row],[Asesor]],Tabla4851894224[Columna1],Tabla4851894224[Columna12],0)</f>
        <v>0</v>
      </c>
      <c r="F35" s="274">
        <f>_xlfn.XLOOKUP(Tabla936173055235763909354663447734123[[#This Row],[Asesor]],Tabla4851894224[Columna1],Tabla4851894224[Columna3],0)</f>
        <v>0</v>
      </c>
      <c r="G35" s="254">
        <f>SUM(Tabla936173055235763909354663447734123[[#This Row],[Prima Pagada vida]],Tabla936173055235763909354663447734123[[#This Row],[Prima Pagada gmm]])</f>
        <v>0</v>
      </c>
    </row>
    <row r="36" spans="1:13" ht="13" x14ac:dyDescent="0.15">
      <c r="A36" s="300" t="s">
        <v>96</v>
      </c>
      <c r="B36" s="280">
        <f>SUM(Tabla936173055235763909354663447734123[[#This Row],[Vida]],Tabla936173055235763909354663447734123[[#This Row],[Gmm]])</f>
        <v>0</v>
      </c>
      <c r="C36" s="113">
        <v>0</v>
      </c>
      <c r="D36" s="103">
        <v>0</v>
      </c>
      <c r="E36" s="109">
        <f>_xlfn.XLOOKUP(Tabla936173055235763909354663447734123[[#This Row],[Asesor]],Tabla4851894224[Columna1],Tabla4851894224[Columna12],0)</f>
        <v>0</v>
      </c>
      <c r="F36" s="274">
        <f>_xlfn.XLOOKUP(Tabla936173055235763909354663447734123[[#This Row],[Asesor]],Tabla4851894224[Columna1],Tabla4851894224[Columna3],0)</f>
        <v>0</v>
      </c>
      <c r="G36" s="254">
        <f>SUM(Tabla936173055235763909354663447734123[[#This Row],[Prima Pagada vida]],Tabla936173055235763909354663447734123[[#This Row],[Prima Pagada gmm]])</f>
        <v>0</v>
      </c>
    </row>
    <row r="37" spans="1:13" ht="13" x14ac:dyDescent="0.15">
      <c r="A37" s="300" t="s">
        <v>28</v>
      </c>
      <c r="B37" s="280">
        <f>SUM(Tabla936173055235763909354663447734123[[#This Row],[Vida]],Tabla936173055235763909354663447734123[[#This Row],[Gmm]])</f>
        <v>0</v>
      </c>
      <c r="C37" s="113">
        <v>0</v>
      </c>
      <c r="D37" s="103">
        <v>0</v>
      </c>
      <c r="E37" s="109">
        <f>_xlfn.XLOOKUP(Tabla936173055235763909354663447734123[[#This Row],[Asesor]],Tabla4851894224[Columna1],Tabla4851894224[Columna12],0)</f>
        <v>0</v>
      </c>
      <c r="F37" s="274">
        <f>_xlfn.XLOOKUP(Tabla936173055235763909354663447734123[[#This Row],[Asesor]],Tabla4851894224[Columna1],Tabla4851894224[Columna3],0)</f>
        <v>0</v>
      </c>
      <c r="G37" s="254">
        <f>SUM(Tabla936173055235763909354663447734123[[#This Row],[Prima Pagada vida]],Tabla936173055235763909354663447734123[[#This Row],[Prima Pagada gmm]])</f>
        <v>0</v>
      </c>
    </row>
    <row r="38" spans="1:13" ht="13" x14ac:dyDescent="0.15">
      <c r="A38" s="300" t="s">
        <v>124</v>
      </c>
      <c r="B38" s="280">
        <f>SUM(Tabla936173055235763909354663447734123[[#This Row],[Vida]],Tabla936173055235763909354663447734123[[#This Row],[Gmm]])</f>
        <v>0</v>
      </c>
      <c r="C38" s="113">
        <v>0</v>
      </c>
      <c r="D38" s="103">
        <v>0</v>
      </c>
      <c r="E38" s="109">
        <f>_xlfn.XLOOKUP(Tabla936173055235763909354663447734123[[#This Row],[Asesor]],Tabla4851894224[Columna1],Tabla4851894224[Columna12],0)</f>
        <v>0</v>
      </c>
      <c r="F38" s="274">
        <f>_xlfn.XLOOKUP(Tabla936173055235763909354663447734123[[#This Row],[Asesor]],Tabla4851894224[Columna1],Tabla4851894224[Columna3],0)</f>
        <v>0</v>
      </c>
      <c r="G38" s="254">
        <f>SUM(Tabla936173055235763909354663447734123[[#This Row],[Prima Pagada vida]],Tabla936173055235763909354663447734123[[#This Row],[Prima Pagada gmm]])</f>
        <v>0</v>
      </c>
    </row>
    <row r="39" spans="1:13" ht="13" x14ac:dyDescent="0.15">
      <c r="A39" s="300" t="s">
        <v>47</v>
      </c>
      <c r="B39" s="280">
        <f>SUM(Tabla936173055235763909354663447734123[[#This Row],[Vida]],Tabla936173055235763909354663447734123[[#This Row],[Gmm]])</f>
        <v>0</v>
      </c>
      <c r="C39" s="113">
        <v>0</v>
      </c>
      <c r="D39" s="103">
        <v>0</v>
      </c>
      <c r="E39" s="109">
        <f>_xlfn.XLOOKUP(Tabla936173055235763909354663447734123[[#This Row],[Asesor]],Tabla4851894224[Columna1],Tabla4851894224[Columna12],0)</f>
        <v>0</v>
      </c>
      <c r="F39" s="274">
        <f>_xlfn.XLOOKUP(Tabla936173055235763909354663447734123[[#This Row],[Asesor]],Tabla4851894224[Columna1],Tabla4851894224[Columna3],0)</f>
        <v>0</v>
      </c>
      <c r="G39" s="254">
        <f>SUM(Tabla936173055235763909354663447734123[[#This Row],[Prima Pagada vida]],Tabla936173055235763909354663447734123[[#This Row],[Prima Pagada gmm]])</f>
        <v>0</v>
      </c>
    </row>
    <row r="40" spans="1:13" ht="13" x14ac:dyDescent="0.15">
      <c r="A40" s="300" t="s">
        <v>38</v>
      </c>
      <c r="B40" s="280">
        <f>SUM(Tabla936173055235763909354663447734123[[#This Row],[Vida]],Tabla936173055235763909354663447734123[[#This Row],[Gmm]])</f>
        <v>0</v>
      </c>
      <c r="C40" s="113">
        <v>0</v>
      </c>
      <c r="D40" s="103">
        <v>0</v>
      </c>
      <c r="E40" s="109">
        <f>_xlfn.XLOOKUP(Tabla936173055235763909354663447734123[[#This Row],[Asesor]],Tabla4851894224[Columna1],Tabla4851894224[Columna12],0)</f>
        <v>0</v>
      </c>
      <c r="F40" s="253">
        <f>_xlfn.XLOOKUP(Tabla936173055235763909354663447734123[[#This Row],[Asesor]],Tabla4851894224[Columna1],Tabla4851894224[Columna3],0)</f>
        <v>0</v>
      </c>
      <c r="G40" s="254">
        <f>SUM(Tabla936173055235763909354663447734123[[#This Row],[Prima Pagada vida]],Tabla936173055235763909354663447734123[[#This Row],[Prima Pagada gmm]])</f>
        <v>0</v>
      </c>
    </row>
    <row r="41" spans="1:13" ht="13" x14ac:dyDescent="0.15">
      <c r="A41" s="300" t="s">
        <v>105</v>
      </c>
      <c r="B41" s="280">
        <f>SUM(Tabla936173055235763909354663447734123[[#This Row],[Vida]],Tabla936173055235763909354663447734123[[#This Row],[Gmm]])</f>
        <v>0</v>
      </c>
      <c r="C41" s="113">
        <v>0</v>
      </c>
      <c r="D41" s="103">
        <v>0</v>
      </c>
      <c r="E41" s="277">
        <f>_xlfn.XLOOKUP(Tabla936173055235763909354663447734123[[#This Row],[Asesor]],Tabla4851894224[Columna1],Tabla4851894224[Columna12],0)</f>
        <v>0</v>
      </c>
      <c r="F41" s="253">
        <f>_xlfn.XLOOKUP(Tabla936173055235763909354663447734123[[#This Row],[Asesor]],Tabla4851894224[Columna1],Tabla4851894224[Columna3],0)</f>
        <v>0</v>
      </c>
      <c r="G41" s="254">
        <f>SUM(Tabla936173055235763909354663447734123[[#This Row],[Prima Pagada vida]],Tabla936173055235763909354663447734123[[#This Row],[Prima Pagada gmm]])</f>
        <v>0</v>
      </c>
    </row>
    <row r="42" spans="1:13" ht="13" x14ac:dyDescent="0.15">
      <c r="A42" s="300" t="s">
        <v>24</v>
      </c>
      <c r="B42" s="280">
        <f>SUM(Tabla936173055235763909354663447734123[[#This Row],[Vida]],Tabla936173055235763909354663447734123[[#This Row],[Gmm]])</f>
        <v>0</v>
      </c>
      <c r="C42" s="113">
        <v>0</v>
      </c>
      <c r="D42" s="103">
        <v>0</v>
      </c>
      <c r="E42" s="277">
        <f>_xlfn.XLOOKUP(Tabla936173055235763909354663447734123[[#This Row],[Asesor]],Tabla4851894224[Columna1],Tabla4851894224[Columna12],0)</f>
        <v>0</v>
      </c>
      <c r="F42" s="253">
        <f>_xlfn.XLOOKUP(Tabla936173055235763909354663447734123[[#This Row],[Asesor]],Tabla4851894224[Columna1],Tabla4851894224[Columna3],0)</f>
        <v>0</v>
      </c>
      <c r="G42" s="254">
        <f>SUM(Tabla936173055235763909354663447734123[[#This Row],[Prima Pagada vida]],Tabla936173055235763909354663447734123[[#This Row],[Prima Pagada gmm]])</f>
        <v>0</v>
      </c>
    </row>
    <row r="43" spans="1:13" ht="13" x14ac:dyDescent="0.15">
      <c r="A43" s="300" t="s">
        <v>46</v>
      </c>
      <c r="B43" s="280">
        <f>SUM(Tabla936173055235763909354663447734123[[#This Row],[Vida]],Tabla936173055235763909354663447734123[[#This Row],[Gmm]])</f>
        <v>0</v>
      </c>
      <c r="C43" s="113">
        <v>0</v>
      </c>
      <c r="D43" s="103">
        <v>0</v>
      </c>
      <c r="E43" s="277">
        <f>_xlfn.XLOOKUP(Tabla936173055235763909354663447734123[[#This Row],[Asesor]],Tabla4851894224[Columna1],Tabla4851894224[Columna12],0)</f>
        <v>0</v>
      </c>
      <c r="F43" s="253">
        <f>_xlfn.XLOOKUP(Tabla936173055235763909354663447734123[[#This Row],[Asesor]],Tabla4851894224[Columna1],Tabla4851894224[Columna3],0)</f>
        <v>0</v>
      </c>
      <c r="G43" s="254">
        <f>SUM(Tabla936173055235763909354663447734123[[#This Row],[Prima Pagada vida]],Tabla936173055235763909354663447734123[[#This Row],[Prima Pagada gmm]])</f>
        <v>0</v>
      </c>
    </row>
    <row r="44" spans="1:13" ht="13" x14ac:dyDescent="0.15">
      <c r="A44" s="300" t="s">
        <v>170</v>
      </c>
      <c r="B44" s="280">
        <f>SUM(Tabla936173055235763909354663447734123[[#This Row],[Vida]],Tabla936173055235763909354663447734123[[#This Row],[Gmm]])</f>
        <v>0</v>
      </c>
      <c r="C44" s="113">
        <v>0</v>
      </c>
      <c r="D44" s="103">
        <v>0</v>
      </c>
      <c r="E44" s="277">
        <f>_xlfn.XLOOKUP(Tabla936173055235763909354663447734123[[#This Row],[Asesor]],Tabla4851894224[Columna1],Tabla4851894224[Columna12],0)</f>
        <v>0</v>
      </c>
      <c r="F44" s="253">
        <f>_xlfn.XLOOKUP(Tabla936173055235763909354663447734123[[#This Row],[Asesor]],Tabla4851894224[Columna1],Tabla4851894224[Columna3],0)</f>
        <v>0</v>
      </c>
      <c r="G44" s="254">
        <f>SUM(Tabla936173055235763909354663447734123[[#This Row],[Prima Pagada vida]],Tabla936173055235763909354663447734123[[#This Row],[Prima Pagada gmm]])</f>
        <v>0</v>
      </c>
    </row>
    <row r="45" spans="1:13" ht="13" x14ac:dyDescent="0.15">
      <c r="A45" s="300" t="s">
        <v>22</v>
      </c>
      <c r="B45" s="280">
        <f>SUM(Tabla936173055235763909354663447734123[[#This Row],[Vida]],Tabla936173055235763909354663447734123[[#This Row],[Gmm]])</f>
        <v>0</v>
      </c>
      <c r="C45" s="113">
        <v>0</v>
      </c>
      <c r="D45" s="103">
        <v>0</v>
      </c>
      <c r="E45" s="277">
        <f>_xlfn.XLOOKUP(Tabla936173055235763909354663447734123[[#This Row],[Asesor]],Tabla4851894224[Columna1],Tabla4851894224[Columna12],0)</f>
        <v>0</v>
      </c>
      <c r="F45" s="253">
        <f>_xlfn.XLOOKUP(Tabla936173055235763909354663447734123[[#This Row],[Asesor]],Tabla4851894224[Columna1],Tabla4851894224[Columna3],0)</f>
        <v>0</v>
      </c>
      <c r="G45" s="254">
        <f>SUM(Tabla936173055235763909354663447734123[[#This Row],[Prima Pagada vida]],Tabla936173055235763909354663447734123[[#This Row],[Prima Pagada gmm]])</f>
        <v>0</v>
      </c>
    </row>
    <row r="46" spans="1:13" ht="13" x14ac:dyDescent="0.15">
      <c r="A46" s="300" t="s">
        <v>19</v>
      </c>
      <c r="B46" s="280">
        <f>SUM(Tabla936173055235763909354663447734123[[#This Row],[Vida]],Tabla936173055235763909354663447734123[[#This Row],[Gmm]])</f>
        <v>0</v>
      </c>
      <c r="C46" s="113">
        <v>0</v>
      </c>
      <c r="D46" s="103">
        <v>0</v>
      </c>
      <c r="E46" s="277">
        <f>_xlfn.XLOOKUP(Tabla936173055235763909354663447734123[[#This Row],[Asesor]],Tabla4851894224[Columna1],Tabla4851894224[Columna12],0)</f>
        <v>0</v>
      </c>
      <c r="F46" s="253">
        <f>_xlfn.XLOOKUP(Tabla936173055235763909354663447734123[[#This Row],[Asesor]],Tabla4851894224[Columna1],Tabla4851894224[Columna3],0)</f>
        <v>0</v>
      </c>
      <c r="G46" s="254">
        <f>SUM(Tabla936173055235763909354663447734123[[#This Row],[Prima Pagada vida]],Tabla936173055235763909354663447734123[[#This Row],[Prima Pagada gmm]])</f>
        <v>0</v>
      </c>
    </row>
    <row r="47" spans="1:13" ht="13" x14ac:dyDescent="0.15">
      <c r="A47" s="300" t="s">
        <v>131</v>
      </c>
      <c r="B47" s="280">
        <f>SUM(Tabla936173055235763909354663447734123[[#This Row],[Vida]],Tabla936173055235763909354663447734123[[#This Row],[Gmm]])</f>
        <v>0</v>
      </c>
      <c r="C47" s="113">
        <v>0</v>
      </c>
      <c r="D47" s="103">
        <v>0</v>
      </c>
      <c r="E47" s="277">
        <f>_xlfn.XLOOKUP(Tabla936173055235763909354663447734123[[#This Row],[Asesor]],Tabla4851894224[Columna1],Tabla4851894224[Columna12],0)</f>
        <v>0</v>
      </c>
      <c r="F47" s="253">
        <f>_xlfn.XLOOKUP(Tabla936173055235763909354663447734123[[#This Row],[Asesor]],Tabla4851894224[Columna1],Tabla4851894224[Columna3],0)</f>
        <v>0</v>
      </c>
      <c r="G47" s="254">
        <f>SUM(Tabla936173055235763909354663447734123[[#This Row],[Prima Pagada vida]],Tabla936173055235763909354663447734123[[#This Row],[Prima Pagada gmm]])</f>
        <v>0</v>
      </c>
    </row>
    <row r="48" spans="1:13" ht="13" x14ac:dyDescent="0.15">
      <c r="A48" s="300" t="s">
        <v>116</v>
      </c>
      <c r="B48" s="280">
        <f>SUM(Tabla936173055235763909354663447734123[[#This Row],[Vida]],Tabla936173055235763909354663447734123[[#This Row],[Gmm]])</f>
        <v>0</v>
      </c>
      <c r="C48" s="113">
        <v>0</v>
      </c>
      <c r="D48" s="103">
        <v>0</v>
      </c>
      <c r="E48" s="277">
        <f>_xlfn.XLOOKUP(Tabla936173055235763909354663447734123[[#This Row],[Asesor]],Tabla4851894224[Columna1],Tabla4851894224[Columna12],0)</f>
        <v>0</v>
      </c>
      <c r="F48" s="253">
        <f>_xlfn.XLOOKUP(Tabla936173055235763909354663447734123[[#This Row],[Asesor]],Tabla4851894224[Columna1],Tabla4851894224[Columna3],0)</f>
        <v>0</v>
      </c>
      <c r="G48" s="254">
        <f>SUM(Tabla936173055235763909354663447734123[[#This Row],[Prima Pagada vida]],Tabla936173055235763909354663447734123[[#This Row],[Prima Pagada gmm]])</f>
        <v>0</v>
      </c>
    </row>
    <row r="49" spans="1:11" ht="13" x14ac:dyDescent="0.15">
      <c r="A49" s="112"/>
      <c r="B49" s="280">
        <f>SUM(Tabla936173055235763909354663447734123[[#This Row],[Vida]],Tabla936173055235763909354663447734123[[#This Row],[Gmm]])</f>
        <v>0</v>
      </c>
      <c r="C49" s="113">
        <v>0</v>
      </c>
      <c r="D49" s="103">
        <v>0</v>
      </c>
      <c r="E49" s="277">
        <f>_xlfn.XLOOKUP(Tabla936173055235763909354663447734123[[#This Row],[Asesor]],Tabla4851894224[Columna1],Tabla4851894224[Columna12],0)</f>
        <v>0</v>
      </c>
      <c r="F49" s="253">
        <f>_xlfn.XLOOKUP(Tabla936173055235763909354663447734123[[#This Row],[Asesor]],Tabla4851894224[Columna1],Tabla4851894224[Columna3],0)</f>
        <v>0</v>
      </c>
      <c r="G49" s="254">
        <f>SUM(Tabla936173055235763909354663447734123[[#This Row],[Prima Pagada vida]],Tabla936173055235763909354663447734123[[#This Row],[Prima Pagada gmm]])</f>
        <v>0</v>
      </c>
    </row>
    <row r="50" spans="1:11" ht="13" x14ac:dyDescent="0.15">
      <c r="A50" s="112"/>
      <c r="B50" s="280">
        <f>SUM(Tabla936173055235763909354663447734123[[#This Row],[Vida]],Tabla936173055235763909354663447734123[[#This Row],[Gmm]])</f>
        <v>0</v>
      </c>
      <c r="C50" s="113">
        <v>0</v>
      </c>
      <c r="D50" s="103">
        <v>0</v>
      </c>
      <c r="E50" s="277">
        <f>_xlfn.XLOOKUP(Tabla936173055235763909354663447734123[[#This Row],[Asesor]],Tabla4851894224[Columna1],Tabla4851894224[Columna12],0)</f>
        <v>0</v>
      </c>
      <c r="F50" s="253">
        <f>_xlfn.XLOOKUP(Tabla936173055235763909354663447734123[[#This Row],[Asesor]],Tabla4851894224[Columna1],Tabla4851894224[Columna3],0)</f>
        <v>0</v>
      </c>
      <c r="G50" s="254">
        <f>SUM(Tabla936173055235763909354663447734123[[#This Row],[Prima Pagada vida]],Tabla936173055235763909354663447734123[[#This Row],[Prima Pagada gmm]])</f>
        <v>0</v>
      </c>
    </row>
    <row r="51" spans="1:11" ht="13" x14ac:dyDescent="0.15">
      <c r="A51" s="112"/>
      <c r="B51" s="284">
        <f>SUM(Tabla936173055235763909354663447734123[[#This Row],[Vida]],Tabla936173055235763909354663447734123[[#This Row],[Gmm]])</f>
        <v>0</v>
      </c>
      <c r="C51" s="113">
        <v>0</v>
      </c>
      <c r="D51" s="286"/>
      <c r="E51" s="287">
        <f>_xlfn.XLOOKUP(Tabla936173055235763909354663447734123[[#This Row],[Asesor]],Tabla4851894224[Columna1],Tabla4851894224[Columna12],0)</f>
        <v>0</v>
      </c>
      <c r="F51" s="288">
        <f>_xlfn.XLOOKUP(Tabla936173055235763909354663447734123[[#This Row],[Asesor]],Tabla4851894224[Columna1],Tabla4851894224[Columna3],0)</f>
        <v>0</v>
      </c>
      <c r="G51" s="289">
        <f>SUM(Tabla936173055235763909354663447734123[[#This Row],[Prima Pagada vida]],Tabla936173055235763909354663447734123[[#This Row],[Prima Pagada gmm]])</f>
        <v>0</v>
      </c>
    </row>
    <row r="52" spans="1:11" ht="13" x14ac:dyDescent="0.15">
      <c r="A52" s="43" t="s">
        <v>50</v>
      </c>
      <c r="B52" s="214">
        <f>SUM(Tabla936173055235763909354663447734123[[Pólizas ]])</f>
        <v>47.5</v>
      </c>
      <c r="C52" s="215">
        <f>SUM(Tabla936173055235763909354663447734123[Vida])</f>
        <v>40</v>
      </c>
      <c r="D52" s="216">
        <f>SUM(Tabla936173055235763909354663447734123[Prima Pagada vida])</f>
        <v>2212268.0499999998</v>
      </c>
      <c r="E52" s="290">
        <f>SUM(Tabla936173055235763909354663447734123[Gmm])</f>
        <v>7.5</v>
      </c>
      <c r="F52" s="216">
        <f>SUM(Tabla936173055235763909354663447734123[Prima Pagada gmm])</f>
        <v>346641.91999999993</v>
      </c>
      <c r="G52" s="216">
        <f>SUM(Tabla936173055235763909354663447734123[Prima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hidden="1" x14ac:dyDescent="0.15">
      <c r="A59" s="303" t="s">
        <v>159</v>
      </c>
      <c r="B59" s="306" t="s">
        <v>199</v>
      </c>
      <c r="C59" s="307" t="s">
        <v>197</v>
      </c>
      <c r="D59" s="308">
        <v>24906.443788799996</v>
      </c>
      <c r="E59" s="230" cm="1">
        <f t="array" ref="E59">D59/_xlfn.IFS(B59="MENSUAL",12,B59="TRIMESTRAL",4,B59="SEMESTRAL",2,B59="ANUAL",1)</f>
        <v>2075.5369823999995</v>
      </c>
      <c r="G59" s="273"/>
      <c r="H59" s="281"/>
      <c r="I59" s="282"/>
      <c r="J59" s="283"/>
      <c r="K59" s="230"/>
    </row>
    <row r="60" spans="1:11" hidden="1" x14ac:dyDescent="0.2">
      <c r="A60" s="303" t="s">
        <v>240</v>
      </c>
      <c r="B60" s="306" t="s">
        <v>199</v>
      </c>
      <c r="C60" s="307" t="s">
        <v>197</v>
      </c>
      <c r="D60" s="308">
        <v>37328.318264267989</v>
      </c>
      <c r="E60" s="230" cm="1">
        <f t="array" ref="E60">D60/_xlfn.IFS(B60="MENSUAL",12,B60="TRIMESTRAL",4,B60="SEMESTRAL",2,B60="ANUAL",1)</f>
        <v>3110.6931886889993</v>
      </c>
      <c r="G60" s="273"/>
      <c r="H60" s="281"/>
      <c r="I60" s="298"/>
      <c r="J60" s="283"/>
      <c r="K60" s="230"/>
    </row>
    <row r="61" spans="1:11" ht="15" hidden="1" x14ac:dyDescent="0.15">
      <c r="A61" s="303" t="s">
        <v>226</v>
      </c>
      <c r="B61" s="306" t="s">
        <v>198</v>
      </c>
      <c r="C61" s="307" t="s">
        <v>194</v>
      </c>
      <c r="D61" s="308">
        <v>35721.82</v>
      </c>
      <c r="E61" s="230" cm="1">
        <f t="array" ref="E61">D61/_xlfn.IFS(B61="MENSUAL",12,B61="TRIMESTRAL",4,B61="SEMESTRAL",2,B61="ANUAL",1)</f>
        <v>35721.82</v>
      </c>
      <c r="G61" s="273"/>
      <c r="H61" s="281"/>
      <c r="I61" s="299"/>
      <c r="J61" s="283"/>
      <c r="K61" s="230"/>
    </row>
    <row r="62" spans="1:11" ht="15" hidden="1" x14ac:dyDescent="0.15">
      <c r="A62" s="303" t="s">
        <v>226</v>
      </c>
      <c r="B62" s="306" t="s">
        <v>198</v>
      </c>
      <c r="C62" s="307" t="s">
        <v>197</v>
      </c>
      <c r="D62" s="308">
        <v>59995.921658799998</v>
      </c>
      <c r="E62" s="230" cm="1">
        <f t="array" ref="E62">D62/_xlfn.IFS(B62="MENSUAL",12,B62="TRIMESTRAL",4,B62="SEMESTRAL",2,B62="ANUAL",1)</f>
        <v>59995.921658799998</v>
      </c>
      <c r="G62" s="273"/>
      <c r="H62" s="281"/>
      <c r="I62" s="282"/>
      <c r="J62" s="283"/>
      <c r="K62" s="230"/>
    </row>
    <row r="63" spans="1:11" ht="15" hidden="1" x14ac:dyDescent="0.15">
      <c r="A63" s="303" t="s">
        <v>226</v>
      </c>
      <c r="B63" s="306" t="s">
        <v>198</v>
      </c>
      <c r="C63" s="307" t="s">
        <v>197</v>
      </c>
      <c r="D63" s="308">
        <v>36063.319340720001</v>
      </c>
      <c r="E63" s="230" cm="1">
        <f t="array" ref="E63">D63/_xlfn.IFS(B63="MENSUAL",12,B63="TRIMESTRAL",4,B63="SEMESTRAL",2,B63="ANUAL",1)</f>
        <v>36063.319340720001</v>
      </c>
      <c r="G63" s="273"/>
      <c r="H63" s="281"/>
      <c r="I63" s="282"/>
      <c r="J63" s="283"/>
      <c r="K63" s="230"/>
    </row>
    <row r="64" spans="1:11" hidden="1" x14ac:dyDescent="0.2">
      <c r="A64" s="303" t="s">
        <v>195</v>
      </c>
      <c r="B64" s="306" t="s">
        <v>198</v>
      </c>
      <c r="C64" s="307" t="s">
        <v>197</v>
      </c>
      <c r="D64" s="308">
        <v>49779.00217629</v>
      </c>
      <c r="E64" s="230" cm="1">
        <f t="array" ref="E64">D64/_xlfn.IFS(B64="MENSUAL",12,B64="TRIMESTRAL",4,B64="SEMESTRAL",2,B64="ANUAL",1)</f>
        <v>49779.00217629</v>
      </c>
      <c r="G64" s="295"/>
    </row>
    <row r="65" spans="1:5" hidden="1" x14ac:dyDescent="0.2">
      <c r="A65" s="303" t="s">
        <v>195</v>
      </c>
      <c r="B65" s="306" t="s">
        <v>198</v>
      </c>
      <c r="C65" s="307" t="s">
        <v>197</v>
      </c>
      <c r="D65" s="308">
        <v>65650.100248799994</v>
      </c>
      <c r="E65" s="230" cm="1">
        <f t="array" ref="E65">D65/_xlfn.IFS(B65="MENSUAL",12,B65="TRIMESTRAL",4,B65="SEMESTRAL",2,B65="ANUAL",1)</f>
        <v>65650.100248799994</v>
      </c>
    </row>
    <row r="66" spans="1:5" hidden="1" x14ac:dyDescent="0.2">
      <c r="A66" s="303" t="s">
        <v>145</v>
      </c>
      <c r="B66" s="306" t="s">
        <v>199</v>
      </c>
      <c r="C66" s="307" t="s">
        <v>194</v>
      </c>
      <c r="D66" s="308">
        <v>39424.199999999997</v>
      </c>
      <c r="E66" s="230" cm="1">
        <f t="array" ref="E66">D66/_xlfn.IFS(B66="MENSUAL",12,B66="TRIMESTRAL",4,B66="SEMESTRAL",2,B66="ANUAL",1)</f>
        <v>3285.35</v>
      </c>
    </row>
    <row r="67" spans="1:5" hidden="1" x14ac:dyDescent="0.2">
      <c r="A67" s="303" t="s">
        <v>145</v>
      </c>
      <c r="B67" s="306" t="s">
        <v>199</v>
      </c>
      <c r="C67" s="307" t="s">
        <v>197</v>
      </c>
      <c r="D67" s="308">
        <v>18971.418459840002</v>
      </c>
      <c r="E67" s="230" cm="1">
        <f t="array" ref="E67">D67/_xlfn.IFS(B67="MENSUAL",12,B67="TRIMESTRAL",4,B67="SEMESTRAL",2,B67="ANUAL",1)</f>
        <v>1580.9515383200003</v>
      </c>
    </row>
    <row r="68" spans="1:5" hidden="1" x14ac:dyDescent="0.2">
      <c r="A68" s="303" t="s">
        <v>145</v>
      </c>
      <c r="B68" s="306" t="s">
        <v>199</v>
      </c>
      <c r="C68" s="307" t="s">
        <v>197</v>
      </c>
      <c r="D68" s="308">
        <v>21503.624989439999</v>
      </c>
      <c r="E68" s="230" cm="1">
        <f t="array" ref="E68">D68/_xlfn.IFS(B68="MENSUAL",12,B68="TRIMESTRAL",4,B68="SEMESTRAL",2,B68="ANUAL",1)</f>
        <v>1791.96874912</v>
      </c>
    </row>
    <row r="69" spans="1:5" hidden="1" x14ac:dyDescent="0.2">
      <c r="A69" s="303" t="s">
        <v>145</v>
      </c>
      <c r="B69" s="306" t="s">
        <v>199</v>
      </c>
      <c r="C69" s="307" t="s">
        <v>197</v>
      </c>
      <c r="D69" s="308">
        <v>30109.948688159999</v>
      </c>
      <c r="E69" s="230" cm="1">
        <f t="array" ref="E69">D69/_xlfn.IFS(B69="MENSUAL",12,B69="TRIMESTRAL",4,B69="SEMESTRAL",2,B69="ANUAL",1)</f>
        <v>2509.16239068</v>
      </c>
    </row>
    <row r="70" spans="1:5" hidden="1" x14ac:dyDescent="0.2">
      <c r="A70" s="303" t="s">
        <v>147</v>
      </c>
      <c r="B70" s="306" t="s">
        <v>199</v>
      </c>
      <c r="C70" s="307" t="s">
        <v>197</v>
      </c>
      <c r="D70" s="308">
        <v>36223.239460800003</v>
      </c>
      <c r="E70" s="230" cm="1">
        <f t="array" ref="E70">D70/_xlfn.IFS(B70="MENSUAL",12,B70="TRIMESTRAL",4,B70="SEMESTRAL",2,B70="ANUAL",1)</f>
        <v>3018.6032884000001</v>
      </c>
    </row>
    <row r="71" spans="1:5" hidden="1" x14ac:dyDescent="0.2">
      <c r="A71" s="303" t="s">
        <v>241</v>
      </c>
      <c r="B71" s="306" t="s">
        <v>196</v>
      </c>
      <c r="C71" s="307" t="s">
        <v>197</v>
      </c>
      <c r="D71" s="308">
        <v>33075.082135320001</v>
      </c>
      <c r="E71" s="230" cm="1">
        <f t="array" ref="E71">D71/_xlfn.IFS(B71="MENSUAL",12,B71="TRIMESTRAL",4,B71="SEMESTRAL",2,B71="ANUAL",1)</f>
        <v>8268.7705338300002</v>
      </c>
    </row>
    <row r="72" spans="1:5" hidden="1" x14ac:dyDescent="0.2">
      <c r="A72" s="303" t="s">
        <v>241</v>
      </c>
      <c r="B72" s="306" t="s">
        <v>196</v>
      </c>
      <c r="C72" s="307" t="s">
        <v>197</v>
      </c>
      <c r="D72" s="308">
        <v>32503.75161096</v>
      </c>
      <c r="E72" s="230" cm="1">
        <f t="array" ref="E72">D72/_xlfn.IFS(B72="MENSUAL",12,B72="TRIMESTRAL",4,B72="SEMESTRAL",2,B72="ANUAL",1)</f>
        <v>8125.93790274</v>
      </c>
    </row>
    <row r="73" spans="1:5" hidden="1" x14ac:dyDescent="0.2">
      <c r="A73" s="303" t="s">
        <v>242</v>
      </c>
      <c r="B73" s="306" t="s">
        <v>199</v>
      </c>
      <c r="C73" s="307" t="s">
        <v>197</v>
      </c>
      <c r="D73" s="308">
        <v>17161.679819451598</v>
      </c>
      <c r="E73" s="230" cm="1">
        <f t="array" ref="E73">D73/_xlfn.IFS(B73="MENSUAL",12,B73="TRIMESTRAL",4,B73="SEMESTRAL",2,B73="ANUAL",1)</f>
        <v>1430.1399849542997</v>
      </c>
    </row>
    <row r="74" spans="1:5" hidden="1" x14ac:dyDescent="0.2">
      <c r="A74" s="303" t="s">
        <v>201</v>
      </c>
      <c r="B74" s="306" t="s">
        <v>199</v>
      </c>
      <c r="C74" s="307" t="s">
        <v>194</v>
      </c>
      <c r="D74" s="308">
        <v>30041.279999999999</v>
      </c>
      <c r="E74" s="230" cm="1">
        <f t="array" ref="E74">D74/_xlfn.IFS(B74="MENSUAL",12,B74="TRIMESTRAL",4,B74="SEMESTRAL",2,B74="ANUAL",1)</f>
        <v>2503.44</v>
      </c>
    </row>
    <row r="75" spans="1:5" hidden="1" x14ac:dyDescent="0.2">
      <c r="A75" s="303" t="s">
        <v>201</v>
      </c>
      <c r="B75" s="306" t="s">
        <v>199</v>
      </c>
      <c r="C75" s="307" t="s">
        <v>194</v>
      </c>
      <c r="D75" s="308">
        <v>50775.600000000006</v>
      </c>
      <c r="E75" s="230" cm="1">
        <f t="array" ref="E75">D75/_xlfn.IFS(B75="MENSUAL",12,B75="TRIMESTRAL",4,B75="SEMESTRAL",2,B75="ANUAL",1)</f>
        <v>4231.3</v>
      </c>
    </row>
    <row r="76" spans="1:5" hidden="1" x14ac:dyDescent="0.2">
      <c r="A76" s="303" t="s">
        <v>161</v>
      </c>
      <c r="B76" s="306" t="s">
        <v>198</v>
      </c>
      <c r="C76" s="307" t="s">
        <v>197</v>
      </c>
      <c r="D76" s="308">
        <v>145893.4610406</v>
      </c>
      <c r="E76" s="230" cm="1">
        <f t="array" ref="E76">D76/_xlfn.IFS(B76="MENSUAL",12,B76="TRIMESTRAL",4,B76="SEMESTRAL",2,B76="ANUAL",1)</f>
        <v>145893.4610406</v>
      </c>
    </row>
    <row r="77" spans="1:5" hidden="1" x14ac:dyDescent="0.2">
      <c r="A77" s="303" t="s">
        <v>243</v>
      </c>
      <c r="B77" s="306" t="s">
        <v>198</v>
      </c>
      <c r="C77" s="307" t="s">
        <v>197</v>
      </c>
      <c r="D77" s="308">
        <v>191564.73908906002</v>
      </c>
      <c r="E77" s="230" cm="1">
        <f t="array" ref="E77">D77/_xlfn.IFS(B77="MENSUAL",12,B77="TRIMESTRAL",4,B77="SEMESTRAL",2,B77="ANUAL",1)</f>
        <v>191564.73908906002</v>
      </c>
    </row>
    <row r="78" spans="1:5" hidden="1" x14ac:dyDescent="0.2">
      <c r="A78" s="303" t="s">
        <v>231</v>
      </c>
      <c r="B78" s="306" t="s">
        <v>193</v>
      </c>
      <c r="C78" s="307" t="s">
        <v>197</v>
      </c>
      <c r="D78" s="308">
        <v>35758.326685800006</v>
      </c>
      <c r="E78" s="230" cm="1">
        <f t="array" ref="E78">D78/_xlfn.IFS(B78="MENSUAL",12,B78="TRIMESTRAL",4,B78="SEMESTRAL",2,B78="ANUAL",1)</f>
        <v>17879.163342900003</v>
      </c>
    </row>
    <row r="79" spans="1:5" hidden="1" x14ac:dyDescent="0.2">
      <c r="A79" s="303" t="s">
        <v>231</v>
      </c>
      <c r="B79" s="306" t="s">
        <v>198</v>
      </c>
      <c r="C79" s="307" t="s">
        <v>194</v>
      </c>
      <c r="D79" s="308">
        <v>24780</v>
      </c>
      <c r="E79" s="230" cm="1">
        <f t="array" ref="E79">D79/_xlfn.IFS(B79="MENSUAL",12,B79="TRIMESTRAL",4,B79="SEMESTRAL",2,B79="ANUAL",1)</f>
        <v>24780</v>
      </c>
    </row>
    <row r="80" spans="1:5" hidden="1" x14ac:dyDescent="0.2">
      <c r="A80" s="303" t="s">
        <v>163</v>
      </c>
      <c r="B80" s="306" t="s">
        <v>193</v>
      </c>
      <c r="C80" s="307" t="s">
        <v>197</v>
      </c>
      <c r="D80" s="308">
        <v>19756.742717399997</v>
      </c>
      <c r="E80" s="230" cm="1">
        <f t="array" ref="E80">D80/_xlfn.IFS(B80="MENSUAL",12,B80="TRIMESTRAL",4,B80="SEMESTRAL",2,B80="ANUAL",1)</f>
        <v>9878.3713586999984</v>
      </c>
    </row>
    <row r="81" spans="1:5" hidden="1" x14ac:dyDescent="0.2">
      <c r="A81" s="303" t="s">
        <v>163</v>
      </c>
      <c r="B81" s="306" t="s">
        <v>199</v>
      </c>
      <c r="C81" s="307" t="s">
        <v>197</v>
      </c>
      <c r="D81" s="308">
        <v>28714.2149941752</v>
      </c>
      <c r="E81" s="230" cm="1">
        <f t="array" ref="E81">D81/_xlfn.IFS(B81="MENSUAL",12,B81="TRIMESTRAL",4,B81="SEMESTRAL",2,B81="ANUAL",1)</f>
        <v>2392.8512495146001</v>
      </c>
    </row>
    <row r="82" spans="1:5" hidden="1" x14ac:dyDescent="0.2">
      <c r="A82" s="303" t="s">
        <v>149</v>
      </c>
      <c r="B82" s="306" t="s">
        <v>198</v>
      </c>
      <c r="C82" s="307" t="s">
        <v>194</v>
      </c>
      <c r="D82" s="308">
        <v>10508.23</v>
      </c>
      <c r="E82" s="230" cm="1">
        <f t="array" ref="E82">D82/_xlfn.IFS(B82="MENSUAL",12,B82="TRIMESTRAL",4,B82="SEMESTRAL",2,B82="ANUAL",1)</f>
        <v>10508.23</v>
      </c>
    </row>
    <row r="83" spans="1:5" hidden="1" x14ac:dyDescent="0.2">
      <c r="A83" s="303" t="s">
        <v>149</v>
      </c>
      <c r="B83" s="306" t="s">
        <v>198</v>
      </c>
      <c r="C83" s="307" t="s">
        <v>194</v>
      </c>
      <c r="D83" s="308">
        <v>19875.68</v>
      </c>
      <c r="E83" s="230" cm="1">
        <f t="array" ref="E83">D83/_xlfn.IFS(B83="MENSUAL",12,B83="TRIMESTRAL",4,B83="SEMESTRAL",2,B83="ANUAL",1)</f>
        <v>19875.68</v>
      </c>
    </row>
    <row r="84" spans="1:5" hidden="1" x14ac:dyDescent="0.2">
      <c r="A84" s="303" t="s">
        <v>149</v>
      </c>
      <c r="B84" s="306" t="s">
        <v>198</v>
      </c>
      <c r="C84" s="307" t="s">
        <v>194</v>
      </c>
      <c r="D84" s="308">
        <v>13844.84</v>
      </c>
      <c r="E84" s="230" cm="1">
        <f t="array" ref="E84">D84/_xlfn.IFS(B84="MENSUAL",12,B84="TRIMESTRAL",4,B84="SEMESTRAL",2,B84="ANUAL",1)</f>
        <v>13844.84</v>
      </c>
    </row>
    <row r="85" spans="1:5" hidden="1" x14ac:dyDescent="0.2">
      <c r="A85" s="303" t="s">
        <v>149</v>
      </c>
      <c r="B85" s="306" t="s">
        <v>199</v>
      </c>
      <c r="C85" s="307" t="s">
        <v>194</v>
      </c>
      <c r="D85" s="308">
        <v>37671.96</v>
      </c>
      <c r="E85" s="230" cm="1">
        <f t="array" ref="E85">D85/_xlfn.IFS(B85="MENSUAL",12,B85="TRIMESTRAL",4,B85="SEMESTRAL",2,B85="ANUAL",1)</f>
        <v>3139.33</v>
      </c>
    </row>
    <row r="86" spans="1:5" hidden="1" x14ac:dyDescent="0.2">
      <c r="A86" s="303" t="s">
        <v>149</v>
      </c>
      <c r="B86" s="306" t="s">
        <v>198</v>
      </c>
      <c r="C86" s="307" t="s">
        <v>194</v>
      </c>
      <c r="D86" s="308">
        <v>6897.41</v>
      </c>
      <c r="E86" s="230" cm="1">
        <f t="array" ref="E86">D86/_xlfn.IFS(B86="MENSUAL",12,B86="TRIMESTRAL",4,B86="SEMESTRAL",2,B86="ANUAL",1)</f>
        <v>6897.41</v>
      </c>
    </row>
    <row r="87" spans="1:5" hidden="1" x14ac:dyDescent="0.2">
      <c r="A87" s="303" t="s">
        <v>153</v>
      </c>
      <c r="B87" s="306" t="s">
        <v>199</v>
      </c>
      <c r="C87" s="307" t="s">
        <v>197</v>
      </c>
      <c r="D87" s="308">
        <v>65400.111213749988</v>
      </c>
      <c r="E87" s="230" cm="1">
        <f t="array" ref="E87">D87/_xlfn.IFS(B87="MENSUAL",12,B87="TRIMESTRAL",4,B87="SEMESTRAL",2,B87="ANUAL",1)</f>
        <v>5450.0092678124993</v>
      </c>
    </row>
    <row r="88" spans="1:5" hidden="1" x14ac:dyDescent="0.2">
      <c r="A88" s="303" t="s">
        <v>153</v>
      </c>
      <c r="B88" s="306" t="s">
        <v>199</v>
      </c>
      <c r="C88" s="307" t="s">
        <v>197</v>
      </c>
      <c r="D88" s="308">
        <v>65765.734326635997</v>
      </c>
      <c r="E88" s="230" cm="1">
        <f t="array" ref="E88">D88/_xlfn.IFS(B88="MENSUAL",12,B88="TRIMESTRAL",4,B88="SEMESTRAL",2,B88="ANUAL",1)</f>
        <v>5480.477860553</v>
      </c>
    </row>
    <row r="89" spans="1:5" hidden="1" x14ac:dyDescent="0.2">
      <c r="A89" s="303" t="s">
        <v>153</v>
      </c>
      <c r="B89" s="306" t="s">
        <v>199</v>
      </c>
      <c r="C89" s="307" t="s">
        <v>197</v>
      </c>
      <c r="D89" s="308">
        <v>64994.054531699992</v>
      </c>
      <c r="E89" s="230" cm="1">
        <f t="array" ref="E89">D89/_xlfn.IFS(B89="MENSUAL",12,B89="TRIMESTRAL",4,B89="SEMESTRAL",2,B89="ANUAL",1)</f>
        <v>5416.1712109749997</v>
      </c>
    </row>
    <row r="90" spans="1:5" x14ac:dyDescent="0.2">
      <c r="A90" s="303" t="s">
        <v>155</v>
      </c>
      <c r="B90" s="306" t="s">
        <v>198</v>
      </c>
      <c r="C90" s="307" t="s">
        <v>194</v>
      </c>
      <c r="D90" s="308">
        <v>20551.52</v>
      </c>
      <c r="E90" s="230" cm="1">
        <f t="array" ref="E90">D90/_xlfn.IFS(B90="MENSUAL",12,B90="TRIMESTRAL",4,B90="SEMESTRAL",2,B90="ANUAL",1)</f>
        <v>20551.52</v>
      </c>
    </row>
    <row r="91" spans="1:5" x14ac:dyDescent="0.2">
      <c r="A91" s="303" t="s">
        <v>155</v>
      </c>
      <c r="B91" s="306" t="s">
        <v>198</v>
      </c>
      <c r="C91" s="307" t="s">
        <v>194</v>
      </c>
      <c r="D91" s="308">
        <v>161635.44</v>
      </c>
      <c r="E91" s="230" cm="1">
        <f t="array" ref="E91">D91/_xlfn.IFS(B91="MENSUAL",12,B91="TRIMESTRAL",4,B91="SEMESTRAL",2,B91="ANUAL",1)</f>
        <v>161635.44</v>
      </c>
    </row>
    <row r="92" spans="1:5" x14ac:dyDescent="0.2">
      <c r="A92" s="303" t="s">
        <v>155</v>
      </c>
      <c r="B92" s="306" t="s">
        <v>199</v>
      </c>
      <c r="C92" s="307" t="s">
        <v>197</v>
      </c>
      <c r="D92" s="308">
        <v>47674.43560836</v>
      </c>
      <c r="E92" s="230" cm="1">
        <f t="array" ref="E92">D92/_xlfn.IFS(B92="MENSUAL",12,B92="TRIMESTRAL",4,B92="SEMESTRAL",2,B92="ANUAL",1)</f>
        <v>3972.8696340299998</v>
      </c>
    </row>
    <row r="93" spans="1:5" x14ac:dyDescent="0.2">
      <c r="A93" s="303" t="s">
        <v>155</v>
      </c>
      <c r="B93" s="306" t="s">
        <v>199</v>
      </c>
      <c r="C93" s="307" t="s">
        <v>197</v>
      </c>
      <c r="D93" s="308">
        <v>88995.49463999999</v>
      </c>
      <c r="E93" s="304" cm="1">
        <f t="array" ref="E93">D93/_xlfn.IFS(B93="MENSUAL",12,B93="TRIMESTRAL",4,B93="SEMESTRAL",2,B93="ANUAL",1)</f>
        <v>7416.2912199999992</v>
      </c>
    </row>
    <row r="94" spans="1:5" hidden="1" x14ac:dyDescent="0.2">
      <c r="A94" s="303" t="s">
        <v>203</v>
      </c>
      <c r="B94" s="306" t="s">
        <v>198</v>
      </c>
      <c r="C94" s="307" t="s">
        <v>197</v>
      </c>
      <c r="D94" s="308">
        <v>28936.077418360001</v>
      </c>
      <c r="E94" s="304" cm="1">
        <f t="array" ref="E94">D94/_xlfn.IFS(B94="MENSUAL",12,B94="TRIMESTRAL",4,B94="SEMESTRAL",2,B94="ANUAL",1)</f>
        <v>28936.077418360001</v>
      </c>
    </row>
    <row r="95" spans="1:5" hidden="1" x14ac:dyDescent="0.2">
      <c r="A95" s="303" t="s">
        <v>203</v>
      </c>
      <c r="B95" s="306" t="s">
        <v>198</v>
      </c>
      <c r="C95" s="307" t="s">
        <v>197</v>
      </c>
      <c r="D95" s="308">
        <v>23866.29423241</v>
      </c>
      <c r="E95" s="304" cm="1">
        <f t="array" ref="E95">D95/_xlfn.IFS(B95="MENSUAL",12,B95="TRIMESTRAL",4,B95="SEMESTRAL",2,B95="ANUAL",1)</f>
        <v>23866.29423241</v>
      </c>
    </row>
    <row r="96" spans="1:5" hidden="1" x14ac:dyDescent="0.2">
      <c r="A96" s="303" t="s">
        <v>157</v>
      </c>
      <c r="B96" s="306" t="s">
        <v>199</v>
      </c>
      <c r="C96" s="307" t="s">
        <v>197</v>
      </c>
      <c r="D96" s="308">
        <v>25856.183505600005</v>
      </c>
      <c r="E96" s="304" cm="1">
        <f t="array" ref="E96">D96/_xlfn.IFS(B96="MENSUAL",12,B96="TRIMESTRAL",4,B96="SEMESTRAL",2,B96="ANUAL",1)</f>
        <v>2154.6819588000003</v>
      </c>
    </row>
    <row r="97" spans="1:5" hidden="1" x14ac:dyDescent="0.2">
      <c r="A97" s="303" t="s">
        <v>157</v>
      </c>
      <c r="B97" s="306" t="s">
        <v>199</v>
      </c>
      <c r="C97" s="307" t="s">
        <v>197</v>
      </c>
      <c r="D97" s="308">
        <v>21291.369463679999</v>
      </c>
      <c r="E97" s="304" cm="1">
        <f t="array" ref="E97">D97/_xlfn.IFS(B97="MENSUAL",12,B97="TRIMESTRAL",4,B97="SEMESTRAL",2,B97="ANUAL",1)</f>
        <v>1774.2807886399999</v>
      </c>
    </row>
    <row r="98" spans="1:5" hidden="1" x14ac:dyDescent="0.2">
      <c r="A98" s="303" t="s">
        <v>205</v>
      </c>
      <c r="B98" s="306" t="s">
        <v>198</v>
      </c>
      <c r="C98" s="307" t="s">
        <v>197</v>
      </c>
      <c r="D98" s="308">
        <v>138938.2231</v>
      </c>
      <c r="E98" s="304" cm="1">
        <f t="array" ref="E98">D98/_xlfn.IFS(B98="MENSUAL",12,B98="TRIMESTRAL",4,B98="SEMESTRAL",2,B98="ANUAL",1)</f>
        <v>138938.2231</v>
      </c>
    </row>
    <row r="99" spans="1:5" hidden="1" x14ac:dyDescent="0.2">
      <c r="A99" s="303" t="s">
        <v>205</v>
      </c>
      <c r="B99" s="306" t="s">
        <v>198</v>
      </c>
      <c r="C99" s="307" t="s">
        <v>197</v>
      </c>
      <c r="D99" s="308">
        <v>20123.50344</v>
      </c>
      <c r="E99" s="304" cm="1">
        <f t="array" ref="E99">D99/_xlfn.IFS(B99="MENSUAL",12,B99="TRIMESTRAL",4,B99="SEMESTRAL",2,B99="ANUAL",1)</f>
        <v>20123.50344</v>
      </c>
    </row>
    <row r="100" spans="1:5" hidden="1" x14ac:dyDescent="0.2">
      <c r="A100" s="303" t="s">
        <v>205</v>
      </c>
      <c r="B100" s="306" t="s">
        <v>198</v>
      </c>
      <c r="C100" s="307" t="s">
        <v>197</v>
      </c>
      <c r="D100" s="308">
        <v>121996.848</v>
      </c>
      <c r="E100" s="304" cm="1">
        <f t="array" ref="E100">D100/_xlfn.IFS(B100="MENSUAL",12,B100="TRIMESTRAL",4,B100="SEMESTRAL",2,B100="ANUAL",1)</f>
        <v>121996.848</v>
      </c>
    </row>
    <row r="101" spans="1:5" hidden="1" x14ac:dyDescent="0.2">
      <c r="A101" s="303" t="s">
        <v>205</v>
      </c>
      <c r="B101" s="306" t="s">
        <v>198</v>
      </c>
      <c r="C101" s="307" t="s">
        <v>194</v>
      </c>
      <c r="D101" s="308">
        <v>34372.230000000003</v>
      </c>
      <c r="E101" s="304" cm="1">
        <f t="array" ref="E101">D101/_xlfn.IFS(B101="MENSUAL",12,B101="TRIMESTRAL",4,B101="SEMESTRAL",2,B101="ANUAL",1)</f>
        <v>34372.230000000003</v>
      </c>
    </row>
    <row r="102" spans="1:5" hidden="1" x14ac:dyDescent="0.2">
      <c r="A102" s="303" t="s">
        <v>205</v>
      </c>
      <c r="B102" s="306" t="s">
        <v>198</v>
      </c>
      <c r="C102" s="307" t="s">
        <v>197</v>
      </c>
      <c r="D102" s="308">
        <v>19944.129127200002</v>
      </c>
      <c r="E102" s="304" cm="1">
        <f t="array" ref="E102">D102/_xlfn.IFS(B102="MENSUAL",12,B102="TRIMESTRAL",4,B102="SEMESTRAL",2,B102="ANUAL",1)</f>
        <v>19944.129127200002</v>
      </c>
    </row>
    <row r="103" spans="1:5" hidden="1" x14ac:dyDescent="0.2">
      <c r="A103" s="303" t="s">
        <v>205</v>
      </c>
      <c r="B103" s="306" t="s">
        <v>199</v>
      </c>
      <c r="C103" s="307" t="s">
        <v>197</v>
      </c>
      <c r="D103" s="308">
        <v>21385.522891200002</v>
      </c>
      <c r="E103" s="304" cm="1">
        <f t="array" ref="E103">D103/_xlfn.IFS(B103="MENSUAL",12,B103="TRIMESTRAL",4,B103="SEMESTRAL",2,B103="ANUAL",1)</f>
        <v>1782.1269076000001</v>
      </c>
    </row>
    <row r="104" spans="1:5" hidden="1" x14ac:dyDescent="0.2">
      <c r="A104" s="303" t="s">
        <v>205</v>
      </c>
      <c r="B104" s="306" t="s">
        <v>199</v>
      </c>
      <c r="C104" s="307" t="s">
        <v>197</v>
      </c>
      <c r="D104" s="308">
        <v>18435.808956000001</v>
      </c>
      <c r="E104" s="304" cm="1">
        <f t="array" ref="E104">D104/_xlfn.IFS(B104="MENSUAL",12,B104="TRIMESTRAL",4,B104="SEMESTRAL",2,B104="ANUAL",1)</f>
        <v>1536.317413</v>
      </c>
    </row>
    <row r="105" spans="1:5" hidden="1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138" priority="25" stopIfTrue="1">
      <formula>$S$34=1</formula>
    </cfRule>
  </conditionalFormatting>
  <conditionalFormatting sqref="A7:A50">
    <cfRule type="expression" dxfId="137" priority="23" stopIfTrue="1">
      <formula>$S7=1</formula>
    </cfRule>
    <cfRule type="expression" dxfId="136" priority="24" stopIfTrue="1">
      <formula>$S6=1</formula>
    </cfRule>
  </conditionalFormatting>
  <conditionalFormatting sqref="A51">
    <cfRule type="expression" dxfId="135" priority="30" stopIfTrue="1">
      <formula>$T50=1</formula>
    </cfRule>
    <cfRule type="expression" dxfId="134" priority="29" stopIfTrue="1">
      <formula>$T51=1</formula>
    </cfRule>
  </conditionalFormatting>
  <conditionalFormatting sqref="A59:A105">
    <cfRule type="expression" dxfId="133" priority="7">
      <formula>$F59="TERMINADA"</formula>
    </cfRule>
    <cfRule type="expression" dxfId="132" priority="8">
      <formula>$F59="ANULADA"</formula>
    </cfRule>
  </conditionalFormatting>
  <conditionalFormatting sqref="B59:B105">
    <cfRule type="expression" dxfId="131" priority="5">
      <formula>$F59="TERMINADA"</formula>
    </cfRule>
    <cfRule type="expression" dxfId="130" priority="6">
      <formula>$F59="ANULADA"</formula>
    </cfRule>
  </conditionalFormatting>
  <conditionalFormatting sqref="C59:C105">
    <cfRule type="expression" dxfId="129" priority="2">
      <formula>$F59="ANULADA"</formula>
    </cfRule>
    <cfRule type="expression" dxfId="128" priority="1">
      <formula>$F59="TERMINADA"</formula>
    </cfRule>
  </conditionalFormatting>
  <conditionalFormatting sqref="C6:D6">
    <cfRule type="expression" dxfId="127" priority="39" stopIfTrue="1">
      <formula>#REF!=1</formula>
    </cfRule>
  </conditionalFormatting>
  <conditionalFormatting sqref="C7:D31 J8:J26 I27:J31">
    <cfRule type="expression" dxfId="126" priority="37" stopIfTrue="1">
      <formula>$T6=1</formula>
    </cfRule>
    <cfRule type="expression" dxfId="125" priority="36" stopIfTrue="1">
      <formula>$T7=1</formula>
    </cfRule>
  </conditionalFormatting>
  <conditionalFormatting sqref="C32:D32">
    <cfRule type="expression" dxfId="124" priority="67" stopIfTrue="1">
      <formula>$T31=1</formula>
    </cfRule>
  </conditionalFormatting>
  <conditionalFormatting sqref="C32:D51">
    <cfRule type="expression" dxfId="123" priority="40" stopIfTrue="1">
      <formula>$S32=1</formula>
    </cfRule>
  </conditionalFormatting>
  <conditionalFormatting sqref="C33:D51">
    <cfRule type="expression" dxfId="122" priority="41" stopIfTrue="1">
      <formula>$S32=1</formula>
    </cfRule>
  </conditionalFormatting>
  <conditionalFormatting sqref="D59:D105">
    <cfRule type="expression" dxfId="121" priority="3">
      <formula>$F59="TERMINADA"</formula>
    </cfRule>
    <cfRule type="expression" dxfId="120" priority="4">
      <formula>$F59="ANULADA"</formula>
    </cfRule>
  </conditionalFormatting>
  <conditionalFormatting sqref="E6:E28">
    <cfRule type="expression" dxfId="119" priority="63" stopIfTrue="1">
      <formula>$S9=1</formula>
    </cfRule>
  </conditionalFormatting>
  <conditionalFormatting sqref="E6:E47">
    <cfRule type="expression" dxfId="118" priority="53" stopIfTrue="1">
      <formula>#REF!=1</formula>
    </cfRule>
  </conditionalFormatting>
  <conditionalFormatting sqref="E29:E47">
    <cfRule type="expression" dxfId="117" priority="54" stopIfTrue="1">
      <formula>$R32=1</formula>
    </cfRule>
  </conditionalFormatting>
  <conditionalFormatting sqref="E40:E47">
    <cfRule type="expression" dxfId="116" priority="61" stopIfTrue="1">
      <formula>$R43=1</formula>
    </cfRule>
  </conditionalFormatting>
  <conditionalFormatting sqref="E40:E51">
    <cfRule type="expression" dxfId="115" priority="60" stopIfTrue="1">
      <formula>#REF!=1</formula>
    </cfRule>
  </conditionalFormatting>
  <conditionalFormatting sqref="E48:E51">
    <cfRule type="expression" dxfId="114" priority="69" stopIfTrue="1">
      <formula>$R52=1</formula>
    </cfRule>
    <cfRule type="expression" dxfId="113" priority="68" stopIfTrue="1">
      <formula>#REF!=1</formula>
    </cfRule>
    <cfRule type="expression" dxfId="112" priority="62" stopIfTrue="1">
      <formula>$R52=1</formula>
    </cfRule>
  </conditionalFormatting>
  <conditionalFormatting sqref="F6">
    <cfRule type="expression" dxfId="111" priority="65" stopIfTrue="1">
      <formula>$T5=1</formula>
    </cfRule>
  </conditionalFormatting>
  <conditionalFormatting sqref="F6:F31">
    <cfRule type="expression" dxfId="110" priority="64" stopIfTrue="1">
      <formula>$U6=1</formula>
    </cfRule>
  </conditionalFormatting>
  <conditionalFormatting sqref="F7:F32">
    <cfRule type="expression" dxfId="109" priority="66" stopIfTrue="1">
      <formula>$U6=1</formula>
    </cfRule>
  </conditionalFormatting>
  <conditionalFormatting sqref="F32:F51">
    <cfRule type="expression" dxfId="108" priority="55" stopIfTrue="1">
      <formula>$T32=1</formula>
    </cfRule>
  </conditionalFormatting>
  <conditionalFormatting sqref="F33:F51">
    <cfRule type="expression" dxfId="107" priority="56" stopIfTrue="1">
      <formula>$T32=1</formula>
    </cfRule>
  </conditionalFormatting>
  <conditionalFormatting sqref="F40:F51">
    <cfRule type="expression" dxfId="106" priority="58" stopIfTrue="1">
      <formula>$T39=1</formula>
    </cfRule>
    <cfRule type="expression" dxfId="105" priority="57" stopIfTrue="1">
      <formula>$T40=1</formula>
    </cfRule>
  </conditionalFormatting>
  <conditionalFormatting sqref="G59:H63 J59:J63">
    <cfRule type="expression" dxfId="104" priority="31">
      <formula>$F59="TERMINADA"</formula>
    </cfRule>
    <cfRule type="expression" dxfId="103" priority="32">
      <formula>$F59="ANULADA"</formula>
    </cfRule>
  </conditionalFormatting>
  <conditionalFormatting sqref="H5">
    <cfRule type="expression" dxfId="102" priority="49" stopIfTrue="1">
      <formula>#REF!=1</formula>
    </cfRule>
  </conditionalFormatting>
  <conditionalFormatting sqref="H6">
    <cfRule type="expression" dxfId="101" priority="59" stopIfTrue="1">
      <formula>$T5=1</formula>
    </cfRule>
  </conditionalFormatting>
  <conditionalFormatting sqref="H6:H26">
    <cfRule type="expression" dxfId="100" priority="50" stopIfTrue="1">
      <formula>$U6=1</formula>
    </cfRule>
  </conditionalFormatting>
  <conditionalFormatting sqref="H7:H21 H23:H26">
    <cfRule type="expression" dxfId="99" priority="51" stopIfTrue="1">
      <formula>$U6=1</formula>
    </cfRule>
  </conditionalFormatting>
  <conditionalFormatting sqref="H22">
    <cfRule type="expression" dxfId="98" priority="52" stopIfTrue="1">
      <formula>#REF!=1</formula>
    </cfRule>
  </conditionalFormatting>
  <conditionalFormatting sqref="I6">
    <cfRule type="expression" dxfId="97" priority="38" stopIfTrue="1">
      <formula>#REF!=1</formula>
    </cfRule>
  </conditionalFormatting>
  <conditionalFormatting sqref="I7">
    <cfRule type="expression" dxfId="96" priority="22" stopIfTrue="1">
      <formula>$S$34=1</formula>
    </cfRule>
  </conditionalFormatting>
  <conditionalFormatting sqref="I8:I26">
    <cfRule type="expression" dxfId="95" priority="20" stopIfTrue="1">
      <formula>$S8=1</formula>
    </cfRule>
    <cfRule type="expression" dxfId="94" priority="21" stopIfTrue="1">
      <formula>$S7=1</formula>
    </cfRule>
  </conditionalFormatting>
  <conditionalFormatting sqref="I59">
    <cfRule type="expression" dxfId="93" priority="46">
      <formula>#REF!="ANULADA"</formula>
    </cfRule>
    <cfRule type="expression" dxfId="92" priority="45">
      <formula>#REF!="TERMINADA"</formula>
    </cfRule>
  </conditionalFormatting>
  <conditionalFormatting sqref="I60">
    <cfRule type="expression" dxfId="91" priority="44">
      <formula>$F44="ANULADA"</formula>
    </cfRule>
    <cfRule type="expression" dxfId="90" priority="43">
      <formula>$F44="TERMINADA"</formula>
    </cfRule>
  </conditionalFormatting>
  <conditionalFormatting sqref="I61:I63">
    <cfRule type="expression" dxfId="89" priority="48">
      <formula>$F46="ANULADA"</formula>
    </cfRule>
    <cfRule type="expression" dxfId="88" priority="47">
      <formula>$F46="TERMINADA"</formula>
    </cfRule>
  </conditionalFormatting>
  <conditionalFormatting sqref="J6:J7">
    <cfRule type="expression" dxfId="87" priority="42" stopIfTrue="1">
      <formula>#REF!=1</formula>
    </cfRule>
  </conditionalFormatting>
  <conditionalFormatting sqref="K6:L6">
    <cfRule type="expression" dxfId="86" priority="35" stopIfTrue="1">
      <formula>#REF!=1</formula>
    </cfRule>
  </conditionalFormatting>
  <conditionalFormatting sqref="K7:L7">
    <cfRule type="expression" dxfId="85" priority="19" stopIfTrue="1">
      <formula>$S$34=1</formula>
    </cfRule>
  </conditionalFormatting>
  <conditionalFormatting sqref="K8:L18">
    <cfRule type="expression" dxfId="84" priority="17" stopIfTrue="1">
      <formula>$S8=1</formula>
    </cfRule>
    <cfRule type="expression" dxfId="83" priority="18" stopIfTrue="1">
      <formula>$S7=1</formula>
    </cfRule>
  </conditionalFormatting>
  <conditionalFormatting sqref="K19:L29">
    <cfRule type="expression" dxfId="82" priority="34" stopIfTrue="1">
      <formula>$T18=1</formula>
    </cfRule>
    <cfRule type="expression" dxfId="81" priority="33" stopIfTrue="1">
      <formula>$T19=1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5AD-C6B0-7340-9C1F-71FB9C4BF6FE}">
  <dimension ref="A1:J47"/>
  <sheetViews>
    <sheetView topLeftCell="A12" zoomScale="82" workbookViewId="0">
      <selection activeCell="J34" sqref="J34"/>
    </sheetView>
  </sheetViews>
  <sheetFormatPr baseColWidth="10" defaultRowHeight="16" x14ac:dyDescent="0.2"/>
  <cols>
    <col min="1" max="1" width="33.5" bestFit="1" customWidth="1"/>
    <col min="4" max="4" width="14.6640625" style="309" customWidth="1"/>
    <col min="6" max="6" width="15.6640625" style="309" customWidth="1"/>
    <col min="7" max="7" width="17.1640625" style="309" customWidth="1"/>
    <col min="9" max="9" width="21.83203125" customWidth="1"/>
    <col min="10" max="10" width="21.5" customWidth="1"/>
  </cols>
  <sheetData>
    <row r="1" spans="1:10" x14ac:dyDescent="0.2">
      <c r="A1" t="s">
        <v>1</v>
      </c>
      <c r="B1" t="s">
        <v>2</v>
      </c>
      <c r="C1" t="s">
        <v>3</v>
      </c>
      <c r="D1" s="309" t="s">
        <v>122</v>
      </c>
      <c r="E1" t="s">
        <v>5</v>
      </c>
      <c r="F1" s="309" t="s">
        <v>123</v>
      </c>
      <c r="G1" s="309" t="s">
        <v>7</v>
      </c>
      <c r="I1" s="318" t="s">
        <v>125</v>
      </c>
      <c r="J1" s="318"/>
    </row>
    <row r="2" spans="1:10" x14ac:dyDescent="0.2">
      <c r="A2" t="s">
        <v>12</v>
      </c>
      <c r="B2">
        <v>6</v>
      </c>
      <c r="C2">
        <v>6</v>
      </c>
      <c r="D2" s="309">
        <v>1421726.6</v>
      </c>
      <c r="E2">
        <v>0</v>
      </c>
      <c r="F2" s="309">
        <v>0</v>
      </c>
      <c r="G2" s="309">
        <v>1421726.6</v>
      </c>
      <c r="I2" s="313" t="s">
        <v>252</v>
      </c>
      <c r="J2" s="310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 s="309">
        <v>304321.14798779995</v>
      </c>
      <c r="E3">
        <v>0.5</v>
      </c>
      <c r="F3" s="309">
        <v>34372.230000000003</v>
      </c>
      <c r="G3" s="309">
        <v>338693.37798779993</v>
      </c>
      <c r="I3" s="313" t="s">
        <v>253</v>
      </c>
      <c r="J3" s="311">
        <f>SUM(C2:C46)</f>
        <v>42</v>
      </c>
    </row>
    <row r="4" spans="1:10" x14ac:dyDescent="0.2">
      <c r="A4" t="s">
        <v>76</v>
      </c>
      <c r="B4">
        <v>3</v>
      </c>
      <c r="C4">
        <v>2</v>
      </c>
      <c r="D4" s="309">
        <v>11389.160854029999</v>
      </c>
      <c r="E4">
        <v>1</v>
      </c>
      <c r="F4" s="309">
        <v>182186.96</v>
      </c>
      <c r="G4" s="309">
        <v>193576.12085402998</v>
      </c>
      <c r="I4" s="313" t="s">
        <v>254</v>
      </c>
      <c r="J4" s="310">
        <f>SUM(F2:F46)</f>
        <v>346641.91999999998</v>
      </c>
    </row>
    <row r="5" spans="1:10" ht="17" thickBot="1" x14ac:dyDescent="0.25">
      <c r="A5" t="s">
        <v>31</v>
      </c>
      <c r="B5">
        <v>1</v>
      </c>
      <c r="C5">
        <v>1</v>
      </c>
      <c r="D5" s="309">
        <v>191564.73908906002</v>
      </c>
      <c r="E5">
        <v>0</v>
      </c>
      <c r="F5" s="309">
        <v>0</v>
      </c>
      <c r="G5" s="309">
        <v>191564.73908906002</v>
      </c>
      <c r="I5" s="314" t="s">
        <v>255</v>
      </c>
      <c r="J5" s="312">
        <f>SUM(E2:E46)</f>
        <v>7.5</v>
      </c>
    </row>
    <row r="6" spans="1:10" x14ac:dyDescent="0.2">
      <c r="A6" t="s">
        <v>26</v>
      </c>
      <c r="B6">
        <v>1</v>
      </c>
      <c r="C6">
        <v>1</v>
      </c>
      <c r="D6" s="309">
        <v>145893.4610406</v>
      </c>
      <c r="E6">
        <v>0</v>
      </c>
      <c r="F6" s="309">
        <v>0</v>
      </c>
      <c r="G6" s="309">
        <v>145893.4610406</v>
      </c>
      <c r="I6" s="313" t="s">
        <v>256</v>
      </c>
      <c r="J6" s="311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 s="309">
        <v>96059.24099952</v>
      </c>
      <c r="E7">
        <v>0.5</v>
      </c>
      <c r="F7" s="309">
        <v>35721.82</v>
      </c>
      <c r="G7" s="309">
        <v>131781.06099952001</v>
      </c>
      <c r="I7" s="313" t="s">
        <v>257</v>
      </c>
      <c r="J7" s="310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 s="309">
        <v>115429.10242508999</v>
      </c>
      <c r="E8">
        <v>0</v>
      </c>
      <c r="F8" s="309">
        <v>0</v>
      </c>
      <c r="G8" s="309">
        <v>115429.10242508999</v>
      </c>
    </row>
    <row r="9" spans="1:10" x14ac:dyDescent="0.2">
      <c r="A9" t="s">
        <v>43</v>
      </c>
      <c r="B9">
        <v>2.5</v>
      </c>
      <c r="C9">
        <v>0</v>
      </c>
      <c r="D9" s="309">
        <v>0</v>
      </c>
      <c r="E9">
        <v>2.5</v>
      </c>
      <c r="F9" s="309">
        <v>54265.49</v>
      </c>
      <c r="G9" s="309">
        <v>54265.49</v>
      </c>
    </row>
    <row r="10" spans="1:10" x14ac:dyDescent="0.2">
      <c r="A10" t="s">
        <v>186</v>
      </c>
      <c r="B10">
        <v>2</v>
      </c>
      <c r="C10">
        <v>2</v>
      </c>
      <c r="D10" s="309">
        <v>52802.371650770001</v>
      </c>
      <c r="E10">
        <v>0</v>
      </c>
      <c r="F10" s="309">
        <v>0</v>
      </c>
      <c r="G10" s="309">
        <v>52802.371650770001</v>
      </c>
    </row>
    <row r="11" spans="1:10" x14ac:dyDescent="0.2">
      <c r="A11" t="s">
        <v>32</v>
      </c>
      <c r="B11">
        <v>1.5</v>
      </c>
      <c r="C11">
        <v>1</v>
      </c>
      <c r="D11" s="309">
        <v>17879.163342900003</v>
      </c>
      <c r="E11">
        <v>0.5</v>
      </c>
      <c r="F11" s="309">
        <v>24780</v>
      </c>
      <c r="G11" s="309">
        <v>42659.163342900007</v>
      </c>
      <c r="I11" s="319" t="s">
        <v>56</v>
      </c>
      <c r="J11" s="320"/>
    </row>
    <row r="12" spans="1:10" x14ac:dyDescent="0.2">
      <c r="A12" t="s">
        <v>236</v>
      </c>
      <c r="B12">
        <v>2</v>
      </c>
      <c r="C12">
        <v>2</v>
      </c>
      <c r="D12" s="309">
        <v>16394.708436569999</v>
      </c>
      <c r="E12">
        <v>0</v>
      </c>
      <c r="F12" s="309">
        <v>0</v>
      </c>
      <c r="G12" s="309">
        <v>16394.708436569999</v>
      </c>
      <c r="I12" s="315" t="s">
        <v>132</v>
      </c>
      <c r="J12" s="296" t="s">
        <v>182</v>
      </c>
    </row>
    <row r="13" spans="1:10" x14ac:dyDescent="0.2">
      <c r="A13" t="s">
        <v>30</v>
      </c>
      <c r="B13">
        <v>3</v>
      </c>
      <c r="C13">
        <v>3</v>
      </c>
      <c r="D13" s="309">
        <v>16346.658339340498</v>
      </c>
      <c r="E13">
        <v>0</v>
      </c>
      <c r="F13" s="309">
        <v>0</v>
      </c>
      <c r="G13" s="309">
        <v>16346.658339340498</v>
      </c>
      <c r="I13" s="315" t="s">
        <v>134</v>
      </c>
      <c r="J13" s="296" t="s">
        <v>126</v>
      </c>
    </row>
    <row r="14" spans="1:10" x14ac:dyDescent="0.2">
      <c r="A14" t="s">
        <v>25</v>
      </c>
      <c r="B14">
        <v>2</v>
      </c>
      <c r="C14">
        <v>2</v>
      </c>
      <c r="D14" s="309">
        <v>12271.222608214599</v>
      </c>
      <c r="E14">
        <v>0</v>
      </c>
      <c r="F14" s="309">
        <v>0</v>
      </c>
      <c r="G14" s="309">
        <v>12271.222608214599</v>
      </c>
      <c r="I14" s="315" t="s">
        <v>136</v>
      </c>
      <c r="J14" s="296" t="s">
        <v>182</v>
      </c>
    </row>
    <row r="15" spans="1:10" x14ac:dyDescent="0.2">
      <c r="A15" t="s">
        <v>29</v>
      </c>
      <c r="B15">
        <v>3.5</v>
      </c>
      <c r="C15">
        <v>3</v>
      </c>
      <c r="D15" s="309">
        <v>5882.0826781200003</v>
      </c>
      <c r="E15">
        <v>0.5</v>
      </c>
      <c r="F15" s="309">
        <v>3285.35</v>
      </c>
      <c r="G15" s="309">
        <v>9167.4326781199998</v>
      </c>
      <c r="I15" s="315" t="s">
        <v>137</v>
      </c>
      <c r="J15" s="296" t="s">
        <v>126</v>
      </c>
    </row>
    <row r="16" spans="1:10" x14ac:dyDescent="0.2">
      <c r="A16" t="s">
        <v>78</v>
      </c>
      <c r="B16">
        <v>1</v>
      </c>
      <c r="C16">
        <v>0</v>
      </c>
      <c r="D16" s="309">
        <v>0</v>
      </c>
      <c r="E16">
        <v>1</v>
      </c>
      <c r="F16" s="309">
        <v>6734.74</v>
      </c>
      <c r="G16" s="309">
        <v>6734.74</v>
      </c>
      <c r="I16" s="315" t="s">
        <v>138</v>
      </c>
      <c r="J16" s="296" t="s">
        <v>237</v>
      </c>
    </row>
    <row r="17" spans="1:10" x14ac:dyDescent="0.2">
      <c r="A17" t="s">
        <v>224</v>
      </c>
      <c r="B17">
        <v>2</v>
      </c>
      <c r="C17">
        <v>1</v>
      </c>
      <c r="D17" s="309">
        <v>1188.9100000000001</v>
      </c>
      <c r="E17">
        <v>1</v>
      </c>
      <c r="F17" s="309">
        <v>5295.33</v>
      </c>
      <c r="G17" s="309">
        <v>6484.24</v>
      </c>
      <c r="I17" s="315" t="s">
        <v>140</v>
      </c>
      <c r="J17" s="296" t="s">
        <v>238</v>
      </c>
    </row>
    <row r="18" spans="1:10" x14ac:dyDescent="0.2">
      <c r="A18" t="s">
        <v>244</v>
      </c>
      <c r="B18">
        <v>2</v>
      </c>
      <c r="C18">
        <v>2</v>
      </c>
      <c r="D18" s="309">
        <v>3928.9627474400004</v>
      </c>
      <c r="E18">
        <v>0</v>
      </c>
      <c r="F18" s="309">
        <v>0</v>
      </c>
      <c r="G18" s="309">
        <v>3928.9627474400004</v>
      </c>
      <c r="I18" s="315" t="s">
        <v>141</v>
      </c>
      <c r="J18" s="296" t="s">
        <v>237</v>
      </c>
    </row>
    <row r="19" spans="1:10" x14ac:dyDescent="0.2">
      <c r="A19" t="s">
        <v>130</v>
      </c>
      <c r="B19">
        <v>2</v>
      </c>
      <c r="C19">
        <v>2</v>
      </c>
      <c r="D19" s="309">
        <v>3476</v>
      </c>
      <c r="E19">
        <v>0</v>
      </c>
      <c r="F19" s="309">
        <v>0</v>
      </c>
      <c r="G19" s="309">
        <v>3215.45</v>
      </c>
      <c r="I19" s="316" t="s">
        <v>143</v>
      </c>
      <c r="J19" s="296" t="s">
        <v>128</v>
      </c>
    </row>
    <row r="20" spans="1:10" x14ac:dyDescent="0.2">
      <c r="A20" t="s">
        <v>247</v>
      </c>
      <c r="B20">
        <v>1</v>
      </c>
      <c r="C20">
        <v>1</v>
      </c>
      <c r="D20" s="309">
        <v>3110.6931886889993</v>
      </c>
      <c r="E20">
        <v>0</v>
      </c>
      <c r="F20" s="309">
        <v>0</v>
      </c>
      <c r="G20" s="309">
        <v>3110.6931886889993</v>
      </c>
    </row>
    <row r="21" spans="1:10" x14ac:dyDescent="0.2">
      <c r="A21" t="s">
        <v>245</v>
      </c>
      <c r="B21">
        <v>1</v>
      </c>
      <c r="C21">
        <v>1</v>
      </c>
      <c r="D21" s="309">
        <v>3018.6032884000001</v>
      </c>
      <c r="E21">
        <v>0</v>
      </c>
      <c r="F21" s="309">
        <v>0</v>
      </c>
      <c r="G21" s="309">
        <v>3018.6032884000001</v>
      </c>
    </row>
    <row r="22" spans="1:10" x14ac:dyDescent="0.2">
      <c r="A22" t="s">
        <v>246</v>
      </c>
      <c r="B22">
        <v>1</v>
      </c>
      <c r="C22">
        <v>1</v>
      </c>
      <c r="D22" s="309">
        <v>2075.5369823999995</v>
      </c>
      <c r="E22">
        <v>0</v>
      </c>
      <c r="F22" s="309">
        <v>0</v>
      </c>
      <c r="G22" s="309">
        <v>2075.5369823999995</v>
      </c>
    </row>
    <row r="23" spans="1:10" x14ac:dyDescent="0.2">
      <c r="A23" t="s">
        <v>37</v>
      </c>
      <c r="B23">
        <v>1</v>
      </c>
      <c r="C23">
        <v>1</v>
      </c>
      <c r="D23" s="309">
        <v>1430.1399849542997</v>
      </c>
      <c r="E23">
        <v>0</v>
      </c>
      <c r="F23" s="309">
        <v>0</v>
      </c>
      <c r="G23" s="309">
        <v>1430.1399849542997</v>
      </c>
    </row>
    <row r="24" spans="1:10" x14ac:dyDescent="0.2">
      <c r="A24" t="s">
        <v>39</v>
      </c>
      <c r="B24">
        <v>0</v>
      </c>
      <c r="C24">
        <v>0</v>
      </c>
      <c r="D24" s="309">
        <v>0</v>
      </c>
      <c r="E24">
        <v>0</v>
      </c>
      <c r="F24" s="309">
        <v>0</v>
      </c>
      <c r="G24" s="309">
        <v>0</v>
      </c>
    </row>
    <row r="25" spans="1:10" x14ac:dyDescent="0.2">
      <c r="A25" t="s">
        <v>248</v>
      </c>
      <c r="B25">
        <v>0</v>
      </c>
      <c r="C25">
        <v>0</v>
      </c>
      <c r="D25" s="309">
        <v>0</v>
      </c>
      <c r="E25">
        <v>0</v>
      </c>
      <c r="F25" s="309">
        <v>0</v>
      </c>
      <c r="G25" s="309">
        <v>0</v>
      </c>
    </row>
    <row r="26" spans="1:10" x14ac:dyDescent="0.2">
      <c r="A26" t="s">
        <v>27</v>
      </c>
      <c r="B26">
        <v>0</v>
      </c>
      <c r="C26">
        <v>0</v>
      </c>
      <c r="D26" s="309">
        <v>0</v>
      </c>
      <c r="E26">
        <v>0</v>
      </c>
      <c r="F26" s="309">
        <v>0</v>
      </c>
      <c r="G26" s="309">
        <v>0</v>
      </c>
    </row>
    <row r="27" spans="1:10" x14ac:dyDescent="0.2">
      <c r="A27" t="s">
        <v>110</v>
      </c>
      <c r="B27">
        <v>0</v>
      </c>
      <c r="C27">
        <v>0</v>
      </c>
      <c r="D27" s="309">
        <v>0</v>
      </c>
      <c r="E27">
        <v>0</v>
      </c>
      <c r="F27" s="309">
        <v>0</v>
      </c>
      <c r="G27" s="309">
        <v>0</v>
      </c>
    </row>
    <row r="28" spans="1:10" x14ac:dyDescent="0.2">
      <c r="A28" t="s">
        <v>249</v>
      </c>
      <c r="B28">
        <v>0</v>
      </c>
      <c r="C28">
        <v>0</v>
      </c>
      <c r="D28" s="309">
        <v>0</v>
      </c>
      <c r="E28">
        <v>0</v>
      </c>
      <c r="F28" s="309">
        <v>0</v>
      </c>
      <c r="G28" s="309">
        <v>0</v>
      </c>
    </row>
    <row r="29" spans="1:10" x14ac:dyDescent="0.2">
      <c r="A29" t="s">
        <v>97</v>
      </c>
      <c r="B29">
        <v>0</v>
      </c>
      <c r="C29">
        <v>0</v>
      </c>
      <c r="D29" s="309">
        <v>0</v>
      </c>
      <c r="E29">
        <v>0</v>
      </c>
      <c r="F29" s="309">
        <v>0</v>
      </c>
      <c r="G29" s="309">
        <v>0</v>
      </c>
    </row>
    <row r="30" spans="1:10" x14ac:dyDescent="0.2">
      <c r="A30" t="s">
        <v>41</v>
      </c>
      <c r="B30">
        <v>0</v>
      </c>
      <c r="C30">
        <v>0</v>
      </c>
      <c r="D30" s="309">
        <v>0</v>
      </c>
      <c r="E30">
        <v>0</v>
      </c>
      <c r="F30" s="309">
        <v>0</v>
      </c>
      <c r="G30" s="309">
        <v>0</v>
      </c>
    </row>
    <row r="31" spans="1:10" x14ac:dyDescent="0.2">
      <c r="A31" t="s">
        <v>250</v>
      </c>
      <c r="B31">
        <v>0</v>
      </c>
      <c r="C31">
        <v>0</v>
      </c>
      <c r="D31" s="309">
        <v>0</v>
      </c>
      <c r="E31">
        <v>0</v>
      </c>
      <c r="F31" s="309">
        <v>0</v>
      </c>
      <c r="G31" s="309">
        <v>0</v>
      </c>
    </row>
    <row r="32" spans="1:10" x14ac:dyDescent="0.2">
      <c r="A32" t="s">
        <v>96</v>
      </c>
      <c r="B32">
        <v>0</v>
      </c>
      <c r="C32">
        <v>0</v>
      </c>
      <c r="D32" s="309">
        <v>0</v>
      </c>
      <c r="E32">
        <v>0</v>
      </c>
      <c r="F32" s="309">
        <v>0</v>
      </c>
      <c r="G32" s="309">
        <v>0</v>
      </c>
    </row>
    <row r="33" spans="1:10" x14ac:dyDescent="0.2">
      <c r="A33" t="s">
        <v>28</v>
      </c>
      <c r="B33">
        <v>0</v>
      </c>
      <c r="C33">
        <v>0</v>
      </c>
      <c r="D33" s="309">
        <v>0</v>
      </c>
      <c r="E33">
        <v>0</v>
      </c>
      <c r="F33" s="309">
        <v>0</v>
      </c>
      <c r="G33" s="309">
        <v>0</v>
      </c>
    </row>
    <row r="34" spans="1:10" x14ac:dyDescent="0.2">
      <c r="A34" t="s">
        <v>124</v>
      </c>
      <c r="B34">
        <v>0</v>
      </c>
      <c r="C34">
        <v>0</v>
      </c>
      <c r="D34" s="309">
        <v>0</v>
      </c>
      <c r="E34">
        <v>0</v>
      </c>
      <c r="F34" s="309">
        <v>0</v>
      </c>
      <c r="G34" s="309">
        <v>0</v>
      </c>
      <c r="J34" s="317"/>
    </row>
    <row r="35" spans="1:10" x14ac:dyDescent="0.2">
      <c r="A35" t="s">
        <v>47</v>
      </c>
      <c r="B35">
        <v>0</v>
      </c>
      <c r="C35">
        <v>0</v>
      </c>
      <c r="D35" s="309">
        <v>0</v>
      </c>
      <c r="E35">
        <v>0</v>
      </c>
      <c r="F35" s="309">
        <v>0</v>
      </c>
      <c r="G35" s="309">
        <v>0</v>
      </c>
    </row>
    <row r="36" spans="1:10" x14ac:dyDescent="0.2">
      <c r="A36" t="s">
        <v>38</v>
      </c>
      <c r="B36">
        <v>0</v>
      </c>
      <c r="C36">
        <v>0</v>
      </c>
      <c r="D36" s="309">
        <v>0</v>
      </c>
      <c r="E36">
        <v>0</v>
      </c>
      <c r="F36" s="309">
        <v>0</v>
      </c>
      <c r="G36" s="309">
        <v>0</v>
      </c>
    </row>
    <row r="37" spans="1:10" x14ac:dyDescent="0.2">
      <c r="A37" t="s">
        <v>105</v>
      </c>
      <c r="B37">
        <v>0</v>
      </c>
      <c r="C37">
        <v>0</v>
      </c>
      <c r="D37" s="309">
        <v>0</v>
      </c>
      <c r="E37">
        <v>0</v>
      </c>
      <c r="F37" s="309">
        <v>0</v>
      </c>
      <c r="G37" s="309">
        <v>0</v>
      </c>
    </row>
    <row r="38" spans="1:10" x14ac:dyDescent="0.2">
      <c r="A38" t="s">
        <v>251</v>
      </c>
      <c r="B38">
        <v>0</v>
      </c>
      <c r="C38">
        <v>0</v>
      </c>
      <c r="D38" s="309">
        <v>0</v>
      </c>
      <c r="E38">
        <v>0</v>
      </c>
      <c r="F38" s="309">
        <v>0</v>
      </c>
      <c r="G38" s="309">
        <v>0</v>
      </c>
    </row>
    <row r="39" spans="1:10" x14ac:dyDescent="0.2">
      <c r="A39" t="s">
        <v>46</v>
      </c>
      <c r="B39">
        <v>0</v>
      </c>
      <c r="C39">
        <v>0</v>
      </c>
      <c r="D39" s="309">
        <v>0</v>
      </c>
      <c r="E39">
        <v>0</v>
      </c>
      <c r="F39" s="309">
        <v>0</v>
      </c>
      <c r="G39" s="309">
        <v>0</v>
      </c>
    </row>
    <row r="40" spans="1:10" x14ac:dyDescent="0.2">
      <c r="A40" t="s">
        <v>170</v>
      </c>
      <c r="B40">
        <v>0</v>
      </c>
      <c r="C40">
        <v>0</v>
      </c>
      <c r="D40" s="309">
        <v>0</v>
      </c>
      <c r="E40">
        <v>0</v>
      </c>
      <c r="F40" s="309">
        <v>0</v>
      </c>
      <c r="G40" s="309">
        <v>0</v>
      </c>
    </row>
    <row r="41" spans="1:10" x14ac:dyDescent="0.2">
      <c r="A41" t="s">
        <v>22</v>
      </c>
      <c r="B41">
        <v>0</v>
      </c>
      <c r="C41">
        <v>0</v>
      </c>
      <c r="D41" s="309">
        <v>0</v>
      </c>
      <c r="E41">
        <v>0</v>
      </c>
      <c r="F41" s="309">
        <v>0</v>
      </c>
      <c r="G41" s="309">
        <v>0</v>
      </c>
    </row>
    <row r="42" spans="1:10" x14ac:dyDescent="0.2">
      <c r="A42" t="s">
        <v>19</v>
      </c>
      <c r="B42">
        <v>0</v>
      </c>
      <c r="C42">
        <v>0</v>
      </c>
      <c r="D42" s="309">
        <v>0</v>
      </c>
      <c r="E42">
        <v>0</v>
      </c>
      <c r="F42" s="309">
        <v>0</v>
      </c>
      <c r="G42" s="309">
        <v>0</v>
      </c>
    </row>
    <row r="43" spans="1:10" x14ac:dyDescent="0.2">
      <c r="A43" t="s">
        <v>131</v>
      </c>
      <c r="B43">
        <v>0</v>
      </c>
      <c r="C43">
        <v>0</v>
      </c>
      <c r="D43" s="309">
        <v>0</v>
      </c>
      <c r="E43">
        <v>0</v>
      </c>
      <c r="F43" s="309">
        <v>0</v>
      </c>
      <c r="G43" s="309">
        <v>0</v>
      </c>
    </row>
    <row r="44" spans="1:10" x14ac:dyDescent="0.2">
      <c r="A44" t="s">
        <v>116</v>
      </c>
      <c r="B44">
        <v>0</v>
      </c>
      <c r="C44">
        <v>0</v>
      </c>
      <c r="D44" s="309">
        <v>0</v>
      </c>
      <c r="E44">
        <v>0</v>
      </c>
      <c r="F44" s="309">
        <v>0</v>
      </c>
      <c r="G44" s="309">
        <v>0</v>
      </c>
    </row>
    <row r="45" spans="1:10" x14ac:dyDescent="0.2">
      <c r="A45" t="s">
        <v>49</v>
      </c>
      <c r="B45">
        <v>0</v>
      </c>
      <c r="C45">
        <v>0</v>
      </c>
      <c r="D45" s="309">
        <v>0</v>
      </c>
      <c r="E45">
        <v>0</v>
      </c>
      <c r="F45" s="309">
        <v>0</v>
      </c>
      <c r="G45" s="309">
        <v>0</v>
      </c>
    </row>
    <row r="46" spans="1:10" x14ac:dyDescent="0.2">
      <c r="A46" s="296"/>
      <c r="B46" s="296"/>
      <c r="C46" s="296"/>
      <c r="D46" s="297"/>
      <c r="E46" s="296"/>
      <c r="F46" s="297"/>
      <c r="G46" s="297"/>
    </row>
    <row r="47" spans="1:10" x14ac:dyDescent="0.2">
      <c r="A47" s="296"/>
      <c r="B47" s="296"/>
      <c r="C47" s="296"/>
      <c r="D47" s="297"/>
      <c r="E47" s="296"/>
      <c r="F47" s="297"/>
      <c r="G47" s="297"/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mergeCells count="2">
    <mergeCell ref="I1:J1"/>
    <mergeCell ref="I11:J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9A44-039F-404F-A302-1A520CDDE291}">
  <dimension ref="A4:O105"/>
  <sheetViews>
    <sheetView showGridLines="0" tabSelected="1" topLeftCell="A49" zoomScale="59" zoomScaleNormal="131" workbookViewId="0">
      <selection activeCell="P69" sqref="P69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8.33203125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21" t="s">
        <v>239</v>
      </c>
      <c r="B4" s="321"/>
      <c r="C4" s="321"/>
      <c r="D4" s="321"/>
      <c r="E4" s="321"/>
      <c r="F4" s="321"/>
      <c r="G4" s="321"/>
      <c r="H4" s="321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76</v>
      </c>
      <c r="B6" s="250">
        <f>SUM(Tabla93617305523576390935466344773412326[[#This Row],[Vida]],Tabla93617305523576390935466344773412326[[#This Row],[Gmm]])</f>
        <v>3</v>
      </c>
      <c r="C6" s="113">
        <v>2</v>
      </c>
      <c r="D6" s="103">
        <v>11380.54</v>
      </c>
      <c r="E6" s="109">
        <f>_xlfn.XLOOKUP(Tabla93617305523576390935466344773412326[[#This Row],[Asesor]],Tabla485189422427[Columna1],Tabla485189422427[Columna12],0)</f>
        <v>1</v>
      </c>
      <c r="F6" s="274">
        <f>_xlfn.XLOOKUP(Tabla93617305523576390935466344773412326[[#This Row],[Asesor]],Tabla485189422427[Columna1],Tabla485189422427[Columna3],0)</f>
        <v>182186.96</v>
      </c>
      <c r="G6" s="254">
        <f>SUM(Tabla93617305523576390935466344773412326[[#This Row],[Prima Pagada vida]],Tabla93617305523576390935466344773412326[[#This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43</v>
      </c>
      <c r="B7" s="250">
        <f>SUM(Tabla93617305523576390935466344773412326[[#This Row],[Vida]],Tabla93617305523576390935466344773412326[[#This Row],[Gmm]])</f>
        <v>2.5</v>
      </c>
      <c r="C7" s="113">
        <v>0</v>
      </c>
      <c r="D7" s="103">
        <v>0</v>
      </c>
      <c r="E7" s="109">
        <f>_xlfn.XLOOKUP(Tabla93617305523576390935466344773412326[[#This Row],[Asesor]],Tabla485189422427[Columna1],Tabla485189422427[Columna12],0)</f>
        <v>2.5</v>
      </c>
      <c r="F7" s="274">
        <f>_xlfn.XLOOKUP(Tabla93617305523576390935466344773412326[[#This Row],[Asesor]],Tabla485189422427[Columna1],Tabla485189422427[Columna3],0)</f>
        <v>54265.49</v>
      </c>
      <c r="G7" s="254">
        <f>SUM(Tabla93617305523576390935466344773412326[[#This Row],[Prima Pagada vida]],Tabla93617305523576390935466344773412326[[#This Row],[Prima Pagada gmm]])</f>
        <v>54265.49</v>
      </c>
      <c r="H7" s="112"/>
      <c r="I7" s="300" t="s">
        <v>76</v>
      </c>
      <c r="J7" s="112">
        <f>Tabla485189422427[[#This Row],[Columna2]]/2</f>
        <v>1</v>
      </c>
      <c r="K7" s="301">
        <v>2</v>
      </c>
      <c r="L7" s="302">
        <v>182186.96</v>
      </c>
      <c r="N7" s="106" t="s">
        <v>132</v>
      </c>
      <c r="O7" s="1" t="s">
        <v>182</v>
      </c>
    </row>
    <row r="8" spans="1:15" ht="13" x14ac:dyDescent="0.15">
      <c r="A8" s="300" t="s">
        <v>10</v>
      </c>
      <c r="B8" s="250">
        <f>SUM(Tabla93617305523576390935466344773412326[[#This Row],[Vida]],Tabla93617305523576390935466344773412326[[#This Row],[Gmm]])</f>
        <v>2.5</v>
      </c>
      <c r="C8" s="113">
        <v>2</v>
      </c>
      <c r="D8" s="103">
        <v>96052.28</v>
      </c>
      <c r="E8" s="109">
        <f>_xlfn.XLOOKUP(Tabla93617305523576390935466344773412326[[#This Row],[Asesor]],Tabla485189422427[Columna1],Tabla485189422427[Columna12],0)</f>
        <v>0.5</v>
      </c>
      <c r="F8" s="274">
        <f>_xlfn.XLOOKUP(Tabla93617305523576390935466344773412326[[#This Row],[Asesor]],Tabla485189422427[Columna1],Tabla485189422427[Columna3],0)</f>
        <v>35721.82</v>
      </c>
      <c r="G8" s="254">
        <f>SUM(Tabla93617305523576390935466344773412326[[#This Row],[Prima Pagada vida]],Tabla93617305523576390935466344773412326[[#This Row],[Prima Pagada gmm]])</f>
        <v>131774.1</v>
      </c>
      <c r="H8" s="112"/>
      <c r="I8" s="300" t="s">
        <v>13</v>
      </c>
      <c r="J8" s="112">
        <f>Tabla485189422427[[#This Row],[Columna2]]/2</f>
        <v>0.5</v>
      </c>
      <c r="K8" s="301">
        <v>1</v>
      </c>
      <c r="L8" s="302">
        <v>34372.230000000003</v>
      </c>
      <c r="N8" s="106" t="s">
        <v>134</v>
      </c>
      <c r="O8" s="1" t="s">
        <v>118</v>
      </c>
    </row>
    <row r="9" spans="1:15" ht="13" x14ac:dyDescent="0.15">
      <c r="A9" s="300" t="s">
        <v>13</v>
      </c>
      <c r="B9" s="250">
        <f>SUM(Tabla93617305523576390935466344773412326[[#This Row],[Vida]],Tabla93617305523576390935466344773412326[[#This Row],[Gmm]])</f>
        <v>6.5</v>
      </c>
      <c r="C9" s="113">
        <v>6</v>
      </c>
      <c r="D9" s="103">
        <v>308451.52</v>
      </c>
      <c r="E9" s="109">
        <f>_xlfn.XLOOKUP(Tabla93617305523576390935466344773412326[[#This Row],[Asesor]],Tabla485189422427[Columna1],Tabla485189422427[Columna12],0)</f>
        <v>0.5</v>
      </c>
      <c r="F9" s="274">
        <f>_xlfn.XLOOKUP(Tabla93617305523576390935466344773412326[[#This Row],[Asesor]],Tabla485189422427[Columna1],Tabla485189422427[Columna3],0)</f>
        <v>34372.230000000003</v>
      </c>
      <c r="G9" s="254">
        <f>SUM(Tabla93617305523576390935466344773412326[[#This Row],[Prima Pagada vida]],Tabla93617305523576390935466344773412326[[#This Row],[Prima Pagada gmm]])</f>
        <v>342823.75</v>
      </c>
      <c r="H9" s="112"/>
      <c r="I9" s="300" t="s">
        <v>43</v>
      </c>
      <c r="J9" s="112">
        <f>Tabla485189422427[[#This Row],[Columna2]]/2</f>
        <v>2.5</v>
      </c>
      <c r="K9" s="301">
        <v>5</v>
      </c>
      <c r="L9" s="302">
        <v>54265.49</v>
      </c>
      <c r="N9" s="106" t="s">
        <v>136</v>
      </c>
      <c r="O9" s="1" t="s">
        <v>182</v>
      </c>
    </row>
    <row r="10" spans="1:15" x14ac:dyDescent="0.15">
      <c r="A10" s="300" t="s">
        <v>32</v>
      </c>
      <c r="B10" s="250">
        <f>SUM(Tabla93617305523576390935466344773412326[[#This Row],[Vida]],Tabla93617305523576390935466344773412326[[#This Row],[Gmm]])</f>
        <v>1.5</v>
      </c>
      <c r="C10" s="113">
        <v>1</v>
      </c>
      <c r="D10" s="103">
        <v>0</v>
      </c>
      <c r="E10" s="109">
        <f>_xlfn.XLOOKUP(Tabla93617305523576390935466344773412326[[#This Row],[Asesor]],Tabla485189422427[Columna1],Tabla485189422427[Columna12],0)</f>
        <v>0.5</v>
      </c>
      <c r="F10" s="274">
        <f>_xlfn.XLOOKUP(Tabla93617305523576390935466344773412326[[#This Row],[Asesor]],Tabla485189422427[Columna1],Tabla485189422427[Columna3],0)</f>
        <v>24780</v>
      </c>
      <c r="G10" s="279">
        <f>SUM(Tabla93617305523576390935466344773412326[[#This Row],[Prima Pagada vida]],Tabla93617305523576390935466344773412326[[#This Row],[Prima Pagada gmm]])</f>
        <v>24780</v>
      </c>
      <c r="H10" s="112"/>
      <c r="I10" s="300" t="s">
        <v>10</v>
      </c>
      <c r="J10" s="112">
        <f>Tabla485189422427[[#This Row],[Columna2]]/2</f>
        <v>0.5</v>
      </c>
      <c r="K10" s="301">
        <v>1</v>
      </c>
      <c r="L10" s="302">
        <v>35721.82</v>
      </c>
      <c r="N10" s="106" t="s">
        <v>137</v>
      </c>
      <c r="O10" s="1" t="s">
        <v>126</v>
      </c>
    </row>
    <row r="11" spans="1:15" ht="13" x14ac:dyDescent="0.15">
      <c r="A11" s="300" t="s">
        <v>78</v>
      </c>
      <c r="B11" s="250">
        <f>SUM(Tabla93617305523576390935466344773412326[[#This Row],[Vida]],Tabla93617305523576390935466344773412326[[#This Row],[Gmm]])</f>
        <v>1</v>
      </c>
      <c r="C11" s="113">
        <v>0</v>
      </c>
      <c r="D11" s="103">
        <v>0</v>
      </c>
      <c r="E11" s="109">
        <f>_xlfn.XLOOKUP(Tabla93617305523576390935466344773412326[[#This Row],[Asesor]],Tabla485189422427[Columna1],Tabla485189422427[Columna12],0)</f>
        <v>1</v>
      </c>
      <c r="F11" s="274">
        <f>_xlfn.XLOOKUP(Tabla93617305523576390935466344773412326[[#This Row],[Asesor]],Tabla485189422427[Columna1],Tabla485189422427[Columna3],0)</f>
        <v>6734.74</v>
      </c>
      <c r="G11" s="254">
        <f>SUM(Tabla93617305523576390935466344773412326[[#This Row],[Prima Pagada vida]],Tabla93617305523576390935466344773412326[[#This Row],[Prima Pagada gmm]])</f>
        <v>6734.74</v>
      </c>
      <c r="H11" s="112"/>
      <c r="I11" s="300" t="s">
        <v>32</v>
      </c>
      <c r="J11" s="112">
        <f>Tabla485189422427[[#This Row],[Columna2]]/2</f>
        <v>0.5</v>
      </c>
      <c r="K11" s="301">
        <v>1</v>
      </c>
      <c r="L11" s="302">
        <v>24780</v>
      </c>
      <c r="N11" s="106" t="s">
        <v>138</v>
      </c>
      <c r="O11" s="1" t="s">
        <v>237</v>
      </c>
    </row>
    <row r="12" spans="1:15" ht="13" x14ac:dyDescent="0.15">
      <c r="A12" s="300" t="s">
        <v>224</v>
      </c>
      <c r="B12" s="250">
        <f>SUM(Tabla93617305523576390935466344773412326[[#This Row],[Vida]],Tabla93617305523576390935466344773412326[[#This Row],[Gmm]])</f>
        <v>2</v>
      </c>
      <c r="C12" s="113">
        <v>1</v>
      </c>
      <c r="D12" s="103">
        <v>1188.9100000000001</v>
      </c>
      <c r="E12" s="109">
        <f>_xlfn.XLOOKUP(Tabla93617305523576390935466344773412326[[#This Row],[Asesor]],Tabla485189422427[Columna1],Tabla485189422427[Columna12],0)</f>
        <v>1</v>
      </c>
      <c r="F12" s="274">
        <f>_xlfn.XLOOKUP(Tabla93617305523576390935466344773412326[[#This Row],[Asesor]],Tabla485189422427[Columna1],Tabla485189422427[Columna3],0)</f>
        <v>5295.33</v>
      </c>
      <c r="G12" s="254">
        <f>SUM(Tabla93617305523576390935466344773412326[[#This Row],[Prima Pagada vida]],Tabla93617305523576390935466344773412326[[#This Row],[Prima Pagada gmm]])</f>
        <v>6484.24</v>
      </c>
      <c r="H12" s="112"/>
      <c r="I12" s="300" t="s">
        <v>29</v>
      </c>
      <c r="J12" s="112">
        <f>Tabla485189422427[[#This Row],[Columna2]]/2</f>
        <v>0.5</v>
      </c>
      <c r="K12" s="301">
        <v>1</v>
      </c>
      <c r="L12" s="302">
        <v>3285.35</v>
      </c>
      <c r="N12" s="106" t="s">
        <v>140</v>
      </c>
      <c r="O12" s="1" t="s">
        <v>238</v>
      </c>
    </row>
    <row r="13" spans="1:15" ht="13" x14ac:dyDescent="0.15">
      <c r="A13" s="300" t="s">
        <v>29</v>
      </c>
      <c r="B13" s="250">
        <f>SUM(Tabla93617305523576390935466344773412326[[#This Row],[Vida]],Tabla93617305523576390935466344773412326[[#This Row],[Gmm]])</f>
        <v>3.5</v>
      </c>
      <c r="C13" s="113">
        <v>3</v>
      </c>
      <c r="D13" s="103">
        <v>5872.79</v>
      </c>
      <c r="E13" s="109">
        <f>_xlfn.XLOOKUP(Tabla93617305523576390935466344773412326[[#This Row],[Asesor]],Tabla485189422427[Columna1],Tabla485189422427[Columna12],0)</f>
        <v>0.5</v>
      </c>
      <c r="F13" s="274">
        <f>_xlfn.XLOOKUP(Tabla93617305523576390935466344773412326[[#This Row],[Asesor]],Tabla485189422427[Columna1],Tabla485189422427[Columna3],0)</f>
        <v>3285.35</v>
      </c>
      <c r="G13" s="254">
        <f>SUM(Tabla93617305523576390935466344773412326[[#This Row],[Prima Pagada vida]],Tabla93617305523576390935466344773412326[[#This Row],[Prima Pagada gmm]])</f>
        <v>9158.14</v>
      </c>
      <c r="H13" s="112"/>
      <c r="I13" s="300" t="s">
        <v>78</v>
      </c>
      <c r="J13" s="112">
        <f>Tabla485189422427[[#This Row],[Columna2]]/2</f>
        <v>1</v>
      </c>
      <c r="K13" s="301">
        <v>2</v>
      </c>
      <c r="L13" s="302">
        <v>6734.74</v>
      </c>
      <c r="N13" s="106" t="s">
        <v>141</v>
      </c>
      <c r="O13" s="1" t="s">
        <v>237</v>
      </c>
    </row>
    <row r="14" spans="1:15" ht="13" x14ac:dyDescent="0.15">
      <c r="A14" s="300" t="s">
        <v>12</v>
      </c>
      <c r="B14" s="250">
        <f>SUM(Tabla93617305523576390935466344773412326[[#This Row],[Vida]],Tabla93617305523576390935466344773412326[[#This Row],[Gmm]])</f>
        <v>4</v>
      </c>
      <c r="C14" s="113">
        <v>4</v>
      </c>
      <c r="D14" s="103">
        <v>1421726.6</v>
      </c>
      <c r="E14" s="109">
        <f>_xlfn.XLOOKUP(Tabla93617305523576390935466344773412326[[#This Row],[Asesor]],Tabla485189422427[Columna1],Tabla485189422427[Columna12],0)</f>
        <v>0</v>
      </c>
      <c r="F14" s="274">
        <f>_xlfn.XLOOKUP(Tabla93617305523576390935466344773412326[[#This Row],[Asesor]],Tabla485189422427[Columna1],Tabla485189422427[Columna3],0)</f>
        <v>0</v>
      </c>
      <c r="G14" s="254">
        <f>SUM(Tabla93617305523576390935466344773412326[[#This Row],[Prima Pagada vida]],Tabla93617305523576390935466344773412326[[#This Row],[Prima Pagada gmm]])</f>
        <v>1421726.6</v>
      </c>
      <c r="H14" s="112"/>
      <c r="I14" s="300" t="s">
        <v>49</v>
      </c>
      <c r="J14" s="112">
        <f>Tabla485189422427[[#This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31</v>
      </c>
      <c r="B15" s="250">
        <f>SUM(Tabla93617305523576390935466344773412326[[#This Row],[Vida]],Tabla93617305523576390935466344773412326[[#This Row],[Gmm]])</f>
        <v>1</v>
      </c>
      <c r="C15" s="113">
        <v>1</v>
      </c>
      <c r="D15" s="103">
        <v>191362.05</v>
      </c>
      <c r="E15" s="109">
        <f>_xlfn.XLOOKUP(Tabla93617305523576390935466344773412326[[#This Row],[Asesor]],Tabla485189422427[Columna1],Tabla485189422427[Columna12],0)</f>
        <v>0</v>
      </c>
      <c r="F15" s="274">
        <f>_xlfn.XLOOKUP(Tabla93617305523576390935466344773412326[[#This Row],[Asesor]],Tabla485189422427[Columna1],Tabla485189422427[Columna3],0)</f>
        <v>0</v>
      </c>
      <c r="G15" s="254">
        <f>SUM(Tabla93617305523576390935466344773412326[[#This Row],[Prima Pagada vida]],Tabla93617305523576390935466344773412326[[#This Row],[Prima Pagada gmm]])</f>
        <v>191362.05</v>
      </c>
      <c r="H15" s="112"/>
      <c r="I15" s="300" t="s">
        <v>26</v>
      </c>
      <c r="J15" s="112">
        <f>Tabla485189422427[[#This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11</v>
      </c>
      <c r="B16" s="250">
        <f>SUM(Tabla93617305523576390935466344773412326[[#This Row],[Vida]],Tabla93617305523576390935466344773412326[[#This Row],[Gmm]])</f>
        <v>1</v>
      </c>
      <c r="C16" s="113">
        <v>1</v>
      </c>
      <c r="D16" s="103">
        <v>63633.32</v>
      </c>
      <c r="E16" s="109">
        <f>_xlfn.XLOOKUP(Tabla93617305523576390935466344773412326[[#This Row],[Asesor]],Tabla485189422427[Columna1],Tabla485189422427[Columna12],0)</f>
        <v>0</v>
      </c>
      <c r="F16" s="274">
        <f>_xlfn.XLOOKUP(Tabla93617305523576390935466344773412326[[#This Row],[Asesor]],Tabla485189422427[Columna1],Tabla485189422427[Columna3],0)</f>
        <v>0</v>
      </c>
      <c r="G16" s="254">
        <f>SUM(Tabla93617305523576390935466344773412326[[#This Row],[Prima Pagada vida]],Tabla93617305523576390935466344773412326[[#This Row],[Prima Pagada gmm]])</f>
        <v>63633.32</v>
      </c>
      <c r="H16" s="112"/>
      <c r="I16" s="300" t="s">
        <v>116</v>
      </c>
      <c r="J16" s="112">
        <f>Tabla485189422427[[#This Row],[Columna2]]/2</f>
        <v>0</v>
      </c>
      <c r="K16" s="301">
        <v>0</v>
      </c>
      <c r="L16" s="302">
        <v>0</v>
      </c>
    </row>
    <row r="17" spans="1:12" ht="13" x14ac:dyDescent="0.15">
      <c r="A17" s="300" t="s">
        <v>186</v>
      </c>
      <c r="B17" s="250">
        <f>SUM(Tabla93617305523576390935466344773412326[[#This Row],[Vida]],Tabla93617305523576390935466344773412326[[#This Row],[Gmm]])</f>
        <v>2</v>
      </c>
      <c r="C17" s="113">
        <v>2</v>
      </c>
      <c r="D17" s="103">
        <v>52787.07</v>
      </c>
      <c r="E17" s="109">
        <f>_xlfn.XLOOKUP(Tabla93617305523576390935466344773412326[[#This Row],[Asesor]],Tabla485189422427[Columna1],Tabla485189422427[Columna12],0)</f>
        <v>0</v>
      </c>
      <c r="F17" s="274">
        <f>_xlfn.XLOOKUP(Tabla93617305523576390935466344773412326[[#This Row],[Asesor]],Tabla485189422427[Columna1],Tabla485189422427[Columna3],0)</f>
        <v>0</v>
      </c>
      <c r="G17" s="254">
        <f>SUM(Tabla93617305523576390935466344773412326[[#This Row],[Prima Pagada vida]],Tabla93617305523576390935466344773412326[[#This Row],[Prima Pagada gmm]])</f>
        <v>52787.07</v>
      </c>
      <c r="H17" s="112"/>
      <c r="I17" s="300" t="s">
        <v>110</v>
      </c>
      <c r="J17" s="112">
        <f>Tabla485189422427[[#This Row],[Columna2]]/2</f>
        <v>0</v>
      </c>
      <c r="K17" s="301">
        <v>0</v>
      </c>
      <c r="L17" s="302">
        <v>0</v>
      </c>
    </row>
    <row r="18" spans="1:12" x14ac:dyDescent="0.15">
      <c r="A18" s="300" t="s">
        <v>236</v>
      </c>
      <c r="B18" s="250">
        <f>SUM(Tabla93617305523576390935466344773412326[[#This Row],[Vida]],Tabla93617305523576390935466344773412326[[#This Row],[Gmm]])</f>
        <v>2</v>
      </c>
      <c r="C18" s="113">
        <v>2</v>
      </c>
      <c r="D18" s="103">
        <v>16380.01</v>
      </c>
      <c r="E18" s="109">
        <f>_xlfn.XLOOKUP(Tabla93617305523576390935466344773412326[[#This Row],[Asesor]],Tabla485189422427[Columna1],Tabla485189422427[Columna12],0)</f>
        <v>0</v>
      </c>
      <c r="F18" s="274">
        <f>_xlfn.XLOOKUP(Tabla93617305523576390935466344773412326[[#This Row],[Asesor]],Tabla485189422427[Columna1],Tabla485189422427[Columna3],0)</f>
        <v>0</v>
      </c>
      <c r="G18" s="279">
        <f>SUM(Tabla93617305523576390935466344773412326[[#This Row],[Prima Pagada vida]],Tabla93617305523576390935466344773412326[[#This Row],[Prima Pagada gmm]])</f>
        <v>16380.01</v>
      </c>
      <c r="H18" s="112"/>
      <c r="I18" s="300" t="s">
        <v>224</v>
      </c>
      <c r="J18" s="112">
        <f>Tabla485189422427[[#This Row],[Columna2]]/2</f>
        <v>1</v>
      </c>
      <c r="K18" s="301">
        <v>2</v>
      </c>
      <c r="L18" s="302">
        <v>5295.33</v>
      </c>
    </row>
    <row r="19" spans="1:12" ht="13" x14ac:dyDescent="0.15">
      <c r="A19" s="300" t="s">
        <v>30</v>
      </c>
      <c r="B19" s="250">
        <f>SUM(Tabla93617305523576390935466344773412326[[#This Row],[Vida]],Tabla93617305523576390935466344773412326[[#This Row],[Gmm]])</f>
        <v>4</v>
      </c>
      <c r="C19" s="113">
        <v>4</v>
      </c>
      <c r="D19" s="103">
        <v>11737.38</v>
      </c>
      <c r="E19" s="109">
        <f>_xlfn.XLOOKUP(Tabla93617305523576390935466344773412326[[#This Row],[Asesor]],Tabla485189422427[Columna1],Tabla485189422427[Columna12],0)</f>
        <v>0</v>
      </c>
      <c r="F19" s="274">
        <f>_xlfn.XLOOKUP(Tabla93617305523576390935466344773412326[[#This Row],[Asesor]],Tabla485189422427[Columna1],Tabla485189422427[Columna3],0)</f>
        <v>0</v>
      </c>
      <c r="G19" s="254">
        <f>SUM(Tabla93617305523576390935466344773412326[[#This Row],[Prima Pagada vida]],Tabla93617305523576390935466344773412326[[#This Row],[Prima Pagada gmm]])</f>
        <v>11737.38</v>
      </c>
      <c r="H19" s="112"/>
      <c r="I19" s="300"/>
      <c r="J19" s="112">
        <f>Tabla485189422427[[#This Row],[Columna2]]/2</f>
        <v>0</v>
      </c>
      <c r="K19" s="113"/>
      <c r="L19" s="103"/>
    </row>
    <row r="20" spans="1:12" ht="13" x14ac:dyDescent="0.15">
      <c r="A20" s="300" t="s">
        <v>25</v>
      </c>
      <c r="B20" s="250">
        <f>SUM(Tabla93617305523576390935466344773412326[[#This Row],[Vida]],Tabla93617305523576390935466344773412326[[#This Row],[Gmm]])</f>
        <v>2</v>
      </c>
      <c r="C20" s="113">
        <v>2</v>
      </c>
      <c r="D20" s="103">
        <v>11392.35</v>
      </c>
      <c r="E20" s="109">
        <f>_xlfn.XLOOKUP(Tabla93617305523576390935466344773412326[[#This Row],[Asesor]],Tabla485189422427[Columna1],Tabla485189422427[Columna12],0)</f>
        <v>0</v>
      </c>
      <c r="F20" s="274">
        <f>_xlfn.XLOOKUP(Tabla93617305523576390935466344773412326[[#This Row],[Asesor]],Tabla485189422427[Columna1],Tabla485189422427[Columna3],0)</f>
        <v>0</v>
      </c>
      <c r="G20" s="254">
        <f>SUM(Tabla93617305523576390935466344773412326[[#This Row],[Prima Pagada vida]],Tabla93617305523576390935466344773412326[[#This Row],[Prima Pagada gmm]])</f>
        <v>11392.35</v>
      </c>
      <c r="H20" s="112"/>
      <c r="I20" s="300"/>
      <c r="J20" s="112">
        <f>Tabla485189422427[[#This Row],[Columna2]]/2</f>
        <v>0</v>
      </c>
      <c r="K20" s="113"/>
      <c r="L20" s="103"/>
    </row>
    <row r="21" spans="1:12" ht="13" x14ac:dyDescent="0.15">
      <c r="A21" s="300" t="s">
        <v>26</v>
      </c>
      <c r="B21" s="250">
        <f>SUM(Tabla93617305523576390935466344773412326[[#This Row],[Vida]],Tabla93617305523576390935466344773412326[[#This Row],[Gmm]])</f>
        <v>1</v>
      </c>
      <c r="C21" s="113">
        <v>1</v>
      </c>
      <c r="D21" s="103">
        <v>6316.29</v>
      </c>
      <c r="E21" s="109">
        <f>_xlfn.XLOOKUP(Tabla93617305523576390935466344773412326[[#This Row],[Asesor]],Tabla485189422427[Columna1],Tabla485189422427[Columna12],0)</f>
        <v>0</v>
      </c>
      <c r="F21" s="274">
        <f>_xlfn.XLOOKUP(Tabla93617305523576390935466344773412326[[#This Row],[Asesor]],Tabla485189422427[Columna1],Tabla485189422427[Columna3],0)</f>
        <v>0</v>
      </c>
      <c r="G21" s="254">
        <f>SUM(Tabla93617305523576390935466344773412326[[#This Row],[Prima Pagada vida]],Tabla93617305523576390935466344773412326[[#This Row],[Prima Pagada gmm]])</f>
        <v>6316.29</v>
      </c>
      <c r="H21" s="112"/>
      <c r="I21" s="300"/>
      <c r="J21" s="112">
        <f>Tabla485189422427[[#This Row],[Columna2]]/2</f>
        <v>0</v>
      </c>
      <c r="K21" s="113"/>
      <c r="L21" s="103"/>
    </row>
    <row r="22" spans="1:12" ht="13" x14ac:dyDescent="0.15">
      <c r="A22" s="300" t="s">
        <v>20</v>
      </c>
      <c r="B22" s="250">
        <f>SUM(Tabla93617305523576390935466344773412326[[#This Row],[Vida]],Tabla93617305523576390935466344773412326[[#This Row],[Gmm]])</f>
        <v>2</v>
      </c>
      <c r="C22" s="113">
        <v>2</v>
      </c>
      <c r="D22" s="103">
        <v>3925.24</v>
      </c>
      <c r="E22" s="109">
        <f>_xlfn.XLOOKUP(Tabla93617305523576390935466344773412326[[#This Row],[Asesor]],Tabla485189422427[Columna1],Tabla485189422427[Columna12],0)</f>
        <v>0</v>
      </c>
      <c r="F22" s="274">
        <f>_xlfn.XLOOKUP(Tabla93617305523576390935466344773412326[[#This Row],[Asesor]],Tabla485189422427[Columna1],Tabla485189422427[Columna3],0)</f>
        <v>0</v>
      </c>
      <c r="G22" s="254">
        <f>SUM(Tabla93617305523576390935466344773412326[[#This Row],[Prima Pagada vida]],Tabla93617305523576390935466344773412326[[#This Row],[Prima Pagada gmm]])</f>
        <v>3925.24</v>
      </c>
      <c r="H22" s="112"/>
      <c r="I22" s="300"/>
      <c r="J22" s="112">
        <f>Tabla485189422427[[#This Row],[Columna2]]/2</f>
        <v>0</v>
      </c>
      <c r="K22" s="113"/>
      <c r="L22" s="103"/>
    </row>
    <row r="23" spans="1:12" ht="13" x14ac:dyDescent="0.15">
      <c r="A23" s="300" t="s">
        <v>130</v>
      </c>
      <c r="B23" s="250">
        <f>SUM(Tabla93617305523576390935466344773412326[[#This Row],[Vida]],Tabla93617305523576390935466344773412326[[#This Row],[Gmm]])</f>
        <v>2</v>
      </c>
      <c r="C23" s="113">
        <v>2</v>
      </c>
      <c r="D23" s="103">
        <v>3215.45</v>
      </c>
      <c r="E23" s="109">
        <f>_xlfn.XLOOKUP(Tabla93617305523576390935466344773412326[[#This Row],[Asesor]],Tabla485189422427[Columna1],Tabla485189422427[Columna12],0)</f>
        <v>0</v>
      </c>
      <c r="F23" s="274">
        <f>_xlfn.XLOOKUP(Tabla93617305523576390935466344773412326[[#This Row],[Asesor]],Tabla485189422427[Columna1],Tabla485189422427[Columna3],0)</f>
        <v>0</v>
      </c>
      <c r="G23" s="254">
        <f>SUM(Tabla93617305523576390935466344773412326[[#This Row],[Prima Pagada vida]],Tabla93617305523576390935466344773412326[[#This Row],[Prima Pagada gmm]])</f>
        <v>3215.45</v>
      </c>
      <c r="H23" s="112"/>
      <c r="I23" s="300"/>
      <c r="J23" s="112">
        <f>Tabla485189422427[[#This Row],[Columna2]]/2</f>
        <v>0</v>
      </c>
      <c r="K23" s="113"/>
      <c r="L23" s="103"/>
    </row>
    <row r="24" spans="1:12" ht="13" x14ac:dyDescent="0.15">
      <c r="A24" s="300" t="s">
        <v>35</v>
      </c>
      <c r="B24" s="250">
        <f>SUM(Tabla93617305523576390935466344773412326[[#This Row],[Vida]],Tabla93617305523576390935466344773412326[[#This Row],[Gmm]])</f>
        <v>1</v>
      </c>
      <c r="C24" s="113">
        <v>1</v>
      </c>
      <c r="D24" s="103">
        <v>3013.57</v>
      </c>
      <c r="E24" s="109">
        <f>_xlfn.XLOOKUP(Tabla93617305523576390935466344773412326[[#This Row],[Asesor]],Tabla485189422427[Columna1],Tabla485189422427[Columna12],0)</f>
        <v>0</v>
      </c>
      <c r="F24" s="274">
        <f>_xlfn.XLOOKUP(Tabla93617305523576390935466344773412326[[#This Row],[Asesor]],Tabla485189422427[Columna1],Tabla485189422427[Columna3],0)</f>
        <v>0</v>
      </c>
      <c r="G24" s="254">
        <f>SUM(Tabla93617305523576390935466344773412326[[#This Row],[Prima Pagada vida]],Tabla93617305523576390935466344773412326[[#This Row],[Prima Pagada gmm]])</f>
        <v>3013.57</v>
      </c>
      <c r="H24" s="112"/>
      <c r="I24" s="300"/>
      <c r="J24" s="112">
        <f>Tabla485189422427[[#This Row],[Columna2]]/2</f>
        <v>0</v>
      </c>
      <c r="K24" s="113"/>
      <c r="L24" s="103"/>
    </row>
    <row r="25" spans="1:12" ht="13" x14ac:dyDescent="0.15">
      <c r="A25" s="300" t="s">
        <v>85</v>
      </c>
      <c r="B25" s="250">
        <f>SUM(Tabla93617305523576390935466344773412326[[#This Row],[Vida]],Tabla93617305523576390935466344773412326[[#This Row],[Gmm]])</f>
        <v>1</v>
      </c>
      <c r="C25" s="113">
        <v>1</v>
      </c>
      <c r="D25" s="103">
        <v>2073.34</v>
      </c>
      <c r="E25" s="109">
        <f>_xlfn.XLOOKUP(Tabla93617305523576390935466344773412326[[#This Row],[Asesor]],Tabla485189422427[Columna1],Tabla485189422427[Columna12],0)</f>
        <v>0</v>
      </c>
      <c r="F25" s="274">
        <f>_xlfn.XLOOKUP(Tabla93617305523576390935466344773412326[[#This Row],[Asesor]],Tabla485189422427[Columna1],Tabla485189422427[Columna3],0)</f>
        <v>0</v>
      </c>
      <c r="G25" s="254">
        <f>SUM(Tabla93617305523576390935466344773412326[[#This Row],[Prima Pagada vida]],Tabla93617305523576390935466344773412326[[#This Row],[Prima Pagada gmm]])</f>
        <v>2073.34</v>
      </c>
      <c r="H25" s="112"/>
      <c r="I25" s="300"/>
      <c r="J25" s="112">
        <f>Tabla485189422427[[#This Row],[Columna2]]/2</f>
        <v>0</v>
      </c>
      <c r="K25" s="113"/>
      <c r="L25" s="103"/>
    </row>
    <row r="26" spans="1:12" ht="13" x14ac:dyDescent="0.15">
      <c r="A26" s="300" t="s">
        <v>17</v>
      </c>
      <c r="B26" s="250">
        <f>SUM(Tabla93617305523576390935466344773412326[[#This Row],[Vida]],Tabla93617305523576390935466344773412326[[#This Row],[Gmm]])</f>
        <v>1</v>
      </c>
      <c r="C26" s="113">
        <v>1</v>
      </c>
      <c r="D26" s="103">
        <v>1671.19</v>
      </c>
      <c r="E26" s="109">
        <f>_xlfn.XLOOKUP(Tabla93617305523576390935466344773412326[[#This Row],[Asesor]],Tabla485189422427[Columna1],Tabla485189422427[Columna12],0)</f>
        <v>0</v>
      </c>
      <c r="F26" s="274">
        <f>_xlfn.XLOOKUP(Tabla93617305523576390935466344773412326[[#This Row],[Asesor]],Tabla485189422427[Columna1],Tabla485189422427[Columna3],0)</f>
        <v>0</v>
      </c>
      <c r="G26" s="254">
        <f>SUM(Tabla93617305523576390935466344773412326[[#This Row],[Prima Pagada vida]],Tabla93617305523576390935466344773412326[[#This Row],[Prima Pagada gmm]])</f>
        <v>1671.19</v>
      </c>
      <c r="H26" s="112"/>
      <c r="I26" s="300"/>
      <c r="J26" s="112">
        <f>Tabla485189422427[[#This Row],[Columna2]]/2</f>
        <v>0</v>
      </c>
      <c r="K26" s="113"/>
      <c r="L26" s="103"/>
    </row>
    <row r="27" spans="1:12" ht="13" x14ac:dyDescent="0.15">
      <c r="A27" s="300" t="s">
        <v>37</v>
      </c>
      <c r="B27" s="250">
        <f>SUM(Tabla93617305523576390935466344773412326[[#This Row],[Vida]],Tabla93617305523576390935466344773412326[[#This Row],[Gmm]])</f>
        <v>1</v>
      </c>
      <c r="C27" s="113">
        <v>1</v>
      </c>
      <c r="D27" s="103">
        <v>88.15</v>
      </c>
      <c r="E27" s="277">
        <f>_xlfn.XLOOKUP(Tabla93617305523576390935466344773412326[[#This Row],[Asesor]],Tabla485189422427[Columna1],Tabla485189422427[Columna12],0)</f>
        <v>0</v>
      </c>
      <c r="F27" s="274">
        <f>_xlfn.XLOOKUP(Tabla93617305523576390935466344773412326[[#This Row],[Asesor]],Tabla485189422427[Columna1],Tabla485189422427[Columna3],0)</f>
        <v>0</v>
      </c>
      <c r="G27" s="254">
        <f>SUM(Tabla93617305523576390935466344773412326[[#This Row],[Prima Pagada vida]],Tabla93617305523576390935466344773412326[[#This Row],[Prima Pagada gmm]])</f>
        <v>88.15</v>
      </c>
      <c r="I27" s="112"/>
      <c r="J27" s="112">
        <f>Tabla485189422427[[#This Row],[Columna2]]/2</f>
        <v>0</v>
      </c>
      <c r="K27" s="113"/>
      <c r="L27" s="103"/>
    </row>
    <row r="28" spans="1:12" ht="13" x14ac:dyDescent="0.15">
      <c r="A28" s="300" t="s">
        <v>39</v>
      </c>
      <c r="B28" s="250">
        <f>SUM(Tabla93617305523576390935466344773412326[[#This Row],[Vida]],Tabla93617305523576390935466344773412326[[#This Row],[Gmm]])</f>
        <v>0</v>
      </c>
      <c r="C28" s="113">
        <v>0</v>
      </c>
      <c r="D28" s="103">
        <v>0</v>
      </c>
      <c r="E28" s="109">
        <f>_xlfn.XLOOKUP(Tabla93617305523576390935466344773412326[[#This Row],[Asesor]],Tabla485189422427[Columna1],Tabla485189422427[Columna12],0)</f>
        <v>0</v>
      </c>
      <c r="F28" s="274">
        <f>_xlfn.XLOOKUP(Tabla93617305523576390935466344773412326[[#This Row],[Asesor]],Tabla485189422427[Columna1],Tabla485189422427[Columna3],0)</f>
        <v>0</v>
      </c>
      <c r="G28" s="254">
        <f>SUM(Tabla93617305523576390935466344773412326[[#This Row],[Prima Pagada vida]],Tabla93617305523576390935466344773412326[[#This Row],[Prima Pagada gmm]])</f>
        <v>0</v>
      </c>
      <c r="I28" s="112"/>
      <c r="J28" s="112">
        <f>Tabla485189422427[[#This Row],[Columna2]]/2</f>
        <v>0</v>
      </c>
      <c r="K28" s="113"/>
      <c r="L28" s="103"/>
    </row>
    <row r="29" spans="1:12" ht="13" x14ac:dyDescent="0.15">
      <c r="A29" s="300" t="s">
        <v>98</v>
      </c>
      <c r="B29" s="250">
        <f>SUM(Tabla93617305523576390935466344773412326[[#This Row],[Vida]],Tabla93617305523576390935466344773412326[[#This Row],[Gmm]])</f>
        <v>0</v>
      </c>
      <c r="C29" s="113">
        <v>0</v>
      </c>
      <c r="D29" s="103">
        <v>0</v>
      </c>
      <c r="E29" s="109">
        <f>_xlfn.XLOOKUP(Tabla93617305523576390935466344773412326[[#This Row],[Asesor]],Tabla485189422427[Columna1],Tabla485189422427[Columna12],0)</f>
        <v>0</v>
      </c>
      <c r="F29" s="274">
        <f>_xlfn.XLOOKUP(Tabla93617305523576390935466344773412326[[#This Row],[Asesor]],Tabla485189422427[Columna1],Tabla485189422427[Columna3],0)</f>
        <v>0</v>
      </c>
      <c r="G29" s="254">
        <f>SUM(Tabla93617305523576390935466344773412326[[#This Row],[Prima Pagada vida]],Tabla93617305523576390935466344773412326[[#This Row],[Prima Pagada gmm]])</f>
        <v>0</v>
      </c>
      <c r="I29" s="112"/>
      <c r="J29" s="112">
        <f>Tabla485189422427[[#This Row],[Columna2]]/2</f>
        <v>0</v>
      </c>
      <c r="K29" s="113"/>
      <c r="L29" s="103"/>
    </row>
    <row r="30" spans="1:12" ht="13" x14ac:dyDescent="0.15">
      <c r="A30" s="300" t="s">
        <v>27</v>
      </c>
      <c r="B30" s="250">
        <f>SUM(Tabla93617305523576390935466344773412326[[#This Row],[Vida]],Tabla93617305523576390935466344773412326[[#This Row],[Gmm]])</f>
        <v>0</v>
      </c>
      <c r="C30" s="113">
        <v>0</v>
      </c>
      <c r="D30" s="103">
        <v>0</v>
      </c>
      <c r="E30" s="109">
        <f>_xlfn.XLOOKUP(Tabla93617305523576390935466344773412326[[#This Row],[Asesor]],Tabla485189422427[Columna1],Tabla485189422427[Columna12],0)</f>
        <v>0</v>
      </c>
      <c r="F30" s="274">
        <f>_xlfn.XLOOKUP(Tabla93617305523576390935466344773412326[[#This Row],[Asesor]],Tabla485189422427[Columna1],Tabla485189422427[Columna3],0)</f>
        <v>0</v>
      </c>
      <c r="G30" s="254">
        <f>SUM(Tabla93617305523576390935466344773412326[[#This Row],[Prima Pagada vida]],Tabla93617305523576390935466344773412326[[#This Row],[Prima Pagada gmm]])</f>
        <v>0</v>
      </c>
      <c r="I30" s="112"/>
      <c r="J30" s="112">
        <f>Tabla485189422427[[#This Row],[Columna2]]/2</f>
        <v>0</v>
      </c>
      <c r="K30" s="113"/>
      <c r="L30" s="103"/>
    </row>
    <row r="31" spans="1:12" ht="13" x14ac:dyDescent="0.15">
      <c r="A31" s="300" t="s">
        <v>110</v>
      </c>
      <c r="B31" s="250">
        <f>SUM(Tabla93617305523576390935466344773412326[[#This Row],[Vida]],Tabla93617305523576390935466344773412326[[#This Row],[Gmm]])</f>
        <v>0</v>
      </c>
      <c r="C31" s="113">
        <v>0</v>
      </c>
      <c r="D31" s="103">
        <v>0</v>
      </c>
      <c r="E31" s="109">
        <f>_xlfn.XLOOKUP(Tabla93617305523576390935466344773412326[[#This Row],[Asesor]],Tabla485189422427[Columna1],Tabla485189422427[Columna12],0)</f>
        <v>0</v>
      </c>
      <c r="F31" s="274">
        <f>_xlfn.XLOOKUP(Tabla93617305523576390935466344773412326[[#This Row],[Asesor]],Tabla485189422427[Columna1],Tabla485189422427[Columna3],0)</f>
        <v>0</v>
      </c>
      <c r="G31" s="254">
        <f>SUM(Tabla93617305523576390935466344773412326[[#This Row],[Prima Pagada vida]],Tabla93617305523576390935466344773412326[[#This Row],[Prima Pagada gmm]])</f>
        <v>0</v>
      </c>
      <c r="I31" s="112"/>
      <c r="J31" s="112">
        <f>Tabla485189422427[[#This Row],[Columna2]]/2</f>
        <v>0</v>
      </c>
      <c r="K31" s="113"/>
      <c r="L31" s="103"/>
    </row>
    <row r="32" spans="1:12" ht="13" x14ac:dyDescent="0.15">
      <c r="A32" s="300" t="s">
        <v>18</v>
      </c>
      <c r="B32" s="250">
        <f>SUM(Tabla93617305523576390935466344773412326[[#This Row],[Vida]],Tabla93617305523576390935466344773412326[[#This Row],[Gmm]])</f>
        <v>0</v>
      </c>
      <c r="C32" s="113">
        <v>0</v>
      </c>
      <c r="D32" s="103">
        <v>0</v>
      </c>
      <c r="E32" s="109">
        <f>_xlfn.XLOOKUP(Tabla93617305523576390935466344773412326[[#This Row],[Asesor]],Tabla485189422427[Columna1],Tabla485189422427[Columna12],0)</f>
        <v>0</v>
      </c>
      <c r="F32" s="274">
        <f>_xlfn.XLOOKUP(Tabla93617305523576390935466344773412326[[#This Row],[Asesor]],Tabla485189422427[Columna1],Tabla485189422427[Columna3],0)</f>
        <v>0</v>
      </c>
      <c r="G32" s="254">
        <f>SUM(Tabla93617305523576390935466344773412326[[#This Row],[Prima Pagada vida]],Tabla93617305523576390935466344773412326[[#This Row],[Prima Pagada gmm]])</f>
        <v>0</v>
      </c>
    </row>
    <row r="33" spans="1:13" ht="13" x14ac:dyDescent="0.15">
      <c r="A33" s="300" t="s">
        <v>97</v>
      </c>
      <c r="B33" s="250">
        <f>SUM(Tabla93617305523576390935466344773412326[[#This Row],[Vida]],Tabla93617305523576390935466344773412326[[#This Row],[Gmm]])</f>
        <v>0</v>
      </c>
      <c r="C33" s="113">
        <v>0</v>
      </c>
      <c r="D33" s="103">
        <v>0</v>
      </c>
      <c r="E33" s="109">
        <f>_xlfn.XLOOKUP(Tabla93617305523576390935466344773412326[[#This Row],[Asesor]],Tabla485189422427[Columna1],Tabla485189422427[Columna12],0)</f>
        <v>0</v>
      </c>
      <c r="F33" s="274">
        <f>_xlfn.XLOOKUP(Tabla93617305523576390935466344773412326[[#This Row],[Asesor]],Tabla485189422427[Columna1],Tabla485189422427[Columna3],0)</f>
        <v>0</v>
      </c>
      <c r="G33" s="254">
        <f>SUM(Tabla93617305523576390935466344773412326[[#This Row],[Prima Pagada vida]],Tabla93617305523576390935466344773412326[[#This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SUM(Tabla93617305523576390935466344773412326[[#This Row],[Vida]],Tabla93617305523576390935466344773412326[[#This Row],[Gmm]])</f>
        <v>0</v>
      </c>
      <c r="C34" s="113">
        <v>0</v>
      </c>
      <c r="D34" s="103">
        <v>0</v>
      </c>
      <c r="E34" s="109">
        <f>_xlfn.XLOOKUP(Tabla93617305523576390935466344773412326[[#This Row],[Asesor]],Tabla485189422427[Columna1],Tabla485189422427[Columna12],0)</f>
        <v>0</v>
      </c>
      <c r="F34" s="274">
        <f>_xlfn.XLOOKUP(Tabla93617305523576390935466344773412326[[#This Row],[Asesor]],Tabla485189422427[Columna1],Tabla485189422427[Columna3],0)</f>
        <v>0</v>
      </c>
      <c r="G34" s="254">
        <f>SUM(Tabla93617305523576390935466344773412326[[#This Row],[Prima Pagada vida]],Tabla93617305523576390935466344773412326[[#This Row],[Prima Pagada gmm]])</f>
        <v>0</v>
      </c>
    </row>
    <row r="35" spans="1:13" ht="13" x14ac:dyDescent="0.15">
      <c r="A35" s="300" t="s">
        <v>14</v>
      </c>
      <c r="B35" s="250">
        <f>SUM(Tabla93617305523576390935466344773412326[[#This Row],[Vida]],Tabla93617305523576390935466344773412326[[#This Row],[Gmm]])</f>
        <v>0</v>
      </c>
      <c r="C35" s="113">
        <v>0</v>
      </c>
      <c r="D35" s="103">
        <v>0</v>
      </c>
      <c r="E35" s="109">
        <f>_xlfn.XLOOKUP(Tabla93617305523576390935466344773412326[[#This Row],[Asesor]],Tabla485189422427[Columna1],Tabla485189422427[Columna12],0)</f>
        <v>0</v>
      </c>
      <c r="F35" s="274">
        <f>_xlfn.XLOOKUP(Tabla93617305523576390935466344773412326[[#This Row],[Asesor]],Tabla485189422427[Columna1],Tabla485189422427[Columna3],0)</f>
        <v>0</v>
      </c>
      <c r="G35" s="254">
        <f>SUM(Tabla93617305523576390935466344773412326[[#This Row],[Prima Pagada vida]],Tabla93617305523576390935466344773412326[[#This Row],[Prima Pagada gmm]])</f>
        <v>0</v>
      </c>
    </row>
    <row r="36" spans="1:13" ht="13" x14ac:dyDescent="0.15">
      <c r="A36" s="300" t="s">
        <v>96</v>
      </c>
      <c r="B36" s="280">
        <f>SUM(Tabla93617305523576390935466344773412326[[#This Row],[Vida]],Tabla93617305523576390935466344773412326[[#This Row],[Gmm]])</f>
        <v>0</v>
      </c>
      <c r="C36" s="113">
        <v>0</v>
      </c>
      <c r="D36" s="103">
        <v>0</v>
      </c>
      <c r="E36" s="109">
        <f>_xlfn.XLOOKUP(Tabla93617305523576390935466344773412326[[#This Row],[Asesor]],Tabla485189422427[Columna1],Tabla485189422427[Columna12],0)</f>
        <v>0</v>
      </c>
      <c r="F36" s="274">
        <f>_xlfn.XLOOKUP(Tabla93617305523576390935466344773412326[[#This Row],[Asesor]],Tabla485189422427[Columna1],Tabla485189422427[Columna3],0)</f>
        <v>0</v>
      </c>
      <c r="G36" s="254">
        <f>SUM(Tabla93617305523576390935466344773412326[[#This Row],[Prima Pagada vida]],Tabla93617305523576390935466344773412326[[#This Row],[Prima Pagada gmm]])</f>
        <v>0</v>
      </c>
    </row>
    <row r="37" spans="1:13" ht="13" x14ac:dyDescent="0.15">
      <c r="A37" s="300" t="s">
        <v>28</v>
      </c>
      <c r="B37" s="280">
        <f>SUM(Tabla93617305523576390935466344773412326[[#This Row],[Vida]],Tabla93617305523576390935466344773412326[[#This Row],[Gmm]])</f>
        <v>0</v>
      </c>
      <c r="C37" s="113">
        <v>0</v>
      </c>
      <c r="D37" s="103">
        <v>0</v>
      </c>
      <c r="E37" s="109">
        <f>_xlfn.XLOOKUP(Tabla93617305523576390935466344773412326[[#This Row],[Asesor]],Tabla485189422427[Columna1],Tabla485189422427[Columna12],0)</f>
        <v>0</v>
      </c>
      <c r="F37" s="274">
        <f>_xlfn.XLOOKUP(Tabla93617305523576390935466344773412326[[#This Row],[Asesor]],Tabla485189422427[Columna1],Tabla485189422427[Columna3],0)</f>
        <v>0</v>
      </c>
      <c r="G37" s="254">
        <f>SUM(Tabla93617305523576390935466344773412326[[#This Row],[Prima Pagada vida]],Tabla93617305523576390935466344773412326[[#This Row],[Prima Pagada gmm]])</f>
        <v>0</v>
      </c>
    </row>
    <row r="38" spans="1:13" ht="13" x14ac:dyDescent="0.15">
      <c r="A38" s="300" t="s">
        <v>124</v>
      </c>
      <c r="B38" s="280">
        <f>SUM(Tabla93617305523576390935466344773412326[[#This Row],[Vida]],Tabla93617305523576390935466344773412326[[#This Row],[Gmm]])</f>
        <v>0</v>
      </c>
      <c r="C38" s="113">
        <v>0</v>
      </c>
      <c r="D38" s="103">
        <v>0</v>
      </c>
      <c r="E38" s="109">
        <f>_xlfn.XLOOKUP(Tabla93617305523576390935466344773412326[[#This Row],[Asesor]],Tabla485189422427[Columna1],Tabla485189422427[Columna12],0)</f>
        <v>0</v>
      </c>
      <c r="F38" s="274">
        <f>_xlfn.XLOOKUP(Tabla93617305523576390935466344773412326[[#This Row],[Asesor]],Tabla485189422427[Columna1],Tabla485189422427[Columna3],0)</f>
        <v>0</v>
      </c>
      <c r="G38" s="254">
        <f>SUM(Tabla93617305523576390935466344773412326[[#This Row],[Prima Pagada vida]],Tabla93617305523576390935466344773412326[[#This Row],[Prima Pagada gmm]])</f>
        <v>0</v>
      </c>
    </row>
    <row r="39" spans="1:13" ht="13" x14ac:dyDescent="0.15">
      <c r="A39" s="300" t="s">
        <v>47</v>
      </c>
      <c r="B39" s="280">
        <f>SUM(Tabla93617305523576390935466344773412326[[#This Row],[Vida]],Tabla93617305523576390935466344773412326[[#This Row],[Gmm]])</f>
        <v>0</v>
      </c>
      <c r="C39" s="113">
        <v>0</v>
      </c>
      <c r="D39" s="103">
        <v>0</v>
      </c>
      <c r="E39" s="109">
        <f>_xlfn.XLOOKUP(Tabla93617305523576390935466344773412326[[#This Row],[Asesor]],Tabla485189422427[Columna1],Tabla485189422427[Columna12],0)</f>
        <v>0</v>
      </c>
      <c r="F39" s="274">
        <f>_xlfn.XLOOKUP(Tabla93617305523576390935466344773412326[[#This Row],[Asesor]],Tabla485189422427[Columna1],Tabla485189422427[Columna3],0)</f>
        <v>0</v>
      </c>
      <c r="G39" s="254">
        <f>SUM(Tabla93617305523576390935466344773412326[[#This Row],[Prima Pagada vida]],Tabla93617305523576390935466344773412326[[#This Row],[Prima Pagada gmm]])</f>
        <v>0</v>
      </c>
    </row>
    <row r="40" spans="1:13" ht="13" x14ac:dyDescent="0.15">
      <c r="A40" s="300" t="s">
        <v>38</v>
      </c>
      <c r="B40" s="280">
        <f>SUM(Tabla93617305523576390935466344773412326[[#This Row],[Vida]],Tabla93617305523576390935466344773412326[[#This Row],[Gmm]])</f>
        <v>0</v>
      </c>
      <c r="C40" s="113">
        <v>0</v>
      </c>
      <c r="D40" s="103">
        <v>0</v>
      </c>
      <c r="E40" s="109">
        <f>_xlfn.XLOOKUP(Tabla93617305523576390935466344773412326[[#This Row],[Asesor]],Tabla485189422427[Columna1],Tabla485189422427[Columna12],0)</f>
        <v>0</v>
      </c>
      <c r="F40" s="253">
        <f>_xlfn.XLOOKUP(Tabla93617305523576390935466344773412326[[#This Row],[Asesor]],Tabla485189422427[Columna1],Tabla485189422427[Columna3],0)</f>
        <v>0</v>
      </c>
      <c r="G40" s="254">
        <f>SUM(Tabla93617305523576390935466344773412326[[#This Row],[Prima Pagada vida]],Tabla93617305523576390935466344773412326[[#This Row],[Prima Pagada gmm]])</f>
        <v>0</v>
      </c>
    </row>
    <row r="41" spans="1:13" ht="13" x14ac:dyDescent="0.15">
      <c r="A41" s="300" t="s">
        <v>105</v>
      </c>
      <c r="B41" s="280">
        <f>SUM(Tabla93617305523576390935466344773412326[[#This Row],[Vida]],Tabla93617305523576390935466344773412326[[#This Row],[Gmm]])</f>
        <v>0</v>
      </c>
      <c r="C41" s="113">
        <v>0</v>
      </c>
      <c r="D41" s="103">
        <v>0</v>
      </c>
      <c r="E41" s="277">
        <f>_xlfn.XLOOKUP(Tabla93617305523576390935466344773412326[[#This Row],[Asesor]],Tabla485189422427[Columna1],Tabla485189422427[Columna12],0)</f>
        <v>0</v>
      </c>
      <c r="F41" s="253">
        <f>_xlfn.XLOOKUP(Tabla93617305523576390935466344773412326[[#This Row],[Asesor]],Tabla485189422427[Columna1],Tabla485189422427[Columna3],0)</f>
        <v>0</v>
      </c>
      <c r="G41" s="254">
        <f>SUM(Tabla93617305523576390935466344773412326[[#This Row],[Prima Pagada vida]],Tabla93617305523576390935466344773412326[[#This Row],[Prima Pagada gmm]])</f>
        <v>0</v>
      </c>
    </row>
    <row r="42" spans="1:13" ht="13" x14ac:dyDescent="0.15">
      <c r="A42" s="300" t="s">
        <v>24</v>
      </c>
      <c r="B42" s="280">
        <f>SUM(Tabla93617305523576390935466344773412326[[#This Row],[Vida]],Tabla93617305523576390935466344773412326[[#This Row],[Gmm]])</f>
        <v>0</v>
      </c>
      <c r="C42" s="113">
        <v>0</v>
      </c>
      <c r="D42" s="103">
        <v>0</v>
      </c>
      <c r="E42" s="277">
        <f>_xlfn.XLOOKUP(Tabla93617305523576390935466344773412326[[#This Row],[Asesor]],Tabla485189422427[Columna1],Tabla485189422427[Columna12],0)</f>
        <v>0</v>
      </c>
      <c r="F42" s="253">
        <f>_xlfn.XLOOKUP(Tabla93617305523576390935466344773412326[[#This Row],[Asesor]],Tabla485189422427[Columna1],Tabla485189422427[Columna3],0)</f>
        <v>0</v>
      </c>
      <c r="G42" s="254">
        <f>SUM(Tabla93617305523576390935466344773412326[[#This Row],[Prima Pagada vida]],Tabla93617305523576390935466344773412326[[#This Row],[Prima Pagada gmm]])</f>
        <v>0</v>
      </c>
    </row>
    <row r="43" spans="1:13" ht="13" x14ac:dyDescent="0.15">
      <c r="A43" s="300" t="s">
        <v>46</v>
      </c>
      <c r="B43" s="280">
        <f>SUM(Tabla93617305523576390935466344773412326[[#This Row],[Vida]],Tabla93617305523576390935466344773412326[[#This Row],[Gmm]])</f>
        <v>0</v>
      </c>
      <c r="C43" s="113">
        <v>0</v>
      </c>
      <c r="D43" s="103">
        <v>0</v>
      </c>
      <c r="E43" s="277">
        <f>_xlfn.XLOOKUP(Tabla93617305523576390935466344773412326[[#This Row],[Asesor]],Tabla485189422427[Columna1],Tabla485189422427[Columna12],0)</f>
        <v>0</v>
      </c>
      <c r="F43" s="253">
        <f>_xlfn.XLOOKUP(Tabla93617305523576390935466344773412326[[#This Row],[Asesor]],Tabla485189422427[Columna1],Tabla485189422427[Columna3],0)</f>
        <v>0</v>
      </c>
      <c r="G43" s="254">
        <f>SUM(Tabla93617305523576390935466344773412326[[#This Row],[Prima Pagada vida]],Tabla93617305523576390935466344773412326[[#This Row],[Prima Pagada gmm]])</f>
        <v>0</v>
      </c>
    </row>
    <row r="44" spans="1:13" ht="13" x14ac:dyDescent="0.15">
      <c r="A44" s="300" t="s">
        <v>170</v>
      </c>
      <c r="B44" s="280">
        <f>SUM(Tabla93617305523576390935466344773412326[[#This Row],[Vida]],Tabla93617305523576390935466344773412326[[#This Row],[Gmm]])</f>
        <v>0</v>
      </c>
      <c r="C44" s="113">
        <v>0</v>
      </c>
      <c r="D44" s="103">
        <v>0</v>
      </c>
      <c r="E44" s="277">
        <f>_xlfn.XLOOKUP(Tabla93617305523576390935466344773412326[[#This Row],[Asesor]],Tabla485189422427[Columna1],Tabla485189422427[Columna12],0)</f>
        <v>0</v>
      </c>
      <c r="F44" s="253">
        <f>_xlfn.XLOOKUP(Tabla93617305523576390935466344773412326[[#This Row],[Asesor]],Tabla485189422427[Columna1],Tabla485189422427[Columna3],0)</f>
        <v>0</v>
      </c>
      <c r="G44" s="254">
        <f>SUM(Tabla93617305523576390935466344773412326[[#This Row],[Prima Pagada vida]],Tabla93617305523576390935466344773412326[[#This Row],[Prima Pagada gmm]])</f>
        <v>0</v>
      </c>
    </row>
    <row r="45" spans="1:13" ht="13" x14ac:dyDescent="0.15">
      <c r="A45" s="300" t="s">
        <v>22</v>
      </c>
      <c r="B45" s="280">
        <f>SUM(Tabla93617305523576390935466344773412326[[#This Row],[Vida]],Tabla93617305523576390935466344773412326[[#This Row],[Gmm]])</f>
        <v>0</v>
      </c>
      <c r="C45" s="113">
        <v>0</v>
      </c>
      <c r="D45" s="103">
        <v>0</v>
      </c>
      <c r="E45" s="277">
        <f>_xlfn.XLOOKUP(Tabla93617305523576390935466344773412326[[#This Row],[Asesor]],Tabla485189422427[Columna1],Tabla485189422427[Columna12],0)</f>
        <v>0</v>
      </c>
      <c r="F45" s="253">
        <f>_xlfn.XLOOKUP(Tabla93617305523576390935466344773412326[[#This Row],[Asesor]],Tabla485189422427[Columna1],Tabla485189422427[Columna3],0)</f>
        <v>0</v>
      </c>
      <c r="G45" s="254">
        <f>SUM(Tabla93617305523576390935466344773412326[[#This Row],[Prima Pagada vida]],Tabla93617305523576390935466344773412326[[#This Row],[Prima Pagada gmm]])</f>
        <v>0</v>
      </c>
    </row>
    <row r="46" spans="1:13" ht="13" x14ac:dyDescent="0.15">
      <c r="A46" s="300" t="s">
        <v>19</v>
      </c>
      <c r="B46" s="280">
        <f>SUM(Tabla93617305523576390935466344773412326[[#This Row],[Vida]],Tabla93617305523576390935466344773412326[[#This Row],[Gmm]])</f>
        <v>0</v>
      </c>
      <c r="C46" s="113">
        <v>0</v>
      </c>
      <c r="D46" s="103">
        <v>0</v>
      </c>
      <c r="E46" s="277">
        <f>_xlfn.XLOOKUP(Tabla93617305523576390935466344773412326[[#This Row],[Asesor]],Tabla485189422427[Columna1],Tabla485189422427[Columna12],0)</f>
        <v>0</v>
      </c>
      <c r="F46" s="253">
        <f>_xlfn.XLOOKUP(Tabla93617305523576390935466344773412326[[#This Row],[Asesor]],Tabla485189422427[Columna1],Tabla485189422427[Columna3],0)</f>
        <v>0</v>
      </c>
      <c r="G46" s="254">
        <f>SUM(Tabla93617305523576390935466344773412326[[#This Row],[Prima Pagada vida]],Tabla93617305523576390935466344773412326[[#This Row],[Prima Pagada gmm]])</f>
        <v>0</v>
      </c>
    </row>
    <row r="47" spans="1:13" ht="13" x14ac:dyDescent="0.15">
      <c r="A47" s="300" t="s">
        <v>131</v>
      </c>
      <c r="B47" s="280">
        <f>SUM(Tabla93617305523576390935466344773412326[[#This Row],[Vida]],Tabla93617305523576390935466344773412326[[#This Row],[Gmm]])</f>
        <v>0</v>
      </c>
      <c r="C47" s="113">
        <v>0</v>
      </c>
      <c r="D47" s="103">
        <v>0</v>
      </c>
      <c r="E47" s="277">
        <f>_xlfn.XLOOKUP(Tabla93617305523576390935466344773412326[[#This Row],[Asesor]],Tabla485189422427[Columna1],Tabla485189422427[Columna12],0)</f>
        <v>0</v>
      </c>
      <c r="F47" s="253">
        <f>_xlfn.XLOOKUP(Tabla93617305523576390935466344773412326[[#This Row],[Asesor]],Tabla485189422427[Columna1],Tabla485189422427[Columna3],0)</f>
        <v>0</v>
      </c>
      <c r="G47" s="254">
        <f>SUM(Tabla93617305523576390935466344773412326[[#This Row],[Prima Pagada vida]],Tabla93617305523576390935466344773412326[[#This Row],[Prima Pagada gmm]])</f>
        <v>0</v>
      </c>
    </row>
    <row r="48" spans="1:13" ht="13" x14ac:dyDescent="0.15">
      <c r="A48" s="300" t="s">
        <v>116</v>
      </c>
      <c r="B48" s="280">
        <f>SUM(Tabla93617305523576390935466344773412326[[#This Row],[Vida]],Tabla93617305523576390935466344773412326[[#This Row],[Gmm]])</f>
        <v>0</v>
      </c>
      <c r="C48" s="113">
        <v>0</v>
      </c>
      <c r="D48" s="103">
        <v>0</v>
      </c>
      <c r="E48" s="277">
        <f>_xlfn.XLOOKUP(Tabla93617305523576390935466344773412326[[#This Row],[Asesor]],Tabla485189422427[Columna1],Tabla485189422427[Columna12],0)</f>
        <v>0</v>
      </c>
      <c r="F48" s="253">
        <f>_xlfn.XLOOKUP(Tabla93617305523576390935466344773412326[[#This Row],[Asesor]],Tabla485189422427[Columna1],Tabla485189422427[Columna3],0)</f>
        <v>0</v>
      </c>
      <c r="G48" s="254">
        <f>SUM(Tabla93617305523576390935466344773412326[[#This Row],[Prima Pagada vida]],Tabla93617305523576390935466344773412326[[#This Row],[Prima Pagada gmm]])</f>
        <v>0</v>
      </c>
    </row>
    <row r="49" spans="1:11" ht="13" x14ac:dyDescent="0.15">
      <c r="A49" s="112"/>
      <c r="B49" s="280">
        <f>SUM(Tabla93617305523576390935466344773412326[[#This Row],[Vida]],Tabla93617305523576390935466344773412326[[#This Row],[Gmm]])</f>
        <v>0</v>
      </c>
      <c r="C49" s="113">
        <v>0</v>
      </c>
      <c r="D49" s="103">
        <v>0</v>
      </c>
      <c r="E49" s="277">
        <f>_xlfn.XLOOKUP(Tabla93617305523576390935466344773412326[[#This Row],[Asesor]],Tabla485189422427[Columna1],Tabla485189422427[Columna12],0)</f>
        <v>0</v>
      </c>
      <c r="F49" s="253">
        <f>_xlfn.XLOOKUP(Tabla93617305523576390935466344773412326[[#This Row],[Asesor]],Tabla485189422427[Columna1],Tabla485189422427[Columna3],0)</f>
        <v>0</v>
      </c>
      <c r="G49" s="254">
        <f>SUM(Tabla93617305523576390935466344773412326[[#This Row],[Prima Pagada vida]],Tabla93617305523576390935466344773412326[[#This Row],[Prima Pagada gmm]])</f>
        <v>0</v>
      </c>
    </row>
    <row r="50" spans="1:11" ht="13" x14ac:dyDescent="0.15">
      <c r="A50" s="112"/>
      <c r="B50" s="280">
        <f>SUM(Tabla93617305523576390935466344773412326[[#This Row],[Vida]],Tabla93617305523576390935466344773412326[[#This Row],[Gmm]])</f>
        <v>0</v>
      </c>
      <c r="C50" s="113">
        <v>0</v>
      </c>
      <c r="D50" s="103">
        <v>0</v>
      </c>
      <c r="E50" s="277">
        <f>_xlfn.XLOOKUP(Tabla93617305523576390935466344773412326[[#This Row],[Asesor]],Tabla485189422427[Columna1],Tabla485189422427[Columna12],0)</f>
        <v>0</v>
      </c>
      <c r="F50" s="253">
        <f>_xlfn.XLOOKUP(Tabla93617305523576390935466344773412326[[#This Row],[Asesor]],Tabla485189422427[Columna1],Tabla485189422427[Columna3],0)</f>
        <v>0</v>
      </c>
      <c r="G50" s="254">
        <f>SUM(Tabla93617305523576390935466344773412326[[#This Row],[Prima Pagada vida]],Tabla93617305523576390935466344773412326[[#This Row],[Prima Pagada gmm]])</f>
        <v>0</v>
      </c>
    </row>
    <row r="51" spans="1:11" ht="13" x14ac:dyDescent="0.15">
      <c r="A51" s="112"/>
      <c r="B51" s="284">
        <f>SUM(Tabla93617305523576390935466344773412326[[#This Row],[Vida]],Tabla93617305523576390935466344773412326[[#This Row],[Gmm]])</f>
        <v>0</v>
      </c>
      <c r="C51" s="113">
        <v>0</v>
      </c>
      <c r="D51" s="286"/>
      <c r="E51" s="287">
        <f>_xlfn.XLOOKUP(Tabla93617305523576390935466344773412326[[#This Row],[Asesor]],Tabla485189422427[Columna1],Tabla485189422427[Columna12],0)</f>
        <v>0</v>
      </c>
      <c r="F51" s="288">
        <f>_xlfn.XLOOKUP(Tabla93617305523576390935466344773412326[[#This Row],[Asesor]],Tabla485189422427[Columna1],Tabla485189422427[Columna3],0)</f>
        <v>0</v>
      </c>
      <c r="G51" s="289">
        <f>SUM(Tabla93617305523576390935466344773412326[[#This Row],[Prima Pagada vida]],Tabla93617305523576390935466344773412326[[#This Row],[Prima Pagada gmm]])</f>
        <v>0</v>
      </c>
    </row>
    <row r="52" spans="1:11" ht="13" x14ac:dyDescent="0.15">
      <c r="A52" s="43" t="s">
        <v>50</v>
      </c>
      <c r="B52" s="214">
        <f>SUM(Tabla93617305523576390935466344773412326[[Pólizas ]])</f>
        <v>47.5</v>
      </c>
      <c r="C52" s="215">
        <f>SUM(Tabla93617305523576390935466344773412326[Vida])</f>
        <v>40</v>
      </c>
      <c r="D52" s="216">
        <f>SUM(Tabla93617305523576390935466344773412326[Prima Pagada vida])</f>
        <v>2212268.0499999998</v>
      </c>
      <c r="E52" s="290">
        <f>SUM(Tabla93617305523576390935466344773412326[Gmm])</f>
        <v>7.5</v>
      </c>
      <c r="F52" s="216">
        <f>SUM(Tabla93617305523576390935466344773412326[Prima Pagada gmm])</f>
        <v>346641.91999999993</v>
      </c>
      <c r="G52" s="216">
        <f>SUM(Tabla93617305523576390935466344773412326[Prima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303" t="s">
        <v>226</v>
      </c>
      <c r="B59" s="306" t="s">
        <v>198</v>
      </c>
      <c r="C59" s="307" t="s">
        <v>194</v>
      </c>
      <c r="D59" s="308">
        <v>7566.33</v>
      </c>
      <c r="E59" s="230" cm="1">
        <f t="array" ref="E59">D59/_xlfn.IFS(B59="MENSUAL",12,B59="TRIMESTRAL",4,B59="SEMESTRAL",2,B59="ANUAL",1)</f>
        <v>7566.33</v>
      </c>
      <c r="G59" s="273" t="s">
        <v>252</v>
      </c>
      <c r="H59" s="325">
        <f ca="1">SUMIF(C59:E85,C61,E59:E85)</f>
        <v>417724.250233325</v>
      </c>
      <c r="I59" s="282"/>
      <c r="J59" s="283"/>
      <c r="K59" s="230"/>
    </row>
    <row r="60" spans="1:11" x14ac:dyDescent="0.2">
      <c r="A60" s="303" t="s">
        <v>226</v>
      </c>
      <c r="B60" s="306" t="s">
        <v>198</v>
      </c>
      <c r="C60" s="307" t="s">
        <v>194</v>
      </c>
      <c r="D60" s="308">
        <v>24047.93</v>
      </c>
      <c r="E60" s="230" cm="1">
        <f t="array" ref="E60">D60/_xlfn.IFS(B60="MENSUAL",12,B60="TRIMESTRAL",4,B60="SEMESTRAL",2,B60="ANUAL",1)</f>
        <v>24047.93</v>
      </c>
      <c r="G60" s="273" t="s">
        <v>254</v>
      </c>
      <c r="H60" s="325">
        <f ca="1">SUMIF(C59:E85,C62,E59:E85)</f>
        <v>116326.43000000001</v>
      </c>
      <c r="I60" s="298"/>
      <c r="J60" s="283"/>
      <c r="K60" s="230"/>
    </row>
    <row r="61" spans="1:11" ht="15" x14ac:dyDescent="0.15">
      <c r="A61" s="303" t="s">
        <v>226</v>
      </c>
      <c r="B61" s="306" t="s">
        <v>193</v>
      </c>
      <c r="C61" s="307" t="s">
        <v>197</v>
      </c>
      <c r="D61" s="308">
        <v>36919.060902279998</v>
      </c>
      <c r="E61" s="230" cm="1">
        <f t="array" ref="E61">D61/_xlfn.IFS(B61="MENSUAL",12,B61="TRIMESTRAL",4,B61="SEMESTRAL",2,B61="ANUAL",1)</f>
        <v>18459.530451139999</v>
      </c>
      <c r="G61" s="273" t="s">
        <v>255</v>
      </c>
      <c r="H61" s="281">
        <f>COUNTIF(C59:C85,C59)</f>
        <v>9</v>
      </c>
      <c r="I61" s="299"/>
      <c r="J61" s="283"/>
      <c r="K61" s="230"/>
    </row>
    <row r="62" spans="1:11" ht="15" x14ac:dyDescent="0.15">
      <c r="A62" s="303" t="s">
        <v>195</v>
      </c>
      <c r="B62" s="306" t="s">
        <v>198</v>
      </c>
      <c r="C62" s="307" t="s">
        <v>194</v>
      </c>
      <c r="D62" s="308">
        <v>23043.64</v>
      </c>
      <c r="E62" s="230" cm="1">
        <f t="array" ref="E62">D62/_xlfn.IFS(B62="MENSUAL",12,B62="TRIMESTRAL",4,B62="SEMESTRAL",2,B62="ANUAL",1)</f>
        <v>23043.64</v>
      </c>
      <c r="G62" s="273" t="s">
        <v>253</v>
      </c>
      <c r="H62" s="281">
        <f>COUNTIF(C59:C85,C61)</f>
        <v>18</v>
      </c>
      <c r="I62" s="282"/>
      <c r="J62" s="283"/>
      <c r="K62" s="230"/>
    </row>
    <row r="63" spans="1:11" ht="15" x14ac:dyDescent="0.15">
      <c r="A63" s="303" t="s">
        <v>229</v>
      </c>
      <c r="B63" s="306" t="s">
        <v>199</v>
      </c>
      <c r="C63" s="307" t="s">
        <v>197</v>
      </c>
      <c r="D63" s="308">
        <v>25689.492069239997</v>
      </c>
      <c r="E63" s="230" cm="1">
        <f t="array" ref="E63">D63/_xlfn.IFS(B63="MENSUAL",12,B63="TRIMESTRAL",4,B63="SEMESTRAL",2,B63="ANUAL",1)</f>
        <v>2140.7910057699996</v>
      </c>
      <c r="G63" s="273"/>
      <c r="H63" s="281"/>
      <c r="I63" s="282"/>
      <c r="J63" s="283"/>
      <c r="K63" s="230"/>
    </row>
    <row r="64" spans="1:11" x14ac:dyDescent="0.2">
      <c r="A64" s="303" t="s">
        <v>229</v>
      </c>
      <c r="B64" s="306" t="s">
        <v>199</v>
      </c>
      <c r="C64" s="307" t="s">
        <v>197</v>
      </c>
      <c r="D64" s="308">
        <v>25691.355469919999</v>
      </c>
      <c r="E64" s="230" cm="1">
        <f t="array" ref="E64">D64/_xlfn.IFS(B64="MENSUAL",12,B64="TRIMESTRAL",4,B64="SEMESTRAL",2,B64="ANUAL",1)</f>
        <v>2140.9462891600001</v>
      </c>
      <c r="G64" s="295"/>
    </row>
    <row r="65" spans="1:5" x14ac:dyDescent="0.2">
      <c r="A65" s="303" t="s">
        <v>229</v>
      </c>
      <c r="B65" s="306" t="s">
        <v>199</v>
      </c>
      <c r="C65" s="307" t="s">
        <v>197</v>
      </c>
      <c r="D65" s="308">
        <v>32843.668340939999</v>
      </c>
      <c r="E65" s="230" cm="1">
        <f t="array" ref="E65">D65/_xlfn.IFS(B65="MENSUAL",12,B65="TRIMESTRAL",4,B65="SEMESTRAL",2,B65="ANUAL",1)</f>
        <v>2736.9723617449999</v>
      </c>
    </row>
    <row r="66" spans="1:5" x14ac:dyDescent="0.2">
      <c r="A66" s="303" t="s">
        <v>229</v>
      </c>
      <c r="B66" s="306" t="s">
        <v>198</v>
      </c>
      <c r="C66" s="307" t="s">
        <v>197</v>
      </c>
      <c r="D66" s="308">
        <v>22338.461581359999</v>
      </c>
      <c r="E66" s="230" cm="1">
        <f t="array" ref="E66">D66/_xlfn.IFS(B66="MENSUAL",12,B66="TRIMESTRAL",4,B66="SEMESTRAL",2,B66="ANUAL",1)</f>
        <v>22338.461581359999</v>
      </c>
    </row>
    <row r="67" spans="1:5" x14ac:dyDescent="0.2">
      <c r="A67" s="303" t="s">
        <v>231</v>
      </c>
      <c r="B67" s="306" t="s">
        <v>198</v>
      </c>
      <c r="C67" s="307" t="s">
        <v>197</v>
      </c>
      <c r="D67" s="308">
        <v>73579.672848300004</v>
      </c>
      <c r="E67" s="230" cm="1">
        <f t="array" ref="E67">D67/_xlfn.IFS(B67="MENSUAL",12,B67="TRIMESTRAL",4,B67="SEMESTRAL",2,B67="ANUAL",1)</f>
        <v>73579.672848300004</v>
      </c>
    </row>
    <row r="68" spans="1:5" x14ac:dyDescent="0.2">
      <c r="A68" s="303" t="s">
        <v>163</v>
      </c>
      <c r="B68" s="306" t="s">
        <v>193</v>
      </c>
      <c r="C68" s="307" t="s">
        <v>197</v>
      </c>
      <c r="D68" s="308">
        <v>66329.346844550004</v>
      </c>
      <c r="E68" s="230" cm="1">
        <f t="array" ref="E68">D68/_xlfn.IFS(B68="MENSUAL",12,B68="TRIMESTRAL",4,B68="SEMESTRAL",2,B68="ANUAL",1)</f>
        <v>33164.673422275002</v>
      </c>
    </row>
    <row r="69" spans="1:5" x14ac:dyDescent="0.2">
      <c r="A69" s="303" t="s">
        <v>149</v>
      </c>
      <c r="B69" s="306" t="s">
        <v>198</v>
      </c>
      <c r="C69" s="307" t="s">
        <v>197</v>
      </c>
      <c r="D69" s="308">
        <v>79247.945244360002</v>
      </c>
      <c r="E69" s="230" cm="1">
        <f t="array" ref="E69">D69/_xlfn.IFS(B69="MENSUAL",12,B69="TRIMESTRAL",4,B69="SEMESTRAL",2,B69="ANUAL",1)</f>
        <v>79247.945244360002</v>
      </c>
    </row>
    <row r="70" spans="1:5" x14ac:dyDescent="0.2">
      <c r="A70" s="303" t="s">
        <v>149</v>
      </c>
      <c r="B70" s="306" t="s">
        <v>199</v>
      </c>
      <c r="C70" s="307" t="s">
        <v>194</v>
      </c>
      <c r="D70" s="308">
        <v>55804.680000000008</v>
      </c>
      <c r="E70" s="230" cm="1">
        <f t="array" ref="E70">D70/_xlfn.IFS(B70="MENSUAL",12,B70="TRIMESTRAL",4,B70="SEMESTRAL",2,B70="ANUAL",1)</f>
        <v>4650.3900000000003</v>
      </c>
    </row>
    <row r="71" spans="1:5" x14ac:dyDescent="0.2">
      <c r="A71" s="303" t="s">
        <v>149</v>
      </c>
      <c r="B71" s="306" t="s">
        <v>198</v>
      </c>
      <c r="C71" s="307" t="s">
        <v>197</v>
      </c>
      <c r="D71" s="308">
        <v>28598.628189120001</v>
      </c>
      <c r="E71" s="230" cm="1">
        <f t="array" ref="E71">D71/_xlfn.IFS(B71="MENSUAL",12,B71="TRIMESTRAL",4,B71="SEMESTRAL",2,B71="ANUAL",1)</f>
        <v>28598.628189120001</v>
      </c>
    </row>
    <row r="72" spans="1:5" x14ac:dyDescent="0.2">
      <c r="A72" s="303" t="s">
        <v>202</v>
      </c>
      <c r="B72" s="306" t="s">
        <v>199</v>
      </c>
      <c r="C72" s="307" t="s">
        <v>197</v>
      </c>
      <c r="D72" s="308">
        <v>21286.739678640002</v>
      </c>
      <c r="E72" s="230" cm="1">
        <f t="array" ref="E72">D72/_xlfn.IFS(B72="MENSUAL",12,B72="TRIMESTRAL",4,B72="SEMESTRAL",2,B72="ANUAL",1)</f>
        <v>1773.8949732200001</v>
      </c>
    </row>
    <row r="73" spans="1:5" x14ac:dyDescent="0.2">
      <c r="A73" s="303" t="s">
        <v>155</v>
      </c>
      <c r="B73" s="306" t="s">
        <v>199</v>
      </c>
      <c r="C73" s="307" t="s">
        <v>194</v>
      </c>
      <c r="D73" s="308">
        <v>18271.199999999997</v>
      </c>
      <c r="E73" s="230" cm="1">
        <f t="array" ref="E73">D73/_xlfn.IFS(B73="MENSUAL",12,B73="TRIMESTRAL",4,B73="SEMESTRAL",2,B73="ANUAL",1)</f>
        <v>1522.5999999999997</v>
      </c>
    </row>
    <row r="74" spans="1:5" x14ac:dyDescent="0.2">
      <c r="A74" s="303" t="s">
        <v>203</v>
      </c>
      <c r="B74" s="306" t="s">
        <v>198</v>
      </c>
      <c r="C74" s="307" t="s">
        <v>197</v>
      </c>
      <c r="D74" s="308">
        <v>20275.59173244</v>
      </c>
      <c r="E74" s="230" cm="1">
        <f t="array" ref="E74">D74/_xlfn.IFS(B74="MENSUAL",12,B74="TRIMESTRAL",4,B74="SEMESTRAL",2,B74="ANUAL",1)</f>
        <v>20275.59173244</v>
      </c>
    </row>
    <row r="75" spans="1:5" x14ac:dyDescent="0.2">
      <c r="A75" s="303" t="s">
        <v>203</v>
      </c>
      <c r="B75" s="306" t="s">
        <v>198</v>
      </c>
      <c r="C75" s="307" t="s">
        <v>197</v>
      </c>
      <c r="D75" s="308">
        <v>20228.412000800003</v>
      </c>
      <c r="E75" s="230" cm="1">
        <f t="array" ref="E75">D75/_xlfn.IFS(B75="MENSUAL",12,B75="TRIMESTRAL",4,B75="SEMESTRAL",2,B75="ANUAL",1)</f>
        <v>20228.412000800003</v>
      </c>
    </row>
    <row r="76" spans="1:5" x14ac:dyDescent="0.2">
      <c r="A76" s="303" t="s">
        <v>203</v>
      </c>
      <c r="B76" s="306" t="s">
        <v>199</v>
      </c>
      <c r="C76" s="307" t="s">
        <v>197</v>
      </c>
      <c r="D76" s="308">
        <v>26291.706044160001</v>
      </c>
      <c r="E76" s="230" cm="1">
        <f t="array" ref="E76">D76/_xlfn.IFS(B76="MENSUAL",12,B76="TRIMESTRAL",4,B76="SEMESTRAL",2,B76="ANUAL",1)</f>
        <v>2190.9755036800002</v>
      </c>
    </row>
    <row r="77" spans="1:5" x14ac:dyDescent="0.2">
      <c r="A77" s="303" t="s">
        <v>171</v>
      </c>
      <c r="B77" s="306" t="s">
        <v>199</v>
      </c>
      <c r="C77" s="307" t="s">
        <v>194</v>
      </c>
      <c r="D77" s="308">
        <v>31578.720000000001</v>
      </c>
      <c r="E77" s="230" cm="1">
        <f t="array" ref="E77">D77/_xlfn.IFS(B77="MENSUAL",12,B77="TRIMESTRAL",4,B77="SEMESTRAL",2,B77="ANUAL",1)</f>
        <v>2631.56</v>
      </c>
    </row>
    <row r="78" spans="1:5" x14ac:dyDescent="0.2">
      <c r="A78" s="303" t="s">
        <v>171</v>
      </c>
      <c r="B78" s="306" t="s">
        <v>198</v>
      </c>
      <c r="C78" s="307" t="s">
        <v>194</v>
      </c>
      <c r="D78" s="308">
        <v>24102.77</v>
      </c>
      <c r="E78" s="230" cm="1">
        <f t="array" ref="E78">D78/_xlfn.IFS(B78="MENSUAL",12,B78="TRIMESTRAL",4,B78="SEMESTRAL",2,B78="ANUAL",1)</f>
        <v>24102.77</v>
      </c>
    </row>
    <row r="79" spans="1:5" x14ac:dyDescent="0.2">
      <c r="A79" s="303" t="s">
        <v>171</v>
      </c>
      <c r="B79" s="306" t="s">
        <v>193</v>
      </c>
      <c r="C79" s="307" t="s">
        <v>197</v>
      </c>
      <c r="D79" s="308">
        <v>86356.473030649999</v>
      </c>
      <c r="E79" s="230" cm="1">
        <f t="array" ref="E79">D79/_xlfn.IFS(B79="MENSUAL",12,B79="TRIMESTRAL",4,B79="SEMESTRAL",2,B79="ANUAL",1)</f>
        <v>43178.236515324999</v>
      </c>
    </row>
    <row r="80" spans="1:5" x14ac:dyDescent="0.2">
      <c r="A80" s="303" t="s">
        <v>258</v>
      </c>
      <c r="B80" s="306" t="s">
        <v>198</v>
      </c>
      <c r="C80" s="307" t="s">
        <v>197</v>
      </c>
      <c r="D80" s="308">
        <v>56188.060129739999</v>
      </c>
      <c r="E80" s="230" cm="1">
        <f t="array" ref="E80">D80/_xlfn.IFS(B80="MENSUAL",12,B80="TRIMESTRAL",4,B80="SEMESTRAL",2,B80="ANUAL",1)</f>
        <v>56188.060129739999</v>
      </c>
    </row>
    <row r="81" spans="1:5" x14ac:dyDescent="0.2">
      <c r="A81" s="303" t="s">
        <v>258</v>
      </c>
      <c r="B81" s="306" t="s">
        <v>198</v>
      </c>
      <c r="C81" s="307" t="s">
        <v>194</v>
      </c>
      <c r="D81" s="308">
        <v>28021.74</v>
      </c>
      <c r="E81" s="230" cm="1">
        <f t="array" ref="E81">D81/_xlfn.IFS(B81="MENSUAL",12,B81="TRIMESTRAL",4,B81="SEMESTRAL",2,B81="ANUAL",1)</f>
        <v>28021.74</v>
      </c>
    </row>
    <row r="82" spans="1:5" x14ac:dyDescent="0.2">
      <c r="A82" s="303" t="s">
        <v>259</v>
      </c>
      <c r="B82" s="306" t="s">
        <v>199</v>
      </c>
      <c r="C82" s="307" t="s">
        <v>197</v>
      </c>
      <c r="D82" s="308">
        <v>30381.041458200001</v>
      </c>
      <c r="E82" s="230" cm="1">
        <f t="array" ref="E82">D82/_xlfn.IFS(B82="MENSUAL",12,B82="TRIMESTRAL",4,B82="SEMESTRAL",2,B82="ANUAL",1)</f>
        <v>2531.7534548500003</v>
      </c>
    </row>
    <row r="83" spans="1:5" x14ac:dyDescent="0.2">
      <c r="A83" s="303" t="s">
        <v>259</v>
      </c>
      <c r="B83" s="306" t="s">
        <v>196</v>
      </c>
      <c r="C83" s="307" t="s">
        <v>197</v>
      </c>
      <c r="D83" s="308">
        <v>28633.7140712</v>
      </c>
      <c r="E83" s="230" cm="1">
        <f t="array" ref="E83">D83/_xlfn.IFS(B83="MENSUAL",12,B83="TRIMESTRAL",4,B83="SEMESTRAL",2,B83="ANUAL",1)</f>
        <v>7158.4285178</v>
      </c>
    </row>
    <row r="84" spans="1:5" x14ac:dyDescent="0.2">
      <c r="A84" s="303" t="s">
        <v>260</v>
      </c>
      <c r="B84" s="306" t="s">
        <v>199</v>
      </c>
      <c r="C84" s="307" t="s">
        <v>197</v>
      </c>
      <c r="D84" s="308">
        <v>21495.312146879998</v>
      </c>
      <c r="E84" s="230" cm="1">
        <f t="array" ref="E84">D84/_xlfn.IFS(B84="MENSUAL",12,B84="TRIMESTRAL",4,B84="SEMESTRAL",2,B84="ANUAL",1)</f>
        <v>1791.2760122399998</v>
      </c>
    </row>
    <row r="85" spans="1:5" x14ac:dyDescent="0.2">
      <c r="A85" s="303" t="s">
        <v>260</v>
      </c>
      <c r="B85" s="306" t="s">
        <v>199</v>
      </c>
      <c r="C85" s="307" t="s">
        <v>194</v>
      </c>
      <c r="D85" s="308">
        <v>8873.64</v>
      </c>
      <c r="E85" s="230" cm="1">
        <f t="array" ref="E85">D85/_xlfn.IFS(B85="MENSUAL",12,B85="TRIMESTRAL",4,B85="SEMESTRAL",2,B85="ANUAL",1)</f>
        <v>739.46999999999991</v>
      </c>
    </row>
    <row r="86" spans="1:5" x14ac:dyDescent="0.2">
      <c r="A86" s="303"/>
      <c r="B86" s="306"/>
      <c r="C86" s="307"/>
      <c r="D86" s="308"/>
      <c r="E86" s="230"/>
    </row>
    <row r="87" spans="1:5" x14ac:dyDescent="0.2">
      <c r="A87" s="303"/>
      <c r="B87" s="306"/>
      <c r="C87" s="307"/>
      <c r="D87" s="308"/>
      <c r="E87" s="230"/>
    </row>
    <row r="88" spans="1:5" x14ac:dyDescent="0.2">
      <c r="A88" s="303"/>
      <c r="B88" s="306"/>
      <c r="C88" s="307"/>
      <c r="D88" s="308"/>
      <c r="E88" s="230"/>
    </row>
    <row r="89" spans="1:5" x14ac:dyDescent="0.2">
      <c r="A89" s="303"/>
      <c r="B89" s="306"/>
      <c r="C89" s="307"/>
      <c r="D89" s="308"/>
      <c r="E89" s="230"/>
    </row>
    <row r="90" spans="1:5" x14ac:dyDescent="0.2">
      <c r="A90" s="303"/>
      <c r="B90" s="306"/>
      <c r="C90" s="307"/>
      <c r="D90" s="308"/>
      <c r="E90" s="230"/>
    </row>
    <row r="91" spans="1:5" x14ac:dyDescent="0.2">
      <c r="A91" s="303"/>
      <c r="B91" s="306"/>
      <c r="C91" s="307"/>
      <c r="D91" s="308"/>
      <c r="E91" s="230"/>
    </row>
    <row r="92" spans="1:5" x14ac:dyDescent="0.2">
      <c r="A92" s="303"/>
      <c r="B92" s="306"/>
      <c r="C92" s="307"/>
      <c r="D92" s="308"/>
      <c r="E92" s="230"/>
    </row>
    <row r="93" spans="1:5" x14ac:dyDescent="0.2">
      <c r="A93" s="303"/>
      <c r="B93" s="306"/>
      <c r="C93" s="307"/>
      <c r="D93" s="308"/>
      <c r="E93" s="304"/>
    </row>
    <row r="94" spans="1:5" x14ac:dyDescent="0.2">
      <c r="A94" s="303"/>
      <c r="B94" s="306"/>
      <c r="C94" s="307"/>
      <c r="D94" s="308"/>
      <c r="E94" s="304"/>
    </row>
    <row r="95" spans="1:5" x14ac:dyDescent="0.2">
      <c r="A95" s="303"/>
      <c r="B95" s="306"/>
      <c r="C95" s="307"/>
      <c r="D95" s="308"/>
      <c r="E95" s="304"/>
    </row>
    <row r="96" spans="1:5" x14ac:dyDescent="0.2">
      <c r="A96" s="303"/>
      <c r="B96" s="306"/>
      <c r="C96" s="307"/>
      <c r="D96" s="308"/>
      <c r="E96" s="304"/>
    </row>
    <row r="97" spans="1:5" x14ac:dyDescent="0.2">
      <c r="A97" s="303"/>
      <c r="B97" s="306"/>
      <c r="C97" s="307"/>
      <c r="D97" s="308"/>
      <c r="E97" s="304"/>
    </row>
    <row r="98" spans="1:5" x14ac:dyDescent="0.2">
      <c r="A98" s="303"/>
      <c r="B98" s="306"/>
      <c r="C98" s="307"/>
      <c r="D98" s="308"/>
      <c r="E98" s="304"/>
    </row>
    <row r="99" spans="1:5" x14ac:dyDescent="0.2">
      <c r="A99" s="303"/>
      <c r="B99" s="306"/>
      <c r="C99" s="307"/>
      <c r="D99" s="308"/>
      <c r="E99" s="304"/>
    </row>
    <row r="100" spans="1:5" x14ac:dyDescent="0.2">
      <c r="A100" s="303"/>
      <c r="B100" s="306"/>
      <c r="C100" s="307"/>
      <c r="D100" s="308"/>
      <c r="E100" s="304"/>
    </row>
    <row r="101" spans="1:5" x14ac:dyDescent="0.2">
      <c r="A101" s="303"/>
      <c r="B101" s="306"/>
      <c r="C101" s="307"/>
      <c r="D101" s="308"/>
      <c r="E101" s="304"/>
    </row>
    <row r="102" spans="1:5" x14ac:dyDescent="0.2">
      <c r="A102" s="303"/>
      <c r="B102" s="306"/>
      <c r="C102" s="307"/>
      <c r="D102" s="308"/>
      <c r="E102" s="304"/>
    </row>
    <row r="103" spans="1:5" x14ac:dyDescent="0.2">
      <c r="A103" s="303"/>
      <c r="B103" s="306"/>
      <c r="C103" s="307"/>
      <c r="D103" s="308"/>
      <c r="E103" s="304"/>
    </row>
    <row r="104" spans="1:5" x14ac:dyDescent="0.2">
      <c r="A104" s="303"/>
      <c r="B104" s="306"/>
      <c r="C104" s="307"/>
      <c r="D104" s="308"/>
      <c r="E104" s="304"/>
    </row>
    <row r="105" spans="1:5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80" priority="19" stopIfTrue="1">
      <formula>$S$34=1</formula>
    </cfRule>
  </conditionalFormatting>
  <conditionalFormatting sqref="A7:A50">
    <cfRule type="expression" dxfId="79" priority="17" stopIfTrue="1">
      <formula>$S7=1</formula>
    </cfRule>
    <cfRule type="expression" dxfId="78" priority="18" stopIfTrue="1">
      <formula>$S6=1</formula>
    </cfRule>
  </conditionalFormatting>
  <conditionalFormatting sqref="A51">
    <cfRule type="expression" dxfId="76" priority="20" stopIfTrue="1">
      <formula>$T51=1</formula>
    </cfRule>
    <cfRule type="expression" dxfId="77" priority="21" stopIfTrue="1">
      <formula>$T50=1</formula>
    </cfRule>
  </conditionalFormatting>
  <conditionalFormatting sqref="A86:A105">
    <cfRule type="expression" dxfId="75" priority="9">
      <formula>$F86="TERMINADA"</formula>
    </cfRule>
    <cfRule type="expression" dxfId="74" priority="10">
      <formula>$F86="ANULADA"</formula>
    </cfRule>
  </conditionalFormatting>
  <conditionalFormatting sqref="B59:B105">
    <cfRule type="expression" dxfId="73" priority="7">
      <formula>$F59="TERMINADA"</formula>
    </cfRule>
    <cfRule type="expression" dxfId="72" priority="8">
      <formula>$F59="ANULADA"</formula>
    </cfRule>
  </conditionalFormatting>
  <conditionalFormatting sqref="C59:C105">
    <cfRule type="expression" dxfId="70" priority="3">
      <formula>$F59="TERMINADA"</formula>
    </cfRule>
    <cfRule type="expression" dxfId="71" priority="4">
      <formula>$F59="ANULADA"</formula>
    </cfRule>
  </conditionalFormatting>
  <conditionalFormatting sqref="C6:D6">
    <cfRule type="expression" dxfId="69" priority="30" stopIfTrue="1">
      <formula>#REF!=1</formula>
    </cfRule>
  </conditionalFormatting>
  <conditionalFormatting sqref="C7:D31 J8:J26 I27:J31">
    <cfRule type="expression" dxfId="67" priority="27" stopIfTrue="1">
      <formula>$T7=1</formula>
    </cfRule>
    <cfRule type="expression" dxfId="68" priority="28" stopIfTrue="1">
      <formula>$T6=1</formula>
    </cfRule>
  </conditionalFormatting>
  <conditionalFormatting sqref="C32:D32">
    <cfRule type="expression" dxfId="66" priority="58" stopIfTrue="1">
      <formula>$T31=1</formula>
    </cfRule>
  </conditionalFormatting>
  <conditionalFormatting sqref="C32:D51">
    <cfRule type="expression" dxfId="65" priority="31" stopIfTrue="1">
      <formula>$S32=1</formula>
    </cfRule>
  </conditionalFormatting>
  <conditionalFormatting sqref="C33:D51">
    <cfRule type="expression" dxfId="64" priority="32" stopIfTrue="1">
      <formula>$S32=1</formula>
    </cfRule>
  </conditionalFormatting>
  <conditionalFormatting sqref="D59:D105">
    <cfRule type="expression" dxfId="63" priority="5">
      <formula>$F59="TERMINADA"</formula>
    </cfRule>
    <cfRule type="expression" dxfId="62" priority="6">
      <formula>$F59="ANULADA"</formula>
    </cfRule>
  </conditionalFormatting>
  <conditionalFormatting sqref="E6:E28">
    <cfRule type="expression" dxfId="61" priority="54" stopIfTrue="1">
      <formula>$S9=1</formula>
    </cfRule>
  </conditionalFormatting>
  <conditionalFormatting sqref="E6:E47">
    <cfRule type="expression" dxfId="60" priority="44" stopIfTrue="1">
      <formula>#REF!=1</formula>
    </cfRule>
  </conditionalFormatting>
  <conditionalFormatting sqref="E29:E47">
    <cfRule type="expression" dxfId="59" priority="45" stopIfTrue="1">
      <formula>$R32=1</formula>
    </cfRule>
  </conditionalFormatting>
  <conditionalFormatting sqref="E40:E47">
    <cfRule type="expression" dxfId="58" priority="52" stopIfTrue="1">
      <formula>$R43=1</formula>
    </cfRule>
  </conditionalFormatting>
  <conditionalFormatting sqref="E40:E51">
    <cfRule type="expression" dxfId="57" priority="51" stopIfTrue="1">
      <formula>#REF!=1</formula>
    </cfRule>
  </conditionalFormatting>
  <conditionalFormatting sqref="E48:E51">
    <cfRule type="expression" dxfId="54" priority="53" stopIfTrue="1">
      <formula>$R52=1</formula>
    </cfRule>
    <cfRule type="expression" dxfId="55" priority="59" stopIfTrue="1">
      <formula>#REF!=1</formula>
    </cfRule>
    <cfRule type="expression" dxfId="56" priority="60" stopIfTrue="1">
      <formula>$R52=1</formula>
    </cfRule>
  </conditionalFormatting>
  <conditionalFormatting sqref="F6">
    <cfRule type="expression" dxfId="53" priority="56" stopIfTrue="1">
      <formula>$T5=1</formula>
    </cfRule>
  </conditionalFormatting>
  <conditionalFormatting sqref="F6:F31">
    <cfRule type="expression" dxfId="52" priority="55" stopIfTrue="1">
      <formula>$U6=1</formula>
    </cfRule>
  </conditionalFormatting>
  <conditionalFormatting sqref="F7:F32">
    <cfRule type="expression" dxfId="51" priority="57" stopIfTrue="1">
      <formula>$U6=1</formula>
    </cfRule>
  </conditionalFormatting>
  <conditionalFormatting sqref="F32:F51">
    <cfRule type="expression" dxfId="50" priority="46" stopIfTrue="1">
      <formula>$T32=1</formula>
    </cfRule>
  </conditionalFormatting>
  <conditionalFormatting sqref="F33:F51">
    <cfRule type="expression" dxfId="49" priority="47" stopIfTrue="1">
      <formula>$T32=1</formula>
    </cfRule>
  </conditionalFormatting>
  <conditionalFormatting sqref="F40:F51">
    <cfRule type="expression" dxfId="47" priority="48" stopIfTrue="1">
      <formula>$T40=1</formula>
    </cfRule>
    <cfRule type="expression" dxfId="48" priority="49" stopIfTrue="1">
      <formula>$T39=1</formula>
    </cfRule>
  </conditionalFormatting>
  <conditionalFormatting sqref="J59:J63 G59:H63">
    <cfRule type="expression" dxfId="46" priority="22">
      <formula>$F59="TERMINADA"</formula>
    </cfRule>
    <cfRule type="expression" dxfId="45" priority="23">
      <formula>$F59="ANULADA"</formula>
    </cfRule>
  </conditionalFormatting>
  <conditionalFormatting sqref="H5">
    <cfRule type="expression" dxfId="44" priority="40" stopIfTrue="1">
      <formula>#REF!=1</formula>
    </cfRule>
  </conditionalFormatting>
  <conditionalFormatting sqref="H6">
    <cfRule type="expression" dxfId="43" priority="50" stopIfTrue="1">
      <formula>$T5=1</formula>
    </cfRule>
  </conditionalFormatting>
  <conditionalFormatting sqref="H6:H26">
    <cfRule type="expression" dxfId="42" priority="41" stopIfTrue="1">
      <formula>$U6=1</formula>
    </cfRule>
  </conditionalFormatting>
  <conditionalFormatting sqref="H7:H21 H23:H26">
    <cfRule type="expression" dxfId="41" priority="42" stopIfTrue="1">
      <formula>$U6=1</formula>
    </cfRule>
  </conditionalFormatting>
  <conditionalFormatting sqref="H22">
    <cfRule type="expression" dxfId="40" priority="43" stopIfTrue="1">
      <formula>#REF!=1</formula>
    </cfRule>
  </conditionalFormatting>
  <conditionalFormatting sqref="I6">
    <cfRule type="expression" dxfId="39" priority="29" stopIfTrue="1">
      <formula>#REF!=1</formula>
    </cfRule>
  </conditionalFormatting>
  <conditionalFormatting sqref="I7">
    <cfRule type="expression" dxfId="38" priority="16" stopIfTrue="1">
      <formula>$S$34=1</formula>
    </cfRule>
  </conditionalFormatting>
  <conditionalFormatting sqref="I8:I26">
    <cfRule type="expression" dxfId="37" priority="14" stopIfTrue="1">
      <formula>$S8=1</formula>
    </cfRule>
    <cfRule type="expression" dxfId="36" priority="15" stopIfTrue="1">
      <formula>$S7=1</formula>
    </cfRule>
  </conditionalFormatting>
  <conditionalFormatting sqref="I59">
    <cfRule type="expression" dxfId="34" priority="36">
      <formula>#REF!="TERMINADA"</formula>
    </cfRule>
    <cfRule type="expression" dxfId="35" priority="37">
      <formula>#REF!="ANULADA"</formula>
    </cfRule>
  </conditionalFormatting>
  <conditionalFormatting sqref="I60">
    <cfRule type="expression" dxfId="32" priority="34">
      <formula>$F44="TERMINADA"</formula>
    </cfRule>
    <cfRule type="expression" dxfId="33" priority="35">
      <formula>$F44="ANULADA"</formula>
    </cfRule>
  </conditionalFormatting>
  <conditionalFormatting sqref="I61:I63">
    <cfRule type="expression" dxfId="30" priority="38">
      <formula>$F46="TERMINADA"</formula>
    </cfRule>
    <cfRule type="expression" dxfId="31" priority="39">
      <formula>$F46="ANULADA"</formula>
    </cfRule>
  </conditionalFormatting>
  <conditionalFormatting sqref="J6:J7">
    <cfRule type="expression" dxfId="29" priority="33" stopIfTrue="1">
      <formula>#REF!=1</formula>
    </cfRule>
  </conditionalFormatting>
  <conditionalFormatting sqref="K6:L6">
    <cfRule type="expression" dxfId="28" priority="26" stopIfTrue="1">
      <formula>#REF!=1</formula>
    </cfRule>
  </conditionalFormatting>
  <conditionalFormatting sqref="K7:L7">
    <cfRule type="expression" dxfId="27" priority="13" stopIfTrue="1">
      <formula>$S$34=1</formula>
    </cfRule>
  </conditionalFormatting>
  <conditionalFormatting sqref="K8:L18">
    <cfRule type="expression" dxfId="26" priority="11" stopIfTrue="1">
      <formula>$S8=1</formula>
    </cfRule>
    <cfRule type="expression" dxfId="25" priority="12" stopIfTrue="1">
      <formula>$S7=1</formula>
    </cfRule>
  </conditionalFormatting>
  <conditionalFormatting sqref="K19:L29">
    <cfRule type="expression" dxfId="23" priority="24" stopIfTrue="1">
      <formula>$T19=1</formula>
    </cfRule>
    <cfRule type="expression" dxfId="24" priority="25" stopIfTrue="1">
      <formula>$T18=1</formula>
    </cfRule>
  </conditionalFormatting>
  <conditionalFormatting sqref="A59:A85">
    <cfRule type="expression" dxfId="1" priority="1">
      <formula>$G59="TERMINADA"</formula>
    </cfRule>
    <cfRule type="expression" dxfId="0" priority="2">
      <formula>$G59="ANULADA"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Ventas Mensuales </vt:lpstr>
      <vt:lpstr>MAYO</vt:lpstr>
      <vt:lpstr>MAYO_CORREGIDO</vt:lpstr>
      <vt:lpstr>JUNIO</vt:lpstr>
      <vt:lpstr>JUNIO_CORREGIDO </vt:lpstr>
      <vt:lpstr>JULIO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2026-08-04T19:15:18Z</dcterms:modified>
</cp:coreProperties>
</file>