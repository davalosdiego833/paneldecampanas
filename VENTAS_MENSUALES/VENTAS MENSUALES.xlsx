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Ventas Mensuales " sheetId="1" r:id="rId1"/>
    <sheet name="MAYO" sheetId="2" r:id="rId2"/>
    <sheet name="MAYO_CORREGIDO" sheetId="3" r:id="rId3"/>
    <sheet name="JUNIO" sheetId="4" r:id="rId4"/>
    <sheet name="JUNIO_CORREGIDO " sheetId="5" r:id="rId5"/>
    <sheet name="JULIO" sheetId="6" r:id="rId6"/>
    <sheet name="JULIO_CORREGIDO" sheetId="7" r:id="rId7"/>
    <sheet name="AGOSTO" sheetId="8" r:id="rId8"/>
    <sheet name="AGOSTO_CORREGIDO" sheetId="9" r:id="rId9"/>
    <sheet name="SEPTIEMBRE" sheetId="10" r:id="rId10"/>
    <sheet name="SEPTIEMBRE_CORREGIDO" sheetId="11" r:id="rId11"/>
  </sheets>
  <definedNames>
    <definedName name="_xlnm._FilterDatabase" localSheetId="8" hidden="1">'AGOSTO_CORREGIDO'!A1:G19</definedName>
    <definedName name="_xlnm._FilterDatabase" localSheetId="6" hidden="1">'JULIO_CORREGIDO'!A1:G19</definedName>
    <definedName name="_xlnm._FilterDatabase" localSheetId="4" hidden="1">'JUNIO_CORREGIDO '!A1:G47</definedName>
    <definedName name="_xlnm._FilterDatabase" localSheetId="2" hidden="1">'MAYO_CORREGIDO'!A1:G47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-&quot;$&quot;* #,##0.00_-;\-&quot;$&quot;* #,##0.00_-;_-&quot;$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6"/>
  <sheetViews>
    <sheetView workbookViewId="0" rightToLeft="0"/>
  </sheetViews>
  <sheetData>
    <row r="1">
      <c r="A1" t="str">
        <v>Ventas mensuales Enero</v>
      </c>
    </row>
    <row r="2">
      <c r="A2" t="str">
        <v>Asesor</v>
      </c>
      <c r="B2" t="str">
        <v xml:space="preserve">Pólizas </v>
      </c>
      <c r="C2" t="str">
        <v>Vida</v>
      </c>
      <c r="D2" t="str">
        <v>Prima vida</v>
      </c>
      <c r="E2" t="str">
        <v>Gmm</v>
      </c>
      <c r="F2" t="str">
        <v>Prima gmm</v>
      </c>
      <c r="G2" t="str">
        <v>Prima total</v>
      </c>
      <c r="H2" t="str">
        <v xml:space="preserve">Colectivo </v>
      </c>
    </row>
    <row r="3">
      <c r="A3" t="str">
        <v>MONY Y CARLOS</v>
      </c>
      <c r="B3" t="e">
        <f>SUM(#REF!,#REF!)</f>
        <v>#REF!</v>
      </c>
      <c r="C3">
        <v>5</v>
      </c>
      <c r="D3">
        <v>296401.15</v>
      </c>
      <c r="E3">
        <v>2.5</v>
      </c>
      <c r="F3">
        <v>39751.59</v>
      </c>
      <c r="G3" t="e">
        <f>SUM(#REF!,#REF!)</f>
        <v>#REF!</v>
      </c>
    </row>
    <row r="4">
      <c r="A4" t="str">
        <v>DARINKA UREÐA CASILLAS</v>
      </c>
      <c r="B4" t="e">
        <f>SUM(#REF!,#REF!)</f>
        <v>#REF!</v>
      </c>
      <c r="C4">
        <v>5</v>
      </c>
      <c r="D4">
        <v>232195.61</v>
      </c>
      <c r="G4" t="e">
        <f>SUM(#REF!,#REF!)</f>
        <v>#REF!</v>
      </c>
    </row>
    <row r="5">
      <c r="A5" t="str">
        <v>DESIREE DE LA PEÐA OROZCO</v>
      </c>
      <c r="B5" t="e">
        <f>SUM(#REF!,#REF!)</f>
        <v>#REF!</v>
      </c>
      <c r="C5">
        <v>4</v>
      </c>
      <c r="D5">
        <v>88263.09</v>
      </c>
      <c r="G5" t="e">
        <f>SUM(#REF!,#REF!)</f>
        <v>#REF!</v>
      </c>
    </row>
    <row r="6">
      <c r="A6" t="str">
        <v>ANAIS LUA MORENO</v>
      </c>
      <c r="B6" t="e">
        <f>SUM(#REF!,#REF!)</f>
        <v>#REF!</v>
      </c>
      <c r="C6">
        <v>5</v>
      </c>
      <c r="D6">
        <v>74510.95</v>
      </c>
      <c r="E6">
        <v>0.5</v>
      </c>
      <c r="F6">
        <v>6585.66</v>
      </c>
      <c r="G6" t="e">
        <f>SUM(#REF!,#REF!)</f>
        <v>#REF!</v>
      </c>
    </row>
    <row r="7">
      <c r="A7" t="str">
        <v>RAFAEL ALBERTO SUAREZ BAQUEDANO</v>
      </c>
      <c r="B7" t="e">
        <f>SUM(#REF!,#REF!)</f>
        <v>#REF!</v>
      </c>
      <c r="C7">
        <v>2</v>
      </c>
      <c r="D7">
        <v>2448.02</v>
      </c>
      <c r="E7">
        <v>2.5</v>
      </c>
      <c r="F7">
        <v>52227.52</v>
      </c>
      <c r="G7" t="e">
        <f>SUM(#REF!,#REF!)</f>
        <v>#REF!</v>
      </c>
    </row>
    <row r="8">
      <c r="A8" t="str">
        <v>PAULINA LIZBETH SOTO MUÐIZ</v>
      </c>
      <c r="B8" t="e">
        <f>SUM(#REF!,#REF!)</f>
        <v>#REF!</v>
      </c>
      <c r="C8">
        <v>2</v>
      </c>
      <c r="D8">
        <v>33754.29</v>
      </c>
      <c r="G8" t="e">
        <f>SUM(#REF!,#REF!)</f>
        <v>#REF!</v>
      </c>
    </row>
    <row r="9">
      <c r="A9" t="str">
        <v>JORGE Y LULY</v>
      </c>
      <c r="B9" t="e">
        <f>SUM(#REF!,#REF!)</f>
        <v>#REF!</v>
      </c>
      <c r="C9">
        <v>2</v>
      </c>
      <c r="D9">
        <v>13863.25</v>
      </c>
      <c r="E9">
        <v>0.5</v>
      </c>
      <c r="F9">
        <v>19274.75</v>
      </c>
      <c r="G9" t="e">
        <f>SUM(#REF!,#REF!)</f>
        <v>#REF!</v>
      </c>
    </row>
    <row r="10">
      <c r="A10" t="str">
        <v>CLAUDIA VALERIA HERNANDEZ MACIAS</v>
      </c>
      <c r="B10" t="e">
        <f>SUM(#REF!,#REF!)</f>
        <v>#REF!</v>
      </c>
      <c r="C10">
        <v>2</v>
      </c>
      <c r="D10">
        <v>27504.29</v>
      </c>
      <c r="G10" t="e">
        <f>SUM(#REF!,#REF!)</f>
        <v>#REF!</v>
      </c>
    </row>
    <row r="11">
      <c r="A11" t="str">
        <v>ANDREA CELESTE IBAÐEZ RINCON</v>
      </c>
      <c r="B11" t="e">
        <f>SUM(#REF!,#REF!)</f>
        <v>#REF!</v>
      </c>
      <c r="C11">
        <v>1</v>
      </c>
      <c r="D11">
        <v>1604.8</v>
      </c>
      <c r="E11">
        <v>0.5</v>
      </c>
      <c r="F11">
        <v>22081.86</v>
      </c>
      <c r="G11" t="e">
        <f>SUM(#REF!,#REF!)</f>
        <v>#REF!</v>
      </c>
    </row>
    <row r="12">
      <c r="A12" t="str">
        <v>SAMUEL NUÐO RIVERA</v>
      </c>
      <c r="B12" t="e">
        <f>SUM(#REF!,#REF!)</f>
        <v>#REF!</v>
      </c>
      <c r="C12">
        <v>0</v>
      </c>
      <c r="D12">
        <v>0</v>
      </c>
      <c r="E12">
        <v>0.5</v>
      </c>
      <c r="F12">
        <v>21005.83</v>
      </c>
      <c r="G12" t="e">
        <f>SUM(#REF!,#REF!)</f>
        <v>#REF!</v>
      </c>
    </row>
    <row r="13">
      <c r="A13" t="str">
        <v>LUIS GUILLERMO OLGUIN FERNANDEZ</v>
      </c>
      <c r="B13" t="e">
        <f>SUM(#REF!,#REF!)</f>
        <v>#REF!</v>
      </c>
      <c r="E13">
        <v>0.5</v>
      </c>
      <c r="F13">
        <v>17118.91</v>
      </c>
      <c r="G13" t="e">
        <f>SUM(#REF!,#REF!)</f>
        <v>#REF!</v>
      </c>
    </row>
    <row r="14">
      <c r="A14" t="str">
        <v>ORLANDA JIMENA CERVANTES NUÐEZ</v>
      </c>
      <c r="B14" t="e">
        <f>SUM(#REF!,#REF!)</f>
        <v>#REF!</v>
      </c>
      <c r="C14">
        <v>1</v>
      </c>
      <c r="D14">
        <v>12328.19</v>
      </c>
      <c r="E14">
        <v>0.5</v>
      </c>
      <c r="F14">
        <v>2160.37</v>
      </c>
      <c r="G14" t="e">
        <f>SUM(#REF!,#REF!)</f>
        <v>#REF!</v>
      </c>
    </row>
    <row r="15">
      <c r="A15" t="str">
        <v>KAREN MUÐOZ GARCIA</v>
      </c>
      <c r="B15" t="e">
        <f>SUM(#REF!,#REF!)</f>
        <v>#REF!</v>
      </c>
      <c r="C15">
        <v>0</v>
      </c>
      <c r="D15">
        <v>0</v>
      </c>
      <c r="E15">
        <v>0.5</v>
      </c>
      <c r="F15">
        <v>12912.28</v>
      </c>
      <c r="G15" t="e">
        <f>SUM(#REF!,#REF!)</f>
        <v>#REF!</v>
      </c>
    </row>
    <row r="16">
      <c r="A16" t="str">
        <v>MARIA FERNANDA CARLOS VAZQUEZ</v>
      </c>
      <c r="B16" t="e">
        <f>SUM(#REF!,#REF!)</f>
        <v>#REF!</v>
      </c>
      <c r="C16">
        <v>0</v>
      </c>
      <c r="D16">
        <v>0</v>
      </c>
      <c r="E16">
        <v>0.5</v>
      </c>
      <c r="F16">
        <v>12912.28</v>
      </c>
      <c r="G16" t="e">
        <f>SUM(#REF!,#REF!)</f>
        <v>#REF!</v>
      </c>
    </row>
    <row r="17">
      <c r="A17" t="str">
        <v>MARIO ALBERTO VILLASEÐOR SANCHEZ</v>
      </c>
      <c r="B17" t="e">
        <f>SUM(#REF!,#REF!)</f>
        <v>#REF!</v>
      </c>
      <c r="C17">
        <v>1</v>
      </c>
      <c r="D17">
        <v>9612.49</v>
      </c>
      <c r="G17" t="e">
        <f>SUM(#REF!,#REF!)</f>
        <v>#REF!</v>
      </c>
    </row>
    <row r="18">
      <c r="A18" t="str">
        <v>EVELYN CAROLINA VENEGAS IÐIGUEZ</v>
      </c>
      <c r="B18" t="e">
        <f>SUM(#REF!,#REF!)</f>
        <v>#REF!</v>
      </c>
      <c r="C18">
        <v>1</v>
      </c>
      <c r="D18">
        <v>6309.57</v>
      </c>
      <c r="G18" t="e">
        <f>SUM(#REF!,#REF!)</f>
        <v>#REF!</v>
      </c>
    </row>
    <row r="19">
      <c r="A19" t="str">
        <v>LILIANA IVETTE CASTILLO SANCHEZ</v>
      </c>
      <c r="B19" t="e">
        <f>SUM(#REF!,#REF!)</f>
        <v>#REF!</v>
      </c>
      <c r="C19">
        <v>2</v>
      </c>
      <c r="D19">
        <v>5817.46</v>
      </c>
      <c r="G19" t="e">
        <f>SUM(#REF!,#REF!)</f>
        <v>#REF!</v>
      </c>
    </row>
    <row r="20">
      <c r="A20" t="str">
        <v>JORGE ANTONIO LUNA LARA</v>
      </c>
      <c r="B20" t="e">
        <f>SUM(#REF!,#REF!)</f>
        <v>#REF!</v>
      </c>
      <c r="C20">
        <v>0</v>
      </c>
      <c r="D20">
        <v>0</v>
      </c>
      <c r="E20">
        <v>0.5</v>
      </c>
      <c r="F20">
        <v>5080.8</v>
      </c>
      <c r="G20" t="e">
        <f>SUM(#REF!,#REF!)</f>
        <v>#REF!</v>
      </c>
    </row>
    <row r="21">
      <c r="A21" t="str">
        <v>ROGELIO TORRES ORTIZ</v>
      </c>
      <c r="B21" t="e">
        <f>SUM(#REF!,#REF!)</f>
        <v>#REF!</v>
      </c>
      <c r="C21">
        <v>2</v>
      </c>
      <c r="D21">
        <v>2835.76</v>
      </c>
      <c r="G21" t="e">
        <f>SUM(#REF!,#REF!)</f>
        <v>#REF!</v>
      </c>
    </row>
    <row r="22">
      <c r="A22" t="str">
        <v>MARIA ELIZABETH LLAMAS LOPEZ</v>
      </c>
      <c r="B22" t="e">
        <f>SUM(#REF!,#REF!)</f>
        <v>#REF!</v>
      </c>
      <c r="C22">
        <v>1</v>
      </c>
      <c r="D22">
        <v>2408.08</v>
      </c>
      <c r="G22" t="e">
        <f>SUM(#REF!,#REF!)</f>
        <v>#REF!</v>
      </c>
    </row>
    <row r="23">
      <c r="A23" t="str">
        <v>ENRIQUE ADRIAN GUTIERREZ JIMENEZ</v>
      </c>
      <c r="B23" t="e">
        <f>SUM(#REF!,#REF!)</f>
        <v>#REF!</v>
      </c>
      <c r="C23">
        <v>0</v>
      </c>
      <c r="D23">
        <v>0</v>
      </c>
      <c r="E23">
        <v>0.5</v>
      </c>
      <c r="F23">
        <v>1117.5</v>
      </c>
      <c r="G23" t="e">
        <f>SUM(#REF!,#REF!)</f>
        <v>#REF!</v>
      </c>
    </row>
    <row r="24">
      <c r="A24" t="str">
        <v>MARICELA ARREOLA LOPEZ</v>
      </c>
      <c r="B24" t="e">
        <f>SUM(#REF!,#REF!)</f>
        <v>#REF!</v>
      </c>
      <c r="C24">
        <v>2</v>
      </c>
      <c r="D24">
        <v>732.62</v>
      </c>
      <c r="G24" t="e">
        <f>SUM(#REF!,#REF!)</f>
        <v>#REF!</v>
      </c>
    </row>
    <row r="25">
      <c r="A25" t="str">
        <v>JOSE RENE DE ALBA MORALES</v>
      </c>
      <c r="B25" t="e">
        <f>SUM(#REF!,#REF!)</f>
        <v>#REF!</v>
      </c>
      <c r="C25">
        <v>0</v>
      </c>
      <c r="D25">
        <v>0</v>
      </c>
      <c r="G25" t="e">
        <f>SUM(#REF!,#REF!)</f>
        <v>#REF!</v>
      </c>
    </row>
    <row r="26">
      <c r="A26" t="str">
        <v>JULIANA RIASCOS VALENCIA</v>
      </c>
      <c r="B26" t="e">
        <f>SUM(#REF!,#REF!)</f>
        <v>#REF!</v>
      </c>
      <c r="C26">
        <v>0</v>
      </c>
      <c r="D26">
        <v>0</v>
      </c>
      <c r="G26" t="e">
        <f>SUM(#REF!,#REF!)</f>
        <v>#REF!</v>
      </c>
    </row>
    <row r="27">
      <c r="A27" t="str">
        <v>ROCIO IVON RUIZ GARCIA</v>
      </c>
      <c r="B27" t="e">
        <f>SUM(#REF!,#REF!)</f>
        <v>#REF!</v>
      </c>
      <c r="C27">
        <v>0</v>
      </c>
      <c r="D27">
        <v>0</v>
      </c>
      <c r="G27" t="e">
        <f>SUM(#REF!,#REF!)</f>
        <v>#REF!</v>
      </c>
    </row>
    <row r="28">
      <c r="A28" t="str">
        <v>MIRIAM ROCIO LOMELI CHAVEZ</v>
      </c>
      <c r="B28" t="e">
        <f>SUM(#REF!,#REF!)</f>
        <v>#REF!</v>
      </c>
      <c r="C28">
        <v>0</v>
      </c>
      <c r="D28">
        <v>0</v>
      </c>
      <c r="G28" t="e">
        <f>SUM(#REF!,#REF!)</f>
        <v>#REF!</v>
      </c>
    </row>
    <row r="29">
      <c r="A29" t="str">
        <v>GABRIELA CASTAÐEDA SALAZAR</v>
      </c>
      <c r="B29" t="e">
        <f>SUM(#REF!,#REF!)</f>
        <v>#REF!</v>
      </c>
      <c r="C29">
        <v>0</v>
      </c>
      <c r="D29">
        <v>0</v>
      </c>
      <c r="G29" t="e">
        <f>SUM(#REF!,#REF!)</f>
        <v>#REF!</v>
      </c>
    </row>
    <row r="30">
      <c r="A30" t="str">
        <v>ANGELICA YADIRA ROMERO JAUREGUI</v>
      </c>
      <c r="B30" t="e">
        <f>SUM(#REF!,#REF!)</f>
        <v>#REF!</v>
      </c>
      <c r="C30">
        <v>0</v>
      </c>
      <c r="D30">
        <v>0</v>
      </c>
      <c r="G30" t="e">
        <f>SUM(#REF!,#REF!)</f>
        <v>#REF!</v>
      </c>
    </row>
    <row r="31">
      <c r="A31" t="str">
        <v>ISAI ANTONIO ROJAS MARTINEZ</v>
      </c>
      <c r="B31" t="e">
        <f>SUM(#REF!,#REF!)</f>
        <v>#REF!</v>
      </c>
      <c r="C31">
        <v>0</v>
      </c>
      <c r="D31">
        <v>0</v>
      </c>
      <c r="G31" t="e">
        <f>SUM(#REF!,#REF!)</f>
        <v>#REF!</v>
      </c>
    </row>
    <row r="32">
      <c r="A32" t="str">
        <v>MIREYA LIZETTE TORRES GARCIA</v>
      </c>
      <c r="B32" t="e">
        <f>SUM(#REF!,#REF!)</f>
        <v>#REF!</v>
      </c>
      <c r="C32">
        <v>0</v>
      </c>
      <c r="D32">
        <v>0</v>
      </c>
      <c r="G32" t="e">
        <f>SUM(#REF!,#REF!)</f>
        <v>#REF!</v>
      </c>
    </row>
    <row r="33">
      <c r="A33" t="str">
        <v>JOSE ALBERTO CORONADO ROSAS</v>
      </c>
      <c r="B33" t="e">
        <f>SUM(#REF!,#REF!)</f>
        <v>#REF!</v>
      </c>
      <c r="C33">
        <v>0</v>
      </c>
      <c r="D33">
        <v>0</v>
      </c>
      <c r="G33" t="e">
        <f>SUM(#REF!,#REF!)</f>
        <v>#REF!</v>
      </c>
    </row>
    <row r="34">
      <c r="A34" t="str">
        <v>MARIO ALFONSO SARMIENTO OROZCO</v>
      </c>
      <c r="B34" t="e">
        <f>SUM(#REF!,#REF!)</f>
        <v>#REF!</v>
      </c>
      <c r="C34">
        <v>0</v>
      </c>
      <c r="D34">
        <v>0</v>
      </c>
      <c r="G34" t="e">
        <f>SUM(#REF!,#REF!)</f>
        <v>#REF!</v>
      </c>
    </row>
    <row r="35">
      <c r="A35" t="str">
        <v>ROCIO YANETH OCHOA IBARRA</v>
      </c>
      <c r="B35" t="e">
        <f>SUM(#REF!,#REF!)</f>
        <v>#REF!</v>
      </c>
      <c r="C35">
        <v>0</v>
      </c>
      <c r="D35">
        <v>0</v>
      </c>
      <c r="G35" t="e">
        <f>SUM(#REF!,#REF!)</f>
        <v>#REF!</v>
      </c>
    </row>
    <row r="36">
      <c r="A36" t="str">
        <v>VALERIA AIDE IBAÐEZ MURGUIA</v>
      </c>
      <c r="B36" t="e">
        <f>SUM(#REF!,#REF!)</f>
        <v>#REF!</v>
      </c>
      <c r="C36">
        <v>0</v>
      </c>
      <c r="D36">
        <v>0</v>
      </c>
      <c r="G36" t="e">
        <f>SUM(#REF!,#REF!)</f>
        <v>#REF!</v>
      </c>
    </row>
    <row r="37">
      <c r="A37" t="str">
        <v>MARIA TERESA ASENCIO LOZANO</v>
      </c>
      <c r="B37" t="e">
        <f>SUM(#REF!,#REF!)</f>
        <v>#REF!</v>
      </c>
      <c r="C37">
        <v>0</v>
      </c>
      <c r="D37">
        <v>0</v>
      </c>
      <c r="G37" t="e">
        <f>SUM(#REF!,#REF!)</f>
        <v>#REF!</v>
      </c>
    </row>
    <row r="38">
      <c r="A38" t="str">
        <v>LUIS FERNANDO HERNANDEZ AYALA</v>
      </c>
      <c r="B38" t="e">
        <f>SUM(#REF!,#REF!)</f>
        <v>#REF!</v>
      </c>
      <c r="C38">
        <v>0</v>
      </c>
      <c r="D38">
        <v>0</v>
      </c>
      <c r="G38" t="e">
        <f>SUM(#REF!,#REF!)</f>
        <v>#REF!</v>
      </c>
    </row>
    <row r="39">
      <c r="A39" t="str">
        <v>FERNANDO JAVIER DAVALOS FLORES</v>
      </c>
      <c r="B39" t="e">
        <f>SUM(#REF!,#REF!)</f>
        <v>#REF!</v>
      </c>
      <c r="C39">
        <v>0</v>
      </c>
      <c r="D39">
        <v>0</v>
      </c>
      <c r="G39" t="e">
        <f>SUM(#REF!,#REF!)</f>
        <v>#REF!</v>
      </c>
    </row>
    <row r="40">
      <c r="A40" t="str">
        <v>PAULINA RODRIGUEZ DE LA MORA</v>
      </c>
      <c r="B40" t="e">
        <f>SUM(#REF!,#REF!)</f>
        <v>#REF!</v>
      </c>
      <c r="C40">
        <v>0</v>
      </c>
      <c r="D40">
        <v>0</v>
      </c>
      <c r="G40" t="e">
        <f>SUM(#REF!,#REF!)</f>
        <v>#REF!</v>
      </c>
    </row>
    <row r="41">
      <c r="A41" t="str">
        <v>JOSE EDUARDO EZQUERRO BARQUERA</v>
      </c>
      <c r="B41" t="e">
        <f>SUM(#REF!,#REF!)</f>
        <v>#REF!</v>
      </c>
      <c r="C41">
        <v>0</v>
      </c>
      <c r="D41">
        <v>0</v>
      </c>
      <c r="G41" t="e">
        <f>SUM(#REF!,#REF!)</f>
        <v>#REF!</v>
      </c>
    </row>
    <row r="42">
      <c r="A42" t="str">
        <v>ALEJANDRA IVETTE PEDROZA MACIAS</v>
      </c>
      <c r="B42" t="e">
        <f>SUM(#REF!,#REF!)</f>
        <v>#REF!</v>
      </c>
      <c r="C42">
        <v>0</v>
      </c>
      <c r="D42">
        <v>0</v>
      </c>
      <c r="G42" t="e">
        <f>SUM(#REF!,#REF!)</f>
        <v>#REF!</v>
      </c>
    </row>
    <row r="43">
      <c r="A43" t="str">
        <v>JOCELYN URIBE VARGAS</v>
      </c>
      <c r="B43" t="e">
        <f>SUM(#REF!,#REF!)</f>
        <v>#REF!</v>
      </c>
      <c r="C43">
        <v>0</v>
      </c>
      <c r="D43">
        <v>0</v>
      </c>
      <c r="G43" t="e">
        <f>SUM(#REF!,#REF!)</f>
        <v>#REF!</v>
      </c>
    </row>
    <row r="45">
      <c r="A45" t="str">
        <v>Total</v>
      </c>
      <c r="B45" t="e">
        <f>SUM(#REF!)</f>
        <v>#REF!</v>
      </c>
      <c r="C45" t="e">
        <f>SUM(#REF!)</f>
        <v>#REF!</v>
      </c>
      <c r="D45">
        <v>411858</v>
      </c>
      <c r="E45">
        <v>11</v>
      </c>
      <c r="F45">
        <v>216725</v>
      </c>
      <c r="G45">
        <v>628583</v>
      </c>
      <c r="H45" t="e">
        <f>SUM(#REF!)</f>
        <v>#REF!</v>
      </c>
    </row>
    <row r="48">
      <c r="A48" t="str">
        <v>Ventas mensuales FEBRERO</v>
      </c>
    </row>
    <row r="49">
      <c r="A49" t="str">
        <v>Asesor</v>
      </c>
      <c r="B49" t="str">
        <v xml:space="preserve">Pólizas </v>
      </c>
      <c r="C49" t="str">
        <v>Vida</v>
      </c>
      <c r="D49" t="str">
        <v>Prima vida</v>
      </c>
      <c r="E49" t="str">
        <v>Gmm</v>
      </c>
      <c r="F49" t="str">
        <v>Prima gmm</v>
      </c>
      <c r="G49" t="str">
        <v>Prima total</v>
      </c>
    </row>
    <row r="50">
      <c r="A50" t="str">
        <v>MONI Y CARLOS</v>
      </c>
      <c r="B50" t="e">
        <f>SUM(#REF!,#REF!)</f>
        <v>#REF!</v>
      </c>
      <c r="C50">
        <v>1</v>
      </c>
      <c r="D50">
        <v>199988.27</v>
      </c>
      <c r="E50">
        <v>2.5</v>
      </c>
      <c r="F50">
        <v>56714.86</v>
      </c>
      <c r="G50" t="e">
        <f>SUM(#REF!,#REF!)</f>
        <v>#REF!</v>
      </c>
    </row>
    <row r="51">
      <c r="A51" t="str">
        <v>DESIREE DE LA PEÐA OROZCO</v>
      </c>
      <c r="B51" t="e">
        <f>SUM(#REF!,#REF!)</f>
        <v>#REF!</v>
      </c>
      <c r="C51">
        <v>3</v>
      </c>
      <c r="D51">
        <v>226000</v>
      </c>
      <c r="G51" t="e">
        <f>SUM(#REF!,#REF!)</f>
        <v>#REF!</v>
      </c>
    </row>
    <row r="52">
      <c r="A52" t="str">
        <v>DARINKA UREÐA CASILLAS</v>
      </c>
      <c r="B52" t="e">
        <f>SUM(#REF!,#REF!)</f>
        <v>#REF!</v>
      </c>
      <c r="C52">
        <v>4</v>
      </c>
      <c r="D52">
        <v>95590.78</v>
      </c>
      <c r="E52">
        <v>2.5</v>
      </c>
      <c r="F52">
        <v>124365.81</v>
      </c>
      <c r="G52" t="e">
        <f>SUM(#REF!,#REF!)</f>
        <v>#REF!</v>
      </c>
    </row>
    <row r="53">
      <c r="A53" t="str">
        <v>LILIANA IVETTE CASTILLO SANCHEZ</v>
      </c>
      <c r="B53" t="e">
        <f>SUM(#REF!,#REF!)</f>
        <v>#REF!</v>
      </c>
      <c r="C53">
        <v>3</v>
      </c>
      <c r="D53">
        <v>16292.86</v>
      </c>
      <c r="E53">
        <v>1</v>
      </c>
      <c r="F53">
        <v>98113.63</v>
      </c>
      <c r="G53" t="e">
        <f>SUM(#REF!,#REF!)</f>
        <v>#REF!</v>
      </c>
    </row>
    <row r="54">
      <c r="A54" t="str">
        <v>CLAUDIA VALERIA HERNANDEZ MACIAS</v>
      </c>
      <c r="B54" t="e">
        <f>SUM(#REF!,#REF!)</f>
        <v>#REF!</v>
      </c>
      <c r="C54">
        <v>2</v>
      </c>
      <c r="D54">
        <v>109733.54</v>
      </c>
      <c r="G54" t="e">
        <f>SUM(#REF!,#REF!)</f>
        <v>#REF!</v>
      </c>
      <c r="I54" t="str">
        <v>DARI</v>
      </c>
      <c r="K54">
        <v>19060.26</v>
      </c>
      <c r="L54">
        <v>40462.83</v>
      </c>
      <c r="M54">
        <v>23133.96</v>
      </c>
      <c r="P54">
        <f>+K54+L54+M54+N54+O54+K55+L55+M55+N55</f>
        <v>124365.81</v>
      </c>
    </row>
    <row r="55">
      <c r="A55" t="str">
        <v>ANAIS LUA MORENO</v>
      </c>
      <c r="B55" t="e">
        <f>SUM(#REF!,#REF!)</f>
        <v>#REF!</v>
      </c>
      <c r="C55">
        <v>4</v>
      </c>
      <c r="D55">
        <v>27506.2</v>
      </c>
      <c r="E55">
        <v>0.5</v>
      </c>
      <c r="F55">
        <v>48175.31</v>
      </c>
      <c r="G55" t="e">
        <f>SUM(#REF!,#REF!)</f>
        <v>#REF!</v>
      </c>
      <c r="K55">
        <v>22216.27</v>
      </c>
      <c r="L55">
        <v>19492.49</v>
      </c>
    </row>
    <row r="56">
      <c r="A56" t="str">
        <v>ORLANDA JIMENA CERVANTES NUÐEZ</v>
      </c>
      <c r="B56" t="e">
        <f>SUM(#REF!,#REF!)</f>
        <v>#REF!</v>
      </c>
      <c r="C56">
        <v>0</v>
      </c>
      <c r="D56">
        <v>0</v>
      </c>
      <c r="E56">
        <v>2</v>
      </c>
      <c r="F56">
        <v>64365.32</v>
      </c>
      <c r="G56" t="e">
        <f>SUM(#REF!,#REF!)</f>
        <v>#REF!</v>
      </c>
    </row>
    <row r="57">
      <c r="A57" t="str">
        <v>LUIS GUILLERMO OLGUIN FERNANDEZ</v>
      </c>
      <c r="B57" t="e">
        <f>SUM(#REF!,#REF!)</f>
        <v>#REF!</v>
      </c>
      <c r="C57">
        <v>2</v>
      </c>
      <c r="D57">
        <v>44443.26</v>
      </c>
      <c r="E57">
        <v>0.5</v>
      </c>
      <c r="F57">
        <v>19565.21</v>
      </c>
      <c r="G57" t="e">
        <f>SUM(#REF!,#REF!)</f>
        <v>#REF!</v>
      </c>
    </row>
    <row r="58">
      <c r="A58" t="str">
        <v>JORGE Y LULI</v>
      </c>
      <c r="B58" t="e">
        <f>SUM(#REF!,#REF!)</f>
        <v>#REF!</v>
      </c>
      <c r="C58">
        <v>1</v>
      </c>
      <c r="D58">
        <v>10943.55</v>
      </c>
      <c r="E58">
        <v>1</v>
      </c>
      <c r="F58">
        <v>42483.22</v>
      </c>
      <c r="G58" t="e">
        <f>SUM(#REF!,#REF!)</f>
        <v>#REF!</v>
      </c>
    </row>
    <row r="59">
      <c r="A59" t="str">
        <v>MIREYA LIZETTE TORRES GARCIA</v>
      </c>
      <c r="B59" t="e">
        <f>SUM(#REF!,#REF!)</f>
        <v>#REF!</v>
      </c>
      <c r="C59">
        <v>1</v>
      </c>
      <c r="D59">
        <v>49011.6</v>
      </c>
      <c r="G59" t="e">
        <f>SUM(#REF!,#REF!)</f>
        <v>#REF!</v>
      </c>
    </row>
    <row r="60">
      <c r="A60" t="str">
        <v>SAMUEL NUÐO RIVERA</v>
      </c>
      <c r="B60" t="e">
        <f>SUM(#REF!,#REF!)</f>
        <v>#REF!</v>
      </c>
      <c r="C60">
        <v>0</v>
      </c>
      <c r="D60">
        <v>0</v>
      </c>
      <c r="E60">
        <v>1.5</v>
      </c>
      <c r="F60">
        <v>42118.23</v>
      </c>
      <c r="G60" t="e">
        <f>SUM(#REF!,#REF!)</f>
        <v>#REF!</v>
      </c>
    </row>
    <row r="61">
      <c r="A61" t="str">
        <v>MARIA ELIZABETH LLAMAS LOPEZ</v>
      </c>
      <c r="B61" t="e">
        <f>SUM(#REF!,#REF!)</f>
        <v>#REF!</v>
      </c>
      <c r="C61">
        <v>3</v>
      </c>
      <c r="D61">
        <v>7134.18</v>
      </c>
      <c r="E61">
        <v>0.5</v>
      </c>
      <c r="F61">
        <v>23726.65</v>
      </c>
      <c r="G61" t="e">
        <f>SUM(#REF!,#REF!)</f>
        <v>#REF!</v>
      </c>
    </row>
    <row r="62">
      <c r="A62" t="str">
        <v>JULIANA RIASCOS VALENCIA</v>
      </c>
      <c r="B62" t="e">
        <f>SUM(#REF!,#REF!)</f>
        <v>#REF!</v>
      </c>
      <c r="C62">
        <v>3</v>
      </c>
      <c r="D62">
        <v>30461.64</v>
      </c>
      <c r="G62" t="e">
        <f>SUM(#REF!,#REF!)</f>
        <v>#REF!</v>
      </c>
    </row>
    <row r="63">
      <c r="A63" t="str">
        <v>ROCIO YANETH OCHOA IBARRA</v>
      </c>
      <c r="B63" t="e">
        <f>SUM(#REF!,#REF!)</f>
        <v>#REF!</v>
      </c>
      <c r="C63">
        <v>1</v>
      </c>
      <c r="D63">
        <v>30344.17</v>
      </c>
      <c r="G63" t="e">
        <f>SUM(#REF!,#REF!)</f>
        <v>#REF!</v>
      </c>
    </row>
    <row r="64">
      <c r="A64" t="str">
        <v>JORGE ANTONIO LUNA LARA</v>
      </c>
      <c r="B64" t="e">
        <f>SUM(#REF!,#REF!)</f>
        <v>#REF!</v>
      </c>
      <c r="C64">
        <v>2</v>
      </c>
      <c r="D64">
        <v>14497.76</v>
      </c>
      <c r="E64">
        <v>0.5</v>
      </c>
      <c r="F64">
        <v>13195.01</v>
      </c>
      <c r="G64" t="e">
        <f>SUM(#REF!,#REF!)</f>
        <v>#REF!</v>
      </c>
    </row>
    <row r="65">
      <c r="A65" t="str">
        <v>KAREN MUÐOZ GARCIA</v>
      </c>
      <c r="B65" t="e">
        <f>SUM(#REF!,#REF!)</f>
        <v>#REF!</v>
      </c>
      <c r="C65">
        <v>0</v>
      </c>
      <c r="D65">
        <v>0</v>
      </c>
      <c r="E65">
        <v>0.5</v>
      </c>
      <c r="F65">
        <v>27061.95</v>
      </c>
      <c r="G65" t="e">
        <f>SUM(#REF!,#REF!)</f>
        <v>#REF!</v>
      </c>
    </row>
    <row r="66">
      <c r="A66" t="str">
        <v>MARIA TERESA ASENCIO LOZANO</v>
      </c>
      <c r="B66" t="e">
        <f>SUM(#REF!,#REF!)</f>
        <v>#REF!</v>
      </c>
      <c r="C66">
        <v>0</v>
      </c>
      <c r="D66">
        <v>0</v>
      </c>
      <c r="E66">
        <v>0.5</v>
      </c>
      <c r="F66">
        <v>25383.21</v>
      </c>
      <c r="G66" t="e">
        <f>SUM(#REF!,#REF!)</f>
        <v>#REF!</v>
      </c>
    </row>
    <row r="67">
      <c r="A67" t="str">
        <v>MIRIAM ROCIO LOMELI CHAVEZ</v>
      </c>
      <c r="B67" t="e">
        <f>SUM(#REF!,#REF!)</f>
        <v>#REF!</v>
      </c>
      <c r="C67">
        <v>0</v>
      </c>
      <c r="D67">
        <v>0</v>
      </c>
      <c r="E67">
        <v>0.5</v>
      </c>
      <c r="F67">
        <v>23749.41</v>
      </c>
      <c r="G67" t="e">
        <f>SUM(#REF!,#REF!)</f>
        <v>#REF!</v>
      </c>
    </row>
    <row r="68">
      <c r="A68" t="str">
        <v>ROCIO IVON RUIZ GARCIA</v>
      </c>
      <c r="B68" t="e">
        <f>SUM(#REF!,#REF!)</f>
        <v>#REF!</v>
      </c>
      <c r="C68">
        <v>0</v>
      </c>
      <c r="E68">
        <v>0.5</v>
      </c>
      <c r="F68">
        <v>16001.32</v>
      </c>
      <c r="G68" t="e">
        <f>SUM(#REF!,#REF!)</f>
        <v>#REF!</v>
      </c>
    </row>
    <row r="69">
      <c r="A69" t="str">
        <v>MARICELA ARREOLA LOPEZ</v>
      </c>
      <c r="B69" t="e">
        <f>SUM(#REF!,#REF!)</f>
        <v>#REF!</v>
      </c>
      <c r="C69">
        <v>2</v>
      </c>
      <c r="D69">
        <v>7054.67</v>
      </c>
      <c r="G69" t="e">
        <f>SUM(#REF!,#REF!)</f>
        <v>#REF!</v>
      </c>
    </row>
    <row r="70">
      <c r="A70" t="str">
        <v>ISAI ANTONIO ROJAS MARTINEZ</v>
      </c>
      <c r="B70" t="e">
        <f>SUM(#REF!,#REF!)</f>
        <v>#REF!</v>
      </c>
      <c r="C70">
        <v>1</v>
      </c>
      <c r="D70">
        <v>1832.81</v>
      </c>
      <c r="E70">
        <v>0.5</v>
      </c>
      <c r="F70">
        <v>4801.18</v>
      </c>
      <c r="G70" t="e">
        <f>SUM(#REF!,#REF!)</f>
        <v>#REF!</v>
      </c>
    </row>
    <row r="71">
      <c r="A71" t="str">
        <v>ROGELIO TORRES ORTIZ</v>
      </c>
      <c r="B71" t="e">
        <f>SUM(#REF!,#REF!)</f>
        <v>#REF!</v>
      </c>
      <c r="C71">
        <v>2</v>
      </c>
      <c r="D71">
        <v>6126.51</v>
      </c>
      <c r="G71" t="e">
        <f>SUM(#REF!,#REF!)</f>
        <v>#REF!</v>
      </c>
    </row>
    <row r="72">
      <c r="A72" t="str">
        <v>EVELYN CAROLINA VENEGAS IÐIGUEZ</v>
      </c>
      <c r="B72" t="e">
        <f>SUM(#REF!,#REF!)</f>
        <v>#REF!</v>
      </c>
      <c r="C72">
        <v>1</v>
      </c>
      <c r="D72">
        <v>1131.53</v>
      </c>
      <c r="E72">
        <v>0.5</v>
      </c>
      <c r="F72">
        <v>4490.49</v>
      </c>
      <c r="G72" t="e">
        <f>SUM(#REF!,#REF!)</f>
        <v>#REF!</v>
      </c>
    </row>
    <row r="73">
      <c r="A73" t="str">
        <v>PAULINA LIZBETH SOTO MUÐIZ</v>
      </c>
      <c r="B73" t="e">
        <f>SUM(#REF!,#REF!)</f>
        <v>#REF!</v>
      </c>
      <c r="C73">
        <v>1</v>
      </c>
      <c r="D73">
        <v>3719.53</v>
      </c>
      <c r="G73" t="e">
        <f>SUM(#REF!,#REF!)</f>
        <v>#REF!</v>
      </c>
    </row>
    <row r="74">
      <c r="A74" t="str">
        <v>MARIA FERNANDA CARLOS VAZQUEZ</v>
      </c>
      <c r="B74" t="e">
        <f>SUM(#REF!,#REF!)</f>
        <v>#REF!</v>
      </c>
      <c r="C74">
        <v>1</v>
      </c>
      <c r="D74">
        <v>3413.22</v>
      </c>
      <c r="G74" t="e">
        <f>SUM(#REF!,#REF!)</f>
        <v>#REF!</v>
      </c>
    </row>
    <row r="75">
      <c r="A75" t="str">
        <v>JOSE RENE DE ALBA MORALES</v>
      </c>
      <c r="B75" t="e">
        <f>SUM(#REF!,#REF!)</f>
        <v>#REF!</v>
      </c>
      <c r="C75">
        <v>1</v>
      </c>
      <c r="D75">
        <v>1791.58</v>
      </c>
      <c r="G75" t="e">
        <f>SUM(#REF!,#REF!)</f>
        <v>#REF!</v>
      </c>
    </row>
    <row r="76">
      <c r="A76" t="str">
        <v>ANGELICA YADIRA ROMERO JAUREGUI</v>
      </c>
      <c r="B76" t="e">
        <f>SUM(#REF!,#REF!)</f>
        <v>#REF!</v>
      </c>
      <c r="C76">
        <v>1</v>
      </c>
      <c r="D76">
        <v>1781.93</v>
      </c>
      <c r="G76" t="e">
        <f>SUM(#REF!,#REF!)</f>
        <v>#REF!</v>
      </c>
    </row>
    <row r="77">
      <c r="A77" t="str">
        <v>RAFAEL ALBERTO SUAREZ BAQUEDANO</v>
      </c>
      <c r="B77" t="e">
        <f>SUM(#REF!,#REF!)</f>
        <v>#REF!</v>
      </c>
      <c r="C77">
        <v>0</v>
      </c>
      <c r="D77">
        <v>0</v>
      </c>
      <c r="G77" t="e">
        <f>SUM(#REF!,#REF!)</f>
        <v>#REF!</v>
      </c>
    </row>
    <row r="78">
      <c r="A78" t="str">
        <v>VALERIA AIDE IBAÐEZ MURGUIA</v>
      </c>
      <c r="B78" t="e">
        <f>SUM(#REF!,#REF!)</f>
        <v>#REF!</v>
      </c>
      <c r="C78">
        <v>0</v>
      </c>
      <c r="D78">
        <v>0</v>
      </c>
      <c r="G78" t="e">
        <f>SUM(#REF!,#REF!)</f>
        <v>#REF!</v>
      </c>
    </row>
    <row r="79">
      <c r="A79" t="str">
        <v>GABRIELA CASTAÐEDA SALAZAR</v>
      </c>
      <c r="B79" t="e">
        <f>SUM(#REF!,#REF!)</f>
        <v>#REF!</v>
      </c>
      <c r="C79">
        <v>0</v>
      </c>
      <c r="D79">
        <v>0</v>
      </c>
      <c r="G79" t="e">
        <f>SUM(#REF!,#REF!)</f>
        <v>#REF!</v>
      </c>
    </row>
    <row r="80">
      <c r="A80" t="str">
        <v>JOSE ALBERTO CORONADO ROSAS</v>
      </c>
      <c r="B80" t="e">
        <f>SUM(#REF!,#REF!)</f>
        <v>#REF!</v>
      </c>
      <c r="C80">
        <v>0</v>
      </c>
      <c r="D80">
        <v>0</v>
      </c>
      <c r="G80" t="e">
        <f>SUM(#REF!,#REF!)</f>
        <v>#REF!</v>
      </c>
    </row>
    <row r="81">
      <c r="A81" t="str">
        <v>MARIO ALFONSO SARMIENTO OROZCO</v>
      </c>
      <c r="B81" t="e">
        <f>SUM(#REF!,#REF!)</f>
        <v>#REF!</v>
      </c>
      <c r="C81">
        <v>0</v>
      </c>
      <c r="D81">
        <v>0</v>
      </c>
      <c r="G81" t="e">
        <f>SUM(#REF!,#REF!)</f>
        <v>#REF!</v>
      </c>
    </row>
    <row r="82">
      <c r="A82" t="str">
        <v>JOCELYN URIBE VARGAS</v>
      </c>
      <c r="B82" t="e">
        <f>SUM(#REF!,#REF!)</f>
        <v>#REF!</v>
      </c>
      <c r="C82">
        <v>0</v>
      </c>
      <c r="D82">
        <v>0</v>
      </c>
      <c r="G82" t="e">
        <f>SUM(#REF!,#REF!)</f>
        <v>#REF!</v>
      </c>
    </row>
    <row r="83">
      <c r="A83" t="str">
        <v>ENRIQUE ADRIAN GUTIERREZ JIMENEZ</v>
      </c>
      <c r="B83" t="e">
        <f>SUM(#REF!,#REF!)</f>
        <v>#REF!</v>
      </c>
      <c r="C83">
        <v>1</v>
      </c>
      <c r="D83">
        <v>3790.99</v>
      </c>
      <c r="G83" t="e">
        <f>SUM(#REF!,#REF!)</f>
        <v>#REF!</v>
      </c>
    </row>
    <row r="84">
      <c r="A84" t="str">
        <v>FERNANDO JAVIER DAVALOS FLORES</v>
      </c>
      <c r="B84" t="e">
        <f>SUM(#REF!,#REF!)</f>
        <v>#REF!</v>
      </c>
      <c r="C84">
        <v>0</v>
      </c>
      <c r="D84">
        <v>0</v>
      </c>
      <c r="G84" t="e">
        <f>SUM(#REF!,#REF!)</f>
        <v>#REF!</v>
      </c>
    </row>
    <row r="85">
      <c r="A85" t="str">
        <v>ANDREA CELESTE IBAÐEZ RINCON</v>
      </c>
      <c r="B85" t="e">
        <f>SUM(#REF!,#REF!)</f>
        <v>#REF!</v>
      </c>
      <c r="C85">
        <v>0</v>
      </c>
      <c r="D85">
        <v>0</v>
      </c>
      <c r="G85" t="e">
        <f>SUM(#REF!,#REF!)</f>
        <v>#REF!</v>
      </c>
    </row>
    <row r="86">
      <c r="A86" t="str">
        <v>LUIS FERNANDO HERNANDEZ AYALA</v>
      </c>
      <c r="B86" t="e">
        <f>SUM(#REF!,#REF!)</f>
        <v>#REF!</v>
      </c>
      <c r="C86">
        <v>0</v>
      </c>
      <c r="D86">
        <v>0</v>
      </c>
      <c r="G86" t="e">
        <f>SUM(#REF!,#REF!)</f>
        <v>#REF!</v>
      </c>
    </row>
    <row r="87">
      <c r="A87" t="str">
        <v>MARIO ALBERTO VILLASEÐOR SANCHEZ</v>
      </c>
      <c r="B87" t="e">
        <f>SUM(#REF!,#REF!)</f>
        <v>#REF!</v>
      </c>
      <c r="C87">
        <v>0</v>
      </c>
      <c r="D87">
        <v>0</v>
      </c>
      <c r="G87" t="e">
        <f>SUM(#REF!,#REF!)</f>
        <v>#REF!</v>
      </c>
    </row>
    <row r="88">
      <c r="A88" t="str">
        <v>JOSE EDUARDO EZQUERRO BARQUERA</v>
      </c>
      <c r="B88" t="e">
        <f>SUM(#REF!,#REF!)</f>
        <v>#REF!</v>
      </c>
      <c r="C88">
        <v>0</v>
      </c>
      <c r="D88">
        <v>0</v>
      </c>
      <c r="G88" t="e">
        <f>SUM(#REF!,#REF!)</f>
        <v>#REF!</v>
      </c>
    </row>
    <row r="89">
      <c r="A89" t="str">
        <v>PAULINA RODRIGUEZ DE LA MORA</v>
      </c>
      <c r="B89" t="e">
        <f>SUM(#REF!,#REF!)</f>
        <v>#REF!</v>
      </c>
      <c r="C89">
        <v>0</v>
      </c>
      <c r="D89">
        <v>0</v>
      </c>
      <c r="G89" t="e">
        <f>SUM(#REF!,#REF!)</f>
        <v>#REF!</v>
      </c>
    </row>
    <row r="90">
      <c r="A90" t="str">
        <v>Total</v>
      </c>
      <c r="B90" t="e">
        <f>SUM(#REF!)</f>
        <v>#REF!</v>
      </c>
      <c r="C90" t="e">
        <f>SUM(#REF!)</f>
        <v>#REF!</v>
      </c>
      <c r="D90" t="e">
        <f>SUM(#REF!)</f>
        <v>#REF!</v>
      </c>
      <c r="E90" t="e">
        <f>SUM(#REF!)</f>
        <v>#REF!</v>
      </c>
      <c r="F90" t="e">
        <f>SUM(#REF!)</f>
        <v>#REF!</v>
      </c>
      <c r="G90" t="e">
        <f>SUM(#REF!)</f>
        <v>#REF!</v>
      </c>
    </row>
    <row r="94">
      <c r="A94" t="str">
        <v>Ventas mensuales MARZO</v>
      </c>
    </row>
    <row r="95">
      <c r="A95" t="str">
        <v>Asesor</v>
      </c>
      <c r="B95" t="str">
        <v xml:space="preserve">Pólizas </v>
      </c>
      <c r="C95" t="str">
        <v>Vida</v>
      </c>
      <c r="D95" t="str">
        <v>Prima vida</v>
      </c>
      <c r="E95" t="str">
        <v>Gmm</v>
      </c>
      <c r="F95" t="str">
        <v>Prima gmm</v>
      </c>
      <c r="G95" t="str">
        <v>Prima total</v>
      </c>
      <c r="I95" t="str">
        <v>CAMPEONES:</v>
      </c>
    </row>
    <row r="96">
      <c r="A96" t="str">
        <v>RAFAEL ALBERTO SUAREZ BAQUEDANO</v>
      </c>
      <c r="B96" t="e">
        <f>SUM(#REF!,#REF!)</f>
        <v>#REF!</v>
      </c>
      <c r="C96">
        <v>2</v>
      </c>
      <c r="D96">
        <v>112075.93</v>
      </c>
      <c r="E96">
        <v>0.5</v>
      </c>
      <c r="F96">
        <v>30760.95</v>
      </c>
      <c r="G96" t="e">
        <f>SUM(#REF!,#REF!)</f>
        <v>#REF!</v>
      </c>
      <c r="I96" t="str">
        <v>12 MESES PRIMA</v>
      </c>
      <c r="K96" t="str">
        <v>GUILLERMO</v>
      </c>
    </row>
    <row r="97">
      <c r="A97" t="str">
        <v>DESIREE DE LA PEÐA OROZCO</v>
      </c>
      <c r="B97" t="e">
        <f>SUM(#REF!,#REF!)</f>
        <v>#REF!</v>
      </c>
      <c r="C97">
        <v>2</v>
      </c>
      <c r="D97">
        <v>129625.1</v>
      </c>
      <c r="E97">
        <v>0</v>
      </c>
      <c r="F97">
        <v>0</v>
      </c>
      <c r="G97" t="e">
        <f>SUM(#REF!,#REF!)</f>
        <v>#REF!</v>
      </c>
      <c r="I97" t="str">
        <v>12 MESES POLIZAS</v>
      </c>
      <c r="K97" t="str">
        <v>JIME Y VALE</v>
      </c>
    </row>
    <row r="98">
      <c r="A98" t="str">
        <v>GABRIELA CASTAÐEDA SALAZAR</v>
      </c>
      <c r="B98" t="e">
        <f>SUM(#REF!,#REF!)</f>
        <v>#REF!</v>
      </c>
      <c r="C98">
        <v>2</v>
      </c>
      <c r="D98">
        <v>49298.46</v>
      </c>
      <c r="E98">
        <v>1</v>
      </c>
      <c r="F98">
        <v>68368.18</v>
      </c>
      <c r="G98" t="e">
        <f>SUM(#REF!,#REF!)</f>
        <v>#REF!</v>
      </c>
      <c r="I98" t="str">
        <v>NVA ORG PRIMA</v>
      </c>
      <c r="K98" t="str">
        <v>RAFA</v>
      </c>
    </row>
    <row r="99">
      <c r="A99" t="str">
        <v>LUIS GUILLERMO OLGUIN FERNANDEZ</v>
      </c>
      <c r="B99" t="e">
        <f>SUM(#REF!,#REF!)</f>
        <v>#REF!</v>
      </c>
      <c r="C99">
        <v>2</v>
      </c>
      <c r="D99">
        <v>87113.03</v>
      </c>
      <c r="E99">
        <v>0.5</v>
      </c>
      <c r="F99">
        <v>25510.58</v>
      </c>
      <c r="G99" t="e">
        <f>SUM(#REF!,#REF!)</f>
        <v>#REF!</v>
      </c>
      <c r="I99" t="str">
        <v>NVA ORG POLIZAS</v>
      </c>
      <c r="K99" t="str">
        <v>PAU SOTO</v>
      </c>
    </row>
    <row r="100">
      <c r="A100" t="str">
        <v>MONI Y CARLOS</v>
      </c>
      <c r="B100" t="e">
        <f>SUM(#REF!,#REF!)</f>
        <v>#REF!</v>
      </c>
      <c r="C100">
        <v>0</v>
      </c>
      <c r="D100">
        <v>0</v>
      </c>
      <c r="E100">
        <v>3</v>
      </c>
      <c r="F100">
        <v>112391.1</v>
      </c>
      <c r="G100" t="e">
        <f>SUM(#REF!,#REF!)</f>
        <v>#REF!</v>
      </c>
      <c r="I100" t="str">
        <v>CONSOLIDADO PRIMA</v>
      </c>
      <c r="K100" t="str">
        <v>DESI</v>
      </c>
    </row>
    <row r="101">
      <c r="A101" t="str">
        <v>MIRIAM ROCIO LOMELI CHAVEZ</v>
      </c>
      <c r="B101" t="e">
        <f>SUM(#REF!,#REF!)</f>
        <v>#REF!</v>
      </c>
      <c r="C101">
        <v>2</v>
      </c>
      <c r="D101">
        <v>97101.37</v>
      </c>
      <c r="E101">
        <v>0</v>
      </c>
      <c r="F101">
        <v>0</v>
      </c>
      <c r="G101" t="e">
        <f>SUM(#REF!,#REF!)</f>
        <v>#REF!</v>
      </c>
      <c r="I101" t="str">
        <v>CONSOLIDADO POLIZAS</v>
      </c>
      <c r="K101" t="str">
        <v>MONI Y CARLOS</v>
      </c>
    </row>
    <row r="102">
      <c r="A102" t="str">
        <v>ROGELIO TORRES ORTIZ</v>
      </c>
      <c r="B102" t="e">
        <f>SUM(#REF!,#REF!)</f>
        <v>#REF!</v>
      </c>
      <c r="C102">
        <v>3</v>
      </c>
      <c r="D102">
        <v>57451.36</v>
      </c>
      <c r="E102">
        <v>1</v>
      </c>
      <c r="F102">
        <v>29145.63</v>
      </c>
      <c r="G102" t="e">
        <f>SUM(#REF!,#REF!)</f>
        <v>#REF!</v>
      </c>
      <c r="I102" t="str">
        <v>GMM PRIMA</v>
      </c>
      <c r="K102" t="str">
        <v>MONI Y CARLOS</v>
      </c>
    </row>
    <row r="103">
      <c r="A103" t="str">
        <v>JORGE Y LULY</v>
      </c>
      <c r="B103" t="e">
        <f>SUM(#REF!,#REF!)</f>
        <v>#REF!</v>
      </c>
      <c r="C103">
        <v>1</v>
      </c>
      <c r="D103">
        <v>81000</v>
      </c>
      <c r="E103">
        <v>0</v>
      </c>
      <c r="F103">
        <v>0</v>
      </c>
      <c r="G103" t="e">
        <f>SUM(#REF!,#REF!)</f>
        <v>#REF!</v>
      </c>
      <c r="I103" t="str">
        <v>GMM POLIZAS</v>
      </c>
      <c r="K103" t="str">
        <v>MONI Y CARLOS</v>
      </c>
    </row>
    <row r="104">
      <c r="A104" t="str">
        <v>JORGE ANTONIO LUNA LARA</v>
      </c>
      <c r="B104" t="e">
        <f>SUM(#REF!,#REF!)</f>
        <v>#REF!</v>
      </c>
      <c r="C104">
        <v>1</v>
      </c>
      <c r="D104">
        <v>62461.19</v>
      </c>
      <c r="E104">
        <v>0.5</v>
      </c>
      <c r="F104">
        <v>2018.27</v>
      </c>
      <c r="G104" t="e">
        <f>SUM(#REF!,#REF!)</f>
        <v>#REF!</v>
      </c>
    </row>
    <row r="105">
      <c r="A105" t="str">
        <v>JULIANA RIASCOS VALENCIA</v>
      </c>
      <c r="B105" t="e">
        <f>SUM(#REF!,#REF!)</f>
        <v>#REF!</v>
      </c>
      <c r="C105">
        <v>0</v>
      </c>
      <c r="D105">
        <v>0</v>
      </c>
      <c r="E105">
        <v>1</v>
      </c>
      <c r="F105">
        <v>46805.65</v>
      </c>
      <c r="G105" t="e">
        <f>SUM(#REF!,#REF!)</f>
        <v>#REF!</v>
      </c>
    </row>
    <row r="106">
      <c r="A106" t="str">
        <v>MARIA ELIZABETH LLAMAS LOPEZ</v>
      </c>
      <c r="B106" t="e">
        <f>SUM(#REF!,#REF!)</f>
        <v>#REF!</v>
      </c>
      <c r="C106">
        <v>1</v>
      </c>
      <c r="D106">
        <v>2876.34</v>
      </c>
      <c r="E106">
        <v>1</v>
      </c>
      <c r="F106">
        <v>36884.6</v>
      </c>
      <c r="G106" t="e">
        <f>SUM(#REF!,#REF!)</f>
        <v>#REF!</v>
      </c>
    </row>
    <row r="107">
      <c r="A107" t="str">
        <v>PAULINA LIZBETH SOTO MUÐIZ</v>
      </c>
      <c r="B107" t="e">
        <f>SUM(#REF!,#REF!)</f>
        <v>#REF!</v>
      </c>
      <c r="C107">
        <v>4</v>
      </c>
      <c r="D107">
        <v>20676.53</v>
      </c>
      <c r="E107">
        <v>0.5</v>
      </c>
      <c r="F107">
        <v>9339.03</v>
      </c>
      <c r="G107" t="e">
        <f>SUM(#REF!,#REF!)</f>
        <v>#REF!</v>
      </c>
    </row>
    <row r="108">
      <c r="A108" t="str">
        <v>DARINKA UREÐA CASILLAS</v>
      </c>
      <c r="B108" t="e">
        <f>SUM(#REF!,#REF!)</f>
        <v>#REF!</v>
      </c>
      <c r="C108">
        <v>0</v>
      </c>
      <c r="D108">
        <v>0</v>
      </c>
      <c r="E108">
        <v>0.5</v>
      </c>
      <c r="F108">
        <v>25983.41</v>
      </c>
      <c r="G108" t="e">
        <f>SUM(#REF!,#REF!)</f>
        <v>#REF!</v>
      </c>
    </row>
    <row r="109">
      <c r="A109" t="str">
        <v>ORLANDA JIMENA CERVANTES NUÐEZ</v>
      </c>
      <c r="B109" t="e">
        <f>SUM(#REF!,#REF!)</f>
        <v>#REF!</v>
      </c>
      <c r="C109">
        <v>5</v>
      </c>
      <c r="D109">
        <v>21011.45</v>
      </c>
      <c r="E109">
        <v>0.5</v>
      </c>
      <c r="F109">
        <v>3397.66</v>
      </c>
      <c r="G109" t="e">
        <f>SUM(#REF!,#REF!)</f>
        <v>#REF!</v>
      </c>
    </row>
    <row r="110">
      <c r="A110" t="str">
        <v>MIREYA LIZETTE TORRES GARCIA</v>
      </c>
      <c r="B110" t="e">
        <f>SUM(#REF!,#REF!)</f>
        <v>#REF!</v>
      </c>
      <c r="C110">
        <v>1</v>
      </c>
      <c r="D110">
        <v>1155.99</v>
      </c>
      <c r="E110">
        <v>1</v>
      </c>
      <c r="F110">
        <v>22549.36</v>
      </c>
      <c r="G110" t="e">
        <f>SUM(#REF!,#REF!)</f>
        <v>#REF!</v>
      </c>
    </row>
    <row r="111">
      <c r="A111" t="str">
        <v>LILIANA IVETTE CASTILLO SANCHEZ</v>
      </c>
      <c r="B111" t="e">
        <f>SUM(#REF!,#REF!)</f>
        <v>#REF!</v>
      </c>
      <c r="C111">
        <v>1</v>
      </c>
      <c r="D111">
        <v>1921.55</v>
      </c>
      <c r="E111">
        <v>1</v>
      </c>
      <c r="F111">
        <v>15186.55</v>
      </c>
      <c r="G111" t="e">
        <f>SUM(#REF!,#REF!)</f>
        <v>#REF!</v>
      </c>
    </row>
    <row r="112">
      <c r="A112" t="str">
        <v>SAMUEL Y JANET</v>
      </c>
      <c r="B112" t="e">
        <f>SUM(#REF!,#REF!)</f>
        <v>#REF!</v>
      </c>
      <c r="C112">
        <v>1</v>
      </c>
      <c r="D112">
        <v>9519.9</v>
      </c>
      <c r="E112">
        <v>0.5</v>
      </c>
      <c r="F112">
        <v>5502.61</v>
      </c>
      <c r="G112" t="e">
        <f>SUM(#REF!,#REF!)</f>
        <v>#REF!</v>
      </c>
    </row>
    <row r="113">
      <c r="A113" t="str">
        <v>BRUNO BRAULIO MACIAS ALVAREZ</v>
      </c>
      <c r="B113" t="e">
        <f>SUM(#REF!,#REF!)</f>
        <v>#REF!</v>
      </c>
      <c r="C113">
        <v>1</v>
      </c>
      <c r="D113">
        <v>13824.1</v>
      </c>
      <c r="E113">
        <v>0</v>
      </c>
      <c r="F113">
        <v>0</v>
      </c>
      <c r="G113" t="e">
        <f>SUM(#REF!,#REF!)</f>
        <v>#REF!</v>
      </c>
    </row>
    <row r="114">
      <c r="A114" t="str">
        <v>ANAIS LUA MORENO</v>
      </c>
      <c r="B114" t="e">
        <f>SUM(#REF!,#REF!)</f>
        <v>#REF!</v>
      </c>
      <c r="C114">
        <v>3</v>
      </c>
      <c r="D114">
        <v>10620.23</v>
      </c>
      <c r="E114">
        <v>0</v>
      </c>
      <c r="F114">
        <v>0</v>
      </c>
      <c r="G114" t="e">
        <f>SUM(#REF!,#REF!)</f>
        <v>#REF!</v>
      </c>
    </row>
    <row r="115">
      <c r="A115" t="str">
        <v>CLAUDIA VALERIA HERNANDEZ MACIAS</v>
      </c>
      <c r="B115" t="e">
        <f>SUM(#REF!,#REF!)</f>
        <v>#REF!</v>
      </c>
      <c r="C115">
        <v>3</v>
      </c>
      <c r="D115">
        <v>6013.1</v>
      </c>
      <c r="E115">
        <v>0</v>
      </c>
      <c r="F115">
        <v>0</v>
      </c>
      <c r="G115" t="e">
        <f>SUM(#REF!,#REF!)</f>
        <v>#REF!</v>
      </c>
    </row>
    <row r="116">
      <c r="A116" t="str">
        <v>ROCIO IVON RUIZ GARCIA</v>
      </c>
      <c r="B116" t="e">
        <f>SUM(#REF!,#REF!)</f>
        <v>#REF!</v>
      </c>
      <c r="C116">
        <v>3</v>
      </c>
      <c r="D116">
        <v>5408.76</v>
      </c>
      <c r="E116">
        <v>0</v>
      </c>
      <c r="F116">
        <v>0</v>
      </c>
      <c r="G116" t="e">
        <f>SUM(#REF!,#REF!)</f>
        <v>#REF!</v>
      </c>
    </row>
    <row r="117">
      <c r="A117" t="str">
        <v>ANGELICA YADIRA ROMERO JAUREGUI</v>
      </c>
      <c r="B117" t="e">
        <f>SUM(#REF!,#REF!)</f>
        <v>#REF!</v>
      </c>
      <c r="C117">
        <v>2</v>
      </c>
      <c r="D117">
        <v>3389.41</v>
      </c>
      <c r="E117">
        <v>0</v>
      </c>
      <c r="F117">
        <v>0</v>
      </c>
      <c r="G117" t="e">
        <f>SUM(#REF!,#REF!)</f>
        <v>#REF!</v>
      </c>
    </row>
    <row r="118">
      <c r="A118" t="str">
        <v>LAURA DOLORES MONTAÐO MONTAÐO</v>
      </c>
      <c r="B118" t="e">
        <f>SUM(#REF!,#REF!)</f>
        <v>#REF!</v>
      </c>
      <c r="C118">
        <v>1</v>
      </c>
      <c r="D118">
        <v>2451.62</v>
      </c>
      <c r="E118">
        <v>0</v>
      </c>
      <c r="F118">
        <v>0</v>
      </c>
      <c r="G118" t="e">
        <f>SUM(#REF!,#REF!)</f>
        <v>#REF!</v>
      </c>
    </row>
    <row r="119">
      <c r="A119" t="str">
        <v>ENRIQUE ADRIAN GUTIERREZ JIMENEZ</v>
      </c>
      <c r="B119" t="e">
        <f>SUM(#REF!,#REF!)</f>
        <v>#REF!</v>
      </c>
      <c r="C119">
        <v>1</v>
      </c>
      <c r="D119">
        <v>2283.94</v>
      </c>
      <c r="E119">
        <v>0</v>
      </c>
      <c r="F119">
        <v>0</v>
      </c>
      <c r="G119" t="e">
        <f>SUM(#REF!,#REF!)</f>
        <v>#REF!</v>
      </c>
    </row>
    <row r="120">
      <c r="A120" t="str">
        <v>ROCIO YANETH OCHOA IBARRA</v>
      </c>
      <c r="B120" t="e">
        <f>SUM(#REF!,#REF!)</f>
        <v>#REF!</v>
      </c>
      <c r="C120">
        <v>1</v>
      </c>
      <c r="D120">
        <v>1689.02</v>
      </c>
      <c r="E120">
        <v>0</v>
      </c>
      <c r="F120">
        <v>0</v>
      </c>
      <c r="G120" t="e">
        <f>SUM(#REF!,#REF!)</f>
        <v>#REF!</v>
      </c>
    </row>
    <row r="121">
      <c r="A121" t="str">
        <v>PAULINA RODRIGUEZ DE LA MORA</v>
      </c>
      <c r="B121" t="e">
        <f>SUM(#REF!,#REF!)</f>
        <v>#REF!</v>
      </c>
      <c r="C121">
        <v>1</v>
      </c>
      <c r="D121">
        <v>1677.31</v>
      </c>
      <c r="E121">
        <v>0</v>
      </c>
      <c r="F121">
        <v>0</v>
      </c>
      <c r="G121" t="e">
        <f>SUM(#REF!,#REF!)</f>
        <v>#REF!</v>
      </c>
    </row>
    <row r="122">
      <c r="A122" t="str">
        <v>ANDREA CELESTE IBAÐEZ RINCON</v>
      </c>
      <c r="B122" t="e">
        <f>SUM(#REF!,#REF!)</f>
        <v>#REF!</v>
      </c>
      <c r="C122">
        <v>0</v>
      </c>
      <c r="D122">
        <v>0</v>
      </c>
      <c r="E122">
        <v>0.5</v>
      </c>
      <c r="F122">
        <v>1659.91</v>
      </c>
      <c r="G122" t="e">
        <f>SUM(#REF!,#REF!)</f>
        <v>#REF!</v>
      </c>
    </row>
    <row r="123">
      <c r="A123" t="str">
        <v>JOSE RENE DE ALBA MORALES</v>
      </c>
      <c r="B123" t="e">
        <f>SUM(#REF!,#REF!)</f>
        <v>#REF!</v>
      </c>
      <c r="C123">
        <v>0</v>
      </c>
      <c r="D123">
        <v>0</v>
      </c>
      <c r="F123">
        <v>0</v>
      </c>
      <c r="G123" t="e">
        <f>SUM(#REF!,#REF!)</f>
        <v>#REF!</v>
      </c>
    </row>
    <row r="124">
      <c r="A124" t="str">
        <v>MARICELA ARREOLA LOPEZ</v>
      </c>
      <c r="B124" t="e">
        <f>SUM(#REF!,#REF!)</f>
        <v>#REF!</v>
      </c>
      <c r="C124">
        <v>0</v>
      </c>
      <c r="D124">
        <v>0</v>
      </c>
      <c r="F124">
        <v>0</v>
      </c>
      <c r="G124" t="e">
        <f>SUM(#REF!,#REF!)</f>
        <v>#REF!</v>
      </c>
    </row>
    <row r="125">
      <c r="A125" t="str">
        <v>VALERIA AIDE IBAÐEZ MURGUIA</v>
      </c>
      <c r="B125" t="e">
        <f>SUM(#REF!,#REF!)</f>
        <v>#REF!</v>
      </c>
      <c r="C125">
        <v>0</v>
      </c>
      <c r="D125">
        <v>0</v>
      </c>
      <c r="F125">
        <v>0</v>
      </c>
      <c r="G125" t="e">
        <f>SUM(#REF!,#REF!)</f>
        <v>#REF!</v>
      </c>
    </row>
    <row r="126">
      <c r="A126" t="str">
        <v>ISAI ANTONIO ROJAS MARTINEZ</v>
      </c>
      <c r="B126" t="e">
        <f>SUM(#REF!,#REF!)</f>
        <v>#REF!</v>
      </c>
      <c r="C126">
        <v>0</v>
      </c>
      <c r="D126">
        <v>0</v>
      </c>
      <c r="F126">
        <v>0</v>
      </c>
      <c r="G126" t="e">
        <f>SUM(#REF!,#REF!)</f>
        <v>#REF!</v>
      </c>
    </row>
    <row r="127">
      <c r="A127" t="str">
        <v>EVELYN CAROLINA VENEGAS IÐIGUEZ</v>
      </c>
      <c r="B127" t="e">
        <f>SUM(#REF!,#REF!)</f>
        <v>#REF!</v>
      </c>
      <c r="C127">
        <v>0</v>
      </c>
      <c r="D127">
        <v>0</v>
      </c>
      <c r="F127">
        <v>0</v>
      </c>
      <c r="G127" t="e">
        <f>SUM(#REF!,#REF!)</f>
        <v>#REF!</v>
      </c>
    </row>
    <row r="128">
      <c r="A128" t="str">
        <v>MARIA TERESA ASENCIO LOZANO</v>
      </c>
      <c r="B128" t="e">
        <f>SUM(#REF!,#REF!)</f>
        <v>#REF!</v>
      </c>
      <c r="C128">
        <v>0</v>
      </c>
      <c r="D128">
        <v>0</v>
      </c>
      <c r="F128">
        <v>0</v>
      </c>
      <c r="G128" t="e">
        <f>SUM(#REF!,#REF!)</f>
        <v>#REF!</v>
      </c>
    </row>
    <row r="129">
      <c r="A129" t="str">
        <v>LUIS FERNANDO HERNANDEZ AYALA</v>
      </c>
      <c r="B129" t="e">
        <f>SUM(#REF!,#REF!)</f>
        <v>#REF!</v>
      </c>
      <c r="C129">
        <v>0</v>
      </c>
      <c r="D129">
        <v>0</v>
      </c>
      <c r="F129">
        <v>0</v>
      </c>
      <c r="G129" t="e">
        <f>SUM(#REF!,#REF!)</f>
        <v>#REF!</v>
      </c>
    </row>
    <row r="130">
      <c r="A130" t="str">
        <v>Total</v>
      </c>
      <c r="B130" t="e">
        <f>SUM(#REF!)</f>
        <v>#REF!</v>
      </c>
      <c r="C130" t="e">
        <f>SUM(#REF!)</f>
        <v>#REF!</v>
      </c>
      <c r="D130" t="e">
        <f>SUM(#REF!)</f>
        <v>#REF!</v>
      </c>
      <c r="E130" t="e">
        <f>SUM(#REF!)</f>
        <v>#REF!</v>
      </c>
      <c r="F130" t="e">
        <f>SUM(#REF!)</f>
        <v>#REF!</v>
      </c>
      <c r="G130" t="e">
        <f>SUM(#REF!)</f>
        <v>#REF!</v>
      </c>
    </row>
    <row r="134">
      <c r="A134" t="str">
        <v>Ventas mensuales ABRIL</v>
      </c>
    </row>
    <row r="135">
      <c r="A135" t="str">
        <v>Asesor</v>
      </c>
      <c r="B135" t="str">
        <v xml:space="preserve">Pólizas </v>
      </c>
      <c r="C135" t="str">
        <v>Vida</v>
      </c>
      <c r="D135" t="str">
        <v>Prima vida</v>
      </c>
      <c r="E135" t="str">
        <v>Gmm</v>
      </c>
      <c r="F135" t="str">
        <v>Prima gmm</v>
      </c>
      <c r="G135" t="str">
        <v>Prima total</v>
      </c>
    </row>
    <row r="136">
      <c r="A136" t="str">
        <v>ENRIQUE ADRIAN GUTIERREZ JIMENEZ</v>
      </c>
      <c r="B136" t="e">
        <f>SUM(#REF!,#REF!)</f>
        <v>#REF!</v>
      </c>
      <c r="C136">
        <v>1</v>
      </c>
      <c r="D136">
        <v>1450621.86</v>
      </c>
      <c r="E136">
        <v>0.5</v>
      </c>
      <c r="F136">
        <v>2217.82</v>
      </c>
      <c r="G136" t="e">
        <f>SUM(#REF!,#REF!)</f>
        <v>#REF!</v>
      </c>
      <c r="I136" t="str">
        <v>CAMPEONES:</v>
      </c>
    </row>
    <row r="137">
      <c r="A137" t="str">
        <v>DESIREE DE LA PEÐA OROZCO</v>
      </c>
      <c r="B137" t="e">
        <f>SUM(#REF!,#REF!)</f>
        <v>#REF!</v>
      </c>
      <c r="C137">
        <v>4</v>
      </c>
      <c r="D137">
        <v>306568.24</v>
      </c>
      <c r="E137">
        <v>1</v>
      </c>
      <c r="F137">
        <v>45703.03</v>
      </c>
      <c r="G137" t="e">
        <f>SUM(#REF!,#REF!)</f>
        <v>#REF!</v>
      </c>
      <c r="I137" t="str">
        <v>12 MESES PRIMAS</v>
      </c>
      <c r="K137" t="str">
        <v>ELI</v>
      </c>
    </row>
    <row r="138">
      <c r="A138" t="str">
        <v>MONICA ANDREA AMBRIZ GOMEZ</v>
      </c>
      <c r="B138" t="e">
        <f>SUM(#REF!,#REF!)</f>
        <v>#REF!</v>
      </c>
      <c r="C138">
        <v>2</v>
      </c>
      <c r="D138">
        <v>148379.63</v>
      </c>
      <c r="E138">
        <v>1</v>
      </c>
      <c r="F138">
        <v>60543.3</v>
      </c>
      <c r="G138" t="e">
        <f>SUM(#REF!,#REF!)</f>
        <v>#REF!</v>
      </c>
      <c r="I138" t="str">
        <v>12 MESES POLIZAS</v>
      </c>
      <c r="K138" t="str">
        <v>ELI</v>
      </c>
    </row>
    <row r="139">
      <c r="A139" t="str">
        <v>ORLANDA JIMENA CERVANTES NUÐEZ</v>
      </c>
      <c r="B139" t="e">
        <f>SUM(#REF!,#REF!)</f>
        <v>#REF!</v>
      </c>
      <c r="C139">
        <v>8</v>
      </c>
      <c r="D139">
        <v>113193.51</v>
      </c>
      <c r="G139" t="e">
        <f>SUM(#REF!,#REF!)</f>
        <v>#REF!</v>
      </c>
      <c r="I139" t="str">
        <v>NVA ORG PRIMA</v>
      </c>
      <c r="K139" t="str">
        <v>ADRIAN</v>
      </c>
    </row>
    <row r="140">
      <c r="A140" t="str">
        <v>DARINKA UREÐA CASILLAS</v>
      </c>
      <c r="B140" t="e">
        <f>SUM(#REF!,#REF!)</f>
        <v>#REF!</v>
      </c>
      <c r="C140">
        <v>2</v>
      </c>
      <c r="D140">
        <v>100844.51</v>
      </c>
      <c r="G140" t="e">
        <f>SUM(#REF!,#REF!)</f>
        <v>#REF!</v>
      </c>
      <c r="I140" t="str">
        <v>NVA ORG POLIZAS</v>
      </c>
      <c r="K140" t="str">
        <v>JIME Y VALE</v>
      </c>
    </row>
    <row r="141">
      <c r="A141" t="str">
        <v>MARIA ELIZABETH LLAMAS LOPEZ</v>
      </c>
      <c r="B141" t="e">
        <f>SUM(#REF!,#REF!)</f>
        <v>#REF!</v>
      </c>
      <c r="C141">
        <v>4</v>
      </c>
      <c r="D141">
        <v>73782.76</v>
      </c>
      <c r="E141">
        <v>1</v>
      </c>
      <c r="F141">
        <v>20161.61</v>
      </c>
      <c r="G141" t="e">
        <f>SUM(#REF!,#REF!)</f>
        <v>#REF!</v>
      </c>
      <c r="I141" t="str">
        <v>CONSOLIDADO PRIMA</v>
      </c>
      <c r="K141" t="str">
        <v>DESI</v>
      </c>
    </row>
    <row r="142">
      <c r="A142" t="str">
        <v>ANAIS LUA MORENO</v>
      </c>
      <c r="B142" t="e">
        <f>SUM(#REF!,#REF!)</f>
        <v>#REF!</v>
      </c>
      <c r="C142">
        <v>2</v>
      </c>
      <c r="D142">
        <v>34840</v>
      </c>
      <c r="E142">
        <v>1</v>
      </c>
      <c r="F142">
        <v>30077.97</v>
      </c>
      <c r="G142" t="e">
        <f>SUM(#REF!,#REF!)</f>
        <v>#REF!</v>
      </c>
      <c r="I142" t="str">
        <v>CONSOLIDADO POLIZAS</v>
      </c>
      <c r="K142" t="str">
        <v>DESI</v>
      </c>
    </row>
    <row r="143">
      <c r="A143" t="str">
        <v>BRUNO BRAULIO MACIAS ALVAREZ</v>
      </c>
      <c r="B143" t="e">
        <f>SUM(#REF!,#REF!)</f>
        <v>#REF!</v>
      </c>
      <c r="C143">
        <v>2</v>
      </c>
      <c r="D143">
        <v>50997.99</v>
      </c>
      <c r="G143" t="e">
        <f>SUM(#REF!,#REF!)</f>
        <v>#REF!</v>
      </c>
      <c r="I143" t="str">
        <v>GMM PRIMA</v>
      </c>
      <c r="K143" t="str">
        <v>MONI Y CARLOS</v>
      </c>
    </row>
    <row r="144">
      <c r="A144" t="str">
        <v>JORGE ALBERTO PRECIADO GONZALEZ</v>
      </c>
      <c r="B144" t="e">
        <f>SUM(#REF!,#REF!)</f>
        <v>#REF!</v>
      </c>
      <c r="C144">
        <v>1</v>
      </c>
      <c r="D144">
        <v>30693.36</v>
      </c>
      <c r="E144">
        <v>0.5</v>
      </c>
      <c r="F144">
        <v>11454.57</v>
      </c>
      <c r="G144" t="e">
        <f>SUM(#REF!,#REF!)</f>
        <v>#REF!</v>
      </c>
      <c r="I144" t="str">
        <v>GMM POLIZAS</v>
      </c>
      <c r="K144" t="str">
        <v>MONI Y CARLOS</v>
      </c>
    </row>
    <row r="145">
      <c r="A145" t="str">
        <v>ROGELIO TORRES ORTIZ</v>
      </c>
      <c r="B145" t="e">
        <f>SUM(#REF!,#REF!)</f>
        <v>#REF!</v>
      </c>
      <c r="C145">
        <v>4</v>
      </c>
      <c r="D145">
        <v>37909.18</v>
      </c>
      <c r="G145" t="e">
        <f>SUM(#REF!,#REF!)</f>
        <v>#REF!</v>
      </c>
      <c r="K145" t="str">
        <v>DESI</v>
      </c>
    </row>
    <row r="146">
      <c r="A146" t="str">
        <v>JORGE ANTONIO LUNA LARA</v>
      </c>
      <c r="B146" t="e">
        <f>SUM(#REF!,#REF!)</f>
        <v>#REF!</v>
      </c>
      <c r="C146">
        <v>0</v>
      </c>
      <c r="D146">
        <v>0</v>
      </c>
      <c r="E146">
        <v>0.5</v>
      </c>
      <c r="F146">
        <v>33685</v>
      </c>
      <c r="G146" t="e">
        <f>SUM(#REF!,#REF!)</f>
        <v>#REF!</v>
      </c>
      <c r="K146" t="str">
        <v>ELI</v>
      </c>
    </row>
    <row r="147">
      <c r="A147" t="str">
        <v>RAFAEL ALBERTO SUAREZ BAQUEDANO</v>
      </c>
      <c r="B147" t="e">
        <f>SUM(#REF!,#REF!)</f>
        <v>#REF!</v>
      </c>
      <c r="C147">
        <v>3</v>
      </c>
      <c r="D147">
        <v>8961.74</v>
      </c>
      <c r="E147">
        <v>0.5</v>
      </c>
      <c r="F147">
        <v>22989.95</v>
      </c>
      <c r="G147" t="e">
        <f>SUM(#REF!,#REF!)</f>
        <v>#REF!</v>
      </c>
      <c r="K147" t="str">
        <v>ANAIS</v>
      </c>
    </row>
    <row r="148">
      <c r="A148" t="str">
        <v>PAULINA LIZBETH SOTO MUÐIZ</v>
      </c>
      <c r="B148" t="e">
        <f>SUM(#REF!,#REF!)</f>
        <v>#REF!</v>
      </c>
      <c r="C148">
        <v>2</v>
      </c>
      <c r="D148" t="str">
        <v>14 597.95</v>
      </c>
      <c r="E148">
        <v>0.5</v>
      </c>
      <c r="F148">
        <v>31090.68</v>
      </c>
      <c r="G148" t="e">
        <f>SUM(#REF!,#REF!)</f>
        <v>#REF!</v>
      </c>
    </row>
    <row r="149">
      <c r="A149" t="str">
        <v>JULIANA RIASCOS VALENCIA</v>
      </c>
      <c r="B149" t="e">
        <f>SUM(#REF!,#REF!)</f>
        <v>#REF!</v>
      </c>
      <c r="C149">
        <v>1</v>
      </c>
      <c r="D149">
        <v>1641.38</v>
      </c>
      <c r="E149">
        <v>0.5</v>
      </c>
      <c r="F149">
        <v>22974.54</v>
      </c>
      <c r="G149" t="e">
        <f>SUM(#REF!,#REF!)</f>
        <v>#REF!</v>
      </c>
    </row>
    <row r="150">
      <c r="A150" t="str">
        <v>LAURA DOLORES MONTAÐO MONTAÐO</v>
      </c>
      <c r="B150" t="e">
        <f>SUM(#REF!,#REF!)</f>
        <v>#REF!</v>
      </c>
      <c r="C150">
        <v>3</v>
      </c>
      <c r="D150">
        <v>13968.19</v>
      </c>
      <c r="G150" t="e">
        <f>SUM(#REF!,#REF!)</f>
        <v>#REF!</v>
      </c>
      <c r="I150" t="str">
        <v>LALO</v>
      </c>
      <c r="L150" t="str">
        <v>KAREN</v>
      </c>
      <c r="N150" t="str">
        <v>FER</v>
      </c>
      <c r="P150" t="str">
        <v>ALE</v>
      </c>
    </row>
    <row r="151">
      <c r="A151" t="str">
        <v>ANA LAURA CONTRERAS IÐIGUEZ</v>
      </c>
      <c r="B151" t="e">
        <f>SUM(#REF!,#REF!)</f>
        <v>#REF!</v>
      </c>
      <c r="C151">
        <v>1</v>
      </c>
      <c r="D151">
        <v>1634.71</v>
      </c>
      <c r="E151">
        <v>0.5</v>
      </c>
      <c r="F151">
        <v>10232.88</v>
      </c>
      <c r="G151" t="e">
        <f>SUM(#REF!,#REF!)</f>
        <v>#REF!</v>
      </c>
      <c r="I151" t="str">
        <v>NO VENTAS EN ABRIL</v>
      </c>
      <c r="L151" t="str">
        <v>NO VENTAS EN ABRIL</v>
      </c>
      <c r="N151" t="str">
        <v>NO VENTAS EN ABRIL</v>
      </c>
      <c r="P151" t="str">
        <v>NO VENTAS EN ABRIL</v>
      </c>
    </row>
    <row r="152">
      <c r="A152" t="str">
        <v>MARIA TERESA ASENCIO LOZANO</v>
      </c>
      <c r="B152" t="e">
        <f>SUM(#REF!,#REF!)</f>
        <v>#REF!</v>
      </c>
      <c r="C152">
        <v>0</v>
      </c>
      <c r="D152">
        <v>0</v>
      </c>
      <c r="E152">
        <v>0.5</v>
      </c>
      <c r="F152">
        <v>7182.84</v>
      </c>
      <c r="G152" t="e">
        <f>SUM(#REF!,#REF!)</f>
        <v>#REF!</v>
      </c>
    </row>
    <row r="153">
      <c r="A153" t="str">
        <v>LILIANA IVETTE CASTILLO SANCHEZ</v>
      </c>
      <c r="B153" t="e">
        <f>SUM(#REF!,#REF!)</f>
        <v>#REF!</v>
      </c>
      <c r="C153">
        <v>2</v>
      </c>
      <c r="D153">
        <v>4015.53</v>
      </c>
      <c r="G153" t="e">
        <f>SUM(#REF!,#REF!)</f>
        <v>#REF!</v>
      </c>
      <c r="I153" t="str">
        <v>JOSE RENE DE ALBA MORALES</v>
      </c>
      <c r="L153" t="str">
        <v>CLAUDIA VALERIA HERNANDEZ MACIAS</v>
      </c>
      <c r="N153" t="str">
        <v>ROCIO YANETH OCHOA IBARRA</v>
      </c>
      <c r="P153" t="str">
        <v>GABRIELA CASTAÐEDA SALAZAR</v>
      </c>
    </row>
    <row r="154">
      <c r="A154" t="str">
        <v>ROCIO IVON RUIZ GARCIA</v>
      </c>
      <c r="B154" t="e">
        <f>SUM(#REF!,#REF!)</f>
        <v>#REF!</v>
      </c>
      <c r="C154">
        <v>2</v>
      </c>
      <c r="D154">
        <v>2804.52</v>
      </c>
      <c r="G154" t="e">
        <f>SUM(#REF!,#REF!)</f>
        <v>#REF!</v>
      </c>
      <c r="L154" t="str">
        <v>MIRIAM ROCIO LOMELI CHAVEZ</v>
      </c>
      <c r="P154" t="str">
        <v>ISAI ANTONIO ROJAS MARTINEZ</v>
      </c>
    </row>
    <row r="155">
      <c r="A155" t="str">
        <v>EVELYN CAROLINA VENEGAS IÐIGUEZ</v>
      </c>
      <c r="B155" t="e">
        <f>SUM(#REF!,#REF!)</f>
        <v>#REF!</v>
      </c>
      <c r="C155">
        <v>1</v>
      </c>
      <c r="D155">
        <v>2093.58</v>
      </c>
      <c r="G155" t="e">
        <f>SUM(#REF!,#REF!)</f>
        <v>#REF!</v>
      </c>
      <c r="P155" t="str">
        <v>JOCELYN URIBE VARGAS</v>
      </c>
    </row>
    <row r="156">
      <c r="A156" t="str">
        <v>ANDREA CELESTE IBAÐEZ RINCON</v>
      </c>
      <c r="B156" t="e">
        <f>SUM(#REF!,#REF!)</f>
        <v>#REF!</v>
      </c>
      <c r="C156">
        <v>0</v>
      </c>
      <c r="D156">
        <v>0</v>
      </c>
      <c r="G156" t="e">
        <f>SUM(#REF!,#REF!)</f>
        <v>#REF!</v>
      </c>
      <c r="P156" t="str">
        <v>LUIS GUILLERMO OLGUIN FERNANDEZ</v>
      </c>
    </row>
    <row r="157">
      <c r="A157" t="str">
        <v>CLAUDIA VALERIA HERNANDEZ MACIAS</v>
      </c>
      <c r="B157" t="e">
        <f>SUM(#REF!,#REF!)</f>
        <v>#REF!</v>
      </c>
      <c r="C157">
        <v>0</v>
      </c>
      <c r="D157">
        <v>0</v>
      </c>
      <c r="G157" t="e">
        <f>SUM(#REF!,#REF!)</f>
        <v>#REF!</v>
      </c>
      <c r="P157" t="str">
        <v>MARICELA ARREOLA LOPEZ</v>
      </c>
    </row>
    <row r="158">
      <c r="A158" t="str">
        <v>GABRIELA CASTAÐEDA SALAZAR</v>
      </c>
      <c r="B158" t="e">
        <f>SUM(#REF!,#REF!)</f>
        <v>#REF!</v>
      </c>
      <c r="C158">
        <v>0</v>
      </c>
      <c r="D158">
        <v>0</v>
      </c>
      <c r="G158" t="e">
        <f>SUM(#REF!,#REF!)</f>
        <v>#REF!</v>
      </c>
      <c r="P158" t="str">
        <v>MIREYA LIZETTE TORRES GARCIA</v>
      </c>
    </row>
    <row r="159">
      <c r="A159" t="str">
        <v>ISAI ANTONIO ROJAS MARTINEZ</v>
      </c>
      <c r="B159" t="e">
        <f>SUM(#REF!,#REF!)</f>
        <v>#REF!</v>
      </c>
      <c r="C159">
        <v>0</v>
      </c>
      <c r="D159">
        <v>0</v>
      </c>
      <c r="G159" t="e">
        <f>SUM(#REF!,#REF!)</f>
        <v>#REF!</v>
      </c>
      <c r="P159" t="str">
        <v>SAMUEL NUÐO RIVERA</v>
      </c>
    </row>
    <row r="160">
      <c r="A160" t="str">
        <v>JOCELYN URIBE VARGAS</v>
      </c>
      <c r="B160" t="e">
        <f>SUM(#REF!,#REF!)</f>
        <v>#REF!</v>
      </c>
      <c r="C160">
        <v>0</v>
      </c>
      <c r="D160">
        <v>0</v>
      </c>
      <c r="G160" t="e">
        <f>SUM(#REF!,#REF!)</f>
        <v>#REF!</v>
      </c>
    </row>
    <row r="161">
      <c r="A161" t="str">
        <v>JOSE RENE DE ALBA MORALES</v>
      </c>
      <c r="B161" t="e">
        <f>SUM(#REF!,#REF!)</f>
        <v>#REF!</v>
      </c>
      <c r="C161">
        <v>0</v>
      </c>
      <c r="D161">
        <v>0</v>
      </c>
      <c r="G161" t="e">
        <f>SUM(#REF!,#REF!)</f>
        <v>#REF!</v>
      </c>
    </row>
    <row r="162">
      <c r="A162" t="str">
        <v>LUIS GUILLERMO OLGUIN FERNANDEZ</v>
      </c>
      <c r="B162" t="e">
        <f>SUM(#REF!,#REF!)</f>
        <v>#REF!</v>
      </c>
      <c r="C162">
        <v>0</v>
      </c>
      <c r="D162">
        <v>0</v>
      </c>
      <c r="G162" t="e">
        <f>SUM(#REF!,#REF!)</f>
        <v>#REF!</v>
      </c>
    </row>
    <row r="163">
      <c r="A163" t="str">
        <v>MARICELA ARREOLA LOPEZ</v>
      </c>
      <c r="B163" t="e">
        <f>SUM(#REF!,#REF!)</f>
        <v>#REF!</v>
      </c>
      <c r="C163">
        <v>0</v>
      </c>
      <c r="D163">
        <v>0</v>
      </c>
      <c r="G163" t="e">
        <f>SUM(#REF!,#REF!)</f>
        <v>#REF!</v>
      </c>
    </row>
    <row r="164">
      <c r="A164" t="str">
        <v>MIRIAM ROCIO LOMELI CHAVEZ</v>
      </c>
      <c r="B164" t="e">
        <f>SUM(#REF!,#REF!)</f>
        <v>#REF!</v>
      </c>
      <c r="C164">
        <v>0</v>
      </c>
      <c r="D164">
        <v>0</v>
      </c>
      <c r="G164" t="e">
        <f>SUM(#REF!,#REF!)</f>
        <v>#REF!</v>
      </c>
    </row>
    <row r="165">
      <c r="A165" t="str">
        <v>ROCIO YANETH OCHOA IBARRA</v>
      </c>
      <c r="B165" t="e">
        <f>SUM(#REF!,#REF!)</f>
        <v>#REF!</v>
      </c>
      <c r="C165">
        <v>0</v>
      </c>
      <c r="D165">
        <v>0</v>
      </c>
      <c r="G165" t="e">
        <f>SUM(#REF!,#REF!)</f>
        <v>#REF!</v>
      </c>
    </row>
    <row r="166">
      <c r="A166" t="str">
        <v>MIREYA LIZETTE TORRES GARCIA</v>
      </c>
      <c r="B166" t="e">
        <f>SUM(#REF!,#REF!)</f>
        <v>#REF!</v>
      </c>
      <c r="C166">
        <v>0</v>
      </c>
      <c r="D166">
        <v>0</v>
      </c>
      <c r="G166" t="e">
        <f>SUM(#REF!,#REF!)</f>
        <v>#REF!</v>
      </c>
    </row>
    <row r="167">
      <c r="A167" t="str">
        <v>SAMUEL NUÐO RIVERA</v>
      </c>
      <c r="B167" t="e">
        <f>SUM(#REF!,#REF!)</f>
        <v>#REF!</v>
      </c>
      <c r="C167">
        <v>0</v>
      </c>
      <c r="G167" t="e">
        <f>SUM(#REF!,#REF!)</f>
        <v>#REF!</v>
      </c>
    </row>
    <row r="168">
      <c r="A168" t="str">
        <v>Total</v>
      </c>
      <c r="B168" t="e">
        <f>SUM(#REF!)</f>
        <v>#REF!</v>
      </c>
      <c r="C168" t="e">
        <f>SUM(#REF!)</f>
        <v>#REF!</v>
      </c>
      <c r="D168" t="e">
        <f>SUM(#REF!)</f>
        <v>#REF!</v>
      </c>
      <c r="E168" t="e">
        <f>SUM(#REF!)</f>
        <v>#REF!</v>
      </c>
      <c r="F168" t="e">
        <f>SUM(#REF!)</f>
        <v>#REF!</v>
      </c>
      <c r="G168" t="e">
        <f>SUM(#REF!)</f>
        <v>#REF!</v>
      </c>
    </row>
    <row r="172">
      <c r="A172" t="str">
        <v>Ventas mensuales MAYO</v>
      </c>
    </row>
    <row r="173">
      <c r="A173" t="str">
        <v>Asesor</v>
      </c>
      <c r="B173" t="str">
        <v xml:space="preserve">Pólizas </v>
      </c>
      <c r="C173" t="str">
        <v>Vida</v>
      </c>
      <c r="D173" t="str">
        <v>Prima Recibo vida</v>
      </c>
      <c r="E173" t="str">
        <v>Gmm</v>
      </c>
      <c r="F173" t="str">
        <v>Prima Recibo gmm</v>
      </c>
      <c r="G173" t="str">
        <v>Prima total</v>
      </c>
    </row>
    <row r="174">
      <c r="A174" t="str">
        <v>MONI Y CARLOS</v>
      </c>
      <c r="B174" t="e">
        <f>SUM(#REF!,#REF!)</f>
        <v>#REF!</v>
      </c>
      <c r="C174">
        <v>5</v>
      </c>
      <c r="D174">
        <v>135800.53</v>
      </c>
      <c r="E174">
        <v>2.5</v>
      </c>
      <c r="F174">
        <v>35723.29</v>
      </c>
      <c r="G174" t="e">
        <f>SUM(#REF!,#REF!)</f>
        <v>#REF!</v>
      </c>
      <c r="I174" t="str">
        <v>CAMPEONES:</v>
      </c>
    </row>
    <row r="175">
      <c r="A175" t="str">
        <v>DESIREE DE LA PEÐA OROZCO</v>
      </c>
      <c r="B175" t="e">
        <f>SUM(#REF!,#REF!)</f>
        <v>#REF!</v>
      </c>
      <c r="C175">
        <v>3</v>
      </c>
      <c r="D175">
        <v>101777.56</v>
      </c>
      <c r="E175">
        <v>0.5</v>
      </c>
      <c r="F175">
        <v>14278.97</v>
      </c>
      <c r="G175" t="e">
        <f>SUM(#REF!,#REF!)</f>
        <v>#REF!</v>
      </c>
      <c r="I175" t="str">
        <v>12 MESES PRIMAS</v>
      </c>
      <c r="K175" t="str">
        <v>ANAIS,</v>
      </c>
    </row>
    <row r="176">
      <c r="A176" t="str">
        <v>SAMUEL Y JANETH</v>
      </c>
      <c r="B176" t="e">
        <f>SUM(#REF!,#REF!)</f>
        <v>#REF!</v>
      </c>
      <c r="C176">
        <v>1</v>
      </c>
      <c r="D176">
        <v>105472.23</v>
      </c>
      <c r="G176" t="e">
        <f>SUM(#REF!,#REF!)</f>
        <v>#REF!</v>
      </c>
      <c r="I176" t="str">
        <v>12 MESES POLIZAS</v>
      </c>
      <c r="K176" t="str">
        <v>LILI</v>
      </c>
    </row>
    <row r="177">
      <c r="A177" t="str">
        <v>ANAIS LUA MORENO</v>
      </c>
      <c r="B177" t="e">
        <f>SUM(#REF!,#REF!)</f>
        <v>#REF!</v>
      </c>
      <c r="C177">
        <v>1.5</v>
      </c>
      <c r="D177">
        <v>89706</v>
      </c>
      <c r="G177" t="e">
        <f>SUM(#REF!,#REF!)</f>
        <v>#REF!</v>
      </c>
      <c r="I177" t="str">
        <v>NVA ORG PRIMA</v>
      </c>
      <c r="K177" t="str">
        <v>SAMUEL Y JANETH</v>
      </c>
    </row>
    <row r="178">
      <c r="A178" t="str">
        <v>LUIS GUILLERMO OLGUIN FERNANDEZ</v>
      </c>
      <c r="B178" t="e">
        <f>SUM(#REF!,#REF!)</f>
        <v>#REF!</v>
      </c>
      <c r="C178">
        <v>1</v>
      </c>
      <c r="D178">
        <v>21743.9</v>
      </c>
      <c r="E178">
        <v>0.5</v>
      </c>
      <c r="F178">
        <v>66218.29</v>
      </c>
      <c r="G178" t="e">
        <f>SUM(#REF!,#REF!)</f>
        <v>#REF!</v>
      </c>
      <c r="I178" t="str">
        <v>NVA ORG POLIZAS</v>
      </c>
      <c r="K178" t="str">
        <v>RAFA</v>
      </c>
    </row>
    <row r="179">
      <c r="A179" t="str">
        <v>LILIANA IVETTE CASTILLO SANCHEZ</v>
      </c>
      <c r="B179" t="e">
        <f>SUM(#REF!,#REF!)</f>
        <v>#REF!</v>
      </c>
      <c r="C179">
        <v>3</v>
      </c>
      <c r="D179">
        <v>58738.73</v>
      </c>
      <c r="E179">
        <v>1.5</v>
      </c>
      <c r="F179">
        <v>12706.47</v>
      </c>
      <c r="G179" t="e">
        <f>SUM(#REF!,#REF!)</f>
        <v>#REF!</v>
      </c>
      <c r="I179" t="str">
        <v>CONSOLIDADO PRIMA</v>
      </c>
      <c r="K179" t="str">
        <v>MONI Y CARLOS</v>
      </c>
    </row>
    <row r="180">
      <c r="A180" t="str">
        <v>RAFAEL ALBERTO SUAREZ BAQUEDANO</v>
      </c>
      <c r="B180" t="e">
        <f>SUM(#REF!,#REF!)</f>
        <v>#REF!</v>
      </c>
      <c r="C180">
        <v>1.5</v>
      </c>
      <c r="D180">
        <v>47034.09</v>
      </c>
      <c r="E180">
        <v>1</v>
      </c>
      <c r="F180">
        <v>19294.34</v>
      </c>
      <c r="G180" t="e">
        <f>SUM(#REF!,#REF!)</f>
        <v>#REF!</v>
      </c>
      <c r="I180" t="str">
        <v>CONSOLIDADO POLIZAS</v>
      </c>
      <c r="K180" t="str">
        <v>MONI Y CARLOS</v>
      </c>
    </row>
    <row r="181">
      <c r="A181" t="str">
        <v>MIRIAM ROCIO LOMELI CHAVEZ</v>
      </c>
      <c r="B181" t="e">
        <f>SUM(#REF!,#REF!)</f>
        <v>#REF!</v>
      </c>
      <c r="C181">
        <v>1</v>
      </c>
      <c r="D181">
        <v>30316.29</v>
      </c>
      <c r="E181">
        <v>0.5</v>
      </c>
      <c r="F181">
        <v>27924.74</v>
      </c>
      <c r="G181" t="e">
        <f>SUM(#REF!,#REF!)</f>
        <v>#REF!</v>
      </c>
      <c r="I181" t="str">
        <v>GMM PRIMA</v>
      </c>
      <c r="K181" t="str">
        <v>GUILLERMO</v>
      </c>
    </row>
    <row r="182">
      <c r="A182" t="str">
        <v>ENRIQUE ADRIAN GUTIERREZ JIMENEZ</v>
      </c>
      <c r="B182" t="e">
        <f>SUM(#REF!,#REF!)</f>
        <v>#REF!</v>
      </c>
      <c r="C182">
        <v>1</v>
      </c>
      <c r="D182">
        <v>35590.54</v>
      </c>
      <c r="E182">
        <v>0.5</v>
      </c>
      <c r="F182">
        <v>18932.96</v>
      </c>
      <c r="G182" t="e">
        <f>SUM(#REF!,#REF!)</f>
        <v>#REF!</v>
      </c>
      <c r="I182" t="str">
        <v>GMM POLIZAS</v>
      </c>
      <c r="K182" t="str">
        <v>MONI Y CARLOS</v>
      </c>
    </row>
    <row r="183">
      <c r="A183" t="str">
        <v>DARINKA UREÐA CASILLAS</v>
      </c>
      <c r="B183" t="e">
        <f>SUM(#REF!,#REF!)</f>
        <v>#REF!</v>
      </c>
      <c r="C183">
        <v>1</v>
      </c>
      <c r="D183">
        <v>35686.67</v>
      </c>
      <c r="G183" t="e">
        <f>SUM(#REF!,#REF!)</f>
        <v>#REF!</v>
      </c>
    </row>
    <row r="184">
      <c r="A184" t="str">
        <v>BRUNO BRAULIO MACIAS ALVAREZ</v>
      </c>
      <c r="B184" t="e">
        <f>SUM(#REF!,#REF!)</f>
        <v>#REF!</v>
      </c>
      <c r="C184">
        <v>1</v>
      </c>
      <c r="D184">
        <v>25244.9</v>
      </c>
      <c r="E184">
        <v>0.5</v>
      </c>
      <c r="F184">
        <v>6831.12</v>
      </c>
      <c r="G184" t="e">
        <f>SUM(#REF!,#REF!)</f>
        <v>#REF!</v>
      </c>
    </row>
    <row r="185">
      <c r="A185" t="str">
        <v>GABRIELA CASTAÐEDA SALAZAR</v>
      </c>
      <c r="B185" t="e">
        <f>SUM(#REF!,#REF!)</f>
        <v>#REF!</v>
      </c>
      <c r="C185">
        <v>1</v>
      </c>
      <c r="D185">
        <v>1673.03</v>
      </c>
      <c r="E185">
        <v>0.5</v>
      </c>
      <c r="F185">
        <v>29867.69</v>
      </c>
      <c r="G185" t="e">
        <f>SUM(#REF!,#REF!)</f>
        <v>#REF!</v>
      </c>
    </row>
    <row r="186">
      <c r="A186" t="str">
        <v>PAULINA LIZBETH SOTO MUÐIZ</v>
      </c>
      <c r="B186" t="e">
        <f>SUM(#REF!,#REF!)</f>
        <v>#REF!</v>
      </c>
      <c r="C186">
        <v>1</v>
      </c>
      <c r="D186">
        <v>1598.85</v>
      </c>
      <c r="E186">
        <v>0.5</v>
      </c>
      <c r="F186">
        <v>24514.31</v>
      </c>
      <c r="G186" t="e">
        <f>SUM(#REF!,#REF!)</f>
        <v>#REF!</v>
      </c>
    </row>
    <row r="187">
      <c r="A187" t="str">
        <v>ANA LAURA CONTRERAS IÐIGUEZ</v>
      </c>
      <c r="B187" t="e">
        <f>SUM(#REF!,#REF!)</f>
        <v>#REF!</v>
      </c>
      <c r="C187">
        <v>1</v>
      </c>
      <c r="D187">
        <v>1729.82</v>
      </c>
      <c r="E187">
        <v>1</v>
      </c>
      <c r="F187">
        <v>22824.26</v>
      </c>
      <c r="G187" t="e">
        <f>SUM(#REF!,#REF!)</f>
        <v>#REF!</v>
      </c>
    </row>
    <row r="188">
      <c r="A188" t="str">
        <v>MARICELA ARREOLA LOPEZ</v>
      </c>
      <c r="B188" t="e">
        <f>SUM(#REF!,#REF!)</f>
        <v>#REF!</v>
      </c>
      <c r="C188">
        <v>1</v>
      </c>
      <c r="D188">
        <v>2543.79</v>
      </c>
      <c r="E188">
        <v>0.5</v>
      </c>
      <c r="F188">
        <v>18108.02</v>
      </c>
      <c r="G188" t="e">
        <f>SUM(#REF!,#REF!)</f>
        <v>#REF!</v>
      </c>
    </row>
    <row r="189">
      <c r="A189" t="str">
        <v>JOSE RENE DE ALBA MORALES</v>
      </c>
      <c r="B189" t="e">
        <f>SUM(#REF!,#REF!)</f>
        <v>#REF!</v>
      </c>
      <c r="C189">
        <v>1</v>
      </c>
      <c r="D189">
        <v>16691.68</v>
      </c>
      <c r="G189" t="e">
        <f>SUM(#REF!,#REF!)</f>
        <v>#REF!</v>
      </c>
    </row>
    <row r="190">
      <c r="A190" t="str">
        <v>PAULINA RODRIGUEZ DE LA MORA</v>
      </c>
      <c r="B190" t="e">
        <f>SUM(#REF!,#REF!)</f>
        <v>#REF!</v>
      </c>
      <c r="C190">
        <v>0</v>
      </c>
      <c r="D190">
        <v>0</v>
      </c>
      <c r="E190">
        <v>0.5</v>
      </c>
      <c r="F190">
        <v>14769.86</v>
      </c>
      <c r="G190" t="e">
        <f>SUM(#REF!,#REF!)</f>
        <v>#REF!</v>
      </c>
    </row>
    <row r="191">
      <c r="A191" t="str">
        <v>MARIA TERESA ASENCIO LOZANO</v>
      </c>
      <c r="B191" t="e">
        <f>SUM(#REF!,#REF!)</f>
        <v>#REF!</v>
      </c>
      <c r="C191">
        <v>1</v>
      </c>
      <c r="D191">
        <v>1680.57</v>
      </c>
      <c r="E191">
        <v>0.5</v>
      </c>
      <c r="F191">
        <v>6066.6</v>
      </c>
      <c r="G191" t="e">
        <f>SUM(#REF!,#REF!)</f>
        <v>#REF!</v>
      </c>
    </row>
    <row r="192">
      <c r="A192" t="str">
        <v>ORLANDA JIMENA CERVANTES NUÐEZ</v>
      </c>
      <c r="B192" t="e">
        <f>SUM(#REF!,#REF!)</f>
        <v>#REF!</v>
      </c>
      <c r="C192">
        <v>2</v>
      </c>
      <c r="D192">
        <v>7252.48</v>
      </c>
      <c r="G192" t="e">
        <f>SUM(#REF!,#REF!)</f>
        <v>#REF!</v>
      </c>
    </row>
    <row r="193">
      <c r="A193" t="str">
        <v>MIREYA LIZETTE TORRES GARCIA</v>
      </c>
      <c r="B193" t="e">
        <f>SUM(#REF!,#REF!)</f>
        <v>#REF!</v>
      </c>
      <c r="C193">
        <v>0</v>
      </c>
      <c r="D193">
        <v>0</v>
      </c>
      <c r="E193">
        <v>0.5</v>
      </c>
      <c r="F193">
        <v>5905.07</v>
      </c>
      <c r="G193" t="e">
        <f>SUM(#REF!,#REF!)</f>
        <v>#REF!</v>
      </c>
    </row>
    <row r="194">
      <c r="A194" t="str">
        <v>JOCELYN URIBE VARGAS</v>
      </c>
      <c r="B194" t="e">
        <f>SUM(#REF!,#REF!)</f>
        <v>#REF!</v>
      </c>
      <c r="C194">
        <v>1</v>
      </c>
      <c r="D194">
        <v>5016.87</v>
      </c>
      <c r="G194" t="e">
        <f>SUM(#REF!,#REF!)</f>
        <v>#REF!</v>
      </c>
    </row>
    <row r="195">
      <c r="A195" t="str">
        <v>EVELYN CAROLINA VENEGAS IÐIGUEZ</v>
      </c>
      <c r="B195" t="e">
        <f>SUM(#REF!,#REF!)</f>
        <v>#REF!</v>
      </c>
      <c r="C195">
        <v>1</v>
      </c>
      <c r="D195">
        <v>1546.97</v>
      </c>
      <c r="G195" t="e">
        <f>SUM(#REF!,#REF!)</f>
        <v>#REF!</v>
      </c>
    </row>
    <row r="196">
      <c r="A196" t="str">
        <v>ROCIO YANETH OCHOA IBARRA</v>
      </c>
      <c r="B196" t="e">
        <f>SUM(#REF!,#REF!)</f>
        <v>#REF!</v>
      </c>
      <c r="C196">
        <v>1</v>
      </c>
      <c r="D196">
        <v>1497.64</v>
      </c>
      <c r="G196" t="e">
        <f>SUM(#REF!,#REF!)</f>
        <v>#REF!</v>
      </c>
    </row>
    <row r="197">
      <c r="A197" t="str">
        <v>ROCIO IVON RUIZ GARCIA</v>
      </c>
      <c r="B197" t="e">
        <f>SUM(#REF!,#REF!)</f>
        <v>#REF!</v>
      </c>
      <c r="C197">
        <v>1</v>
      </c>
      <c r="D197">
        <v>1216.3</v>
      </c>
      <c r="G197" t="e">
        <f>SUM(#REF!,#REF!)</f>
        <v>#REF!</v>
      </c>
    </row>
    <row r="198">
      <c r="A198" t="str">
        <v>ROGELIO TORRES ORTIZ</v>
      </c>
      <c r="B198" t="e">
        <f>SUM(#REF!,#REF!)</f>
        <v>#REF!</v>
      </c>
      <c r="C198">
        <v>0</v>
      </c>
      <c r="D198">
        <v>0</v>
      </c>
      <c r="G198" t="e">
        <f>SUM(#REF!,#REF!)</f>
        <v>#REF!</v>
      </c>
    </row>
    <row r="199">
      <c r="A199" t="str">
        <v>JORGE Y LULY</v>
      </c>
      <c r="B199" t="e">
        <f>SUM(#REF!,#REF!)</f>
        <v>#REF!</v>
      </c>
      <c r="C199">
        <v>0</v>
      </c>
      <c r="D199">
        <v>0</v>
      </c>
      <c r="G199" t="e">
        <f>SUM(#REF!,#REF!)</f>
        <v>#REF!</v>
      </c>
    </row>
    <row r="200">
      <c r="A200" t="str">
        <v>CLAUDIA VALERIA HERNANDEZ MACIAS</v>
      </c>
      <c r="B200" t="e">
        <f>SUM(#REF!,#REF!)</f>
        <v>#REF!</v>
      </c>
      <c r="C200">
        <v>0</v>
      </c>
      <c r="D200">
        <v>0</v>
      </c>
      <c r="G200" t="e">
        <f>SUM(#REF!,#REF!)</f>
        <v>#REF!</v>
      </c>
    </row>
    <row r="201">
      <c r="A201" t="str">
        <v>JORGE ANTONIO LUNA LARA</v>
      </c>
      <c r="B201" t="e">
        <f>SUM(#REF!,#REF!)</f>
        <v>#REF!</v>
      </c>
      <c r="C201">
        <v>0</v>
      </c>
      <c r="D201">
        <v>0</v>
      </c>
      <c r="G201" t="e">
        <f>SUM(#REF!,#REF!)</f>
        <v>#REF!</v>
      </c>
    </row>
    <row r="202">
      <c r="A202" t="str">
        <v>ISAI ANTONIO ROJAS MARTINEZ</v>
      </c>
      <c r="B202" t="e">
        <f>SUM(#REF!,#REF!)</f>
        <v>#REF!</v>
      </c>
      <c r="C202">
        <v>0</v>
      </c>
      <c r="D202">
        <v>0</v>
      </c>
      <c r="G202" t="e">
        <f>SUM(#REF!,#REF!)</f>
        <v>#REF!</v>
      </c>
    </row>
    <row r="203">
      <c r="A203" t="str">
        <v>MARIA ELIZABETH LLAMAS LOPEZ</v>
      </c>
      <c r="B203" t="e">
        <f>SUM(#REF!,#REF!)</f>
        <v>#REF!</v>
      </c>
      <c r="C203">
        <v>0</v>
      </c>
      <c r="D203">
        <v>0</v>
      </c>
      <c r="G203" t="e">
        <f>SUM(#REF!,#REF!)</f>
        <v>#REF!</v>
      </c>
    </row>
    <row r="204">
      <c r="A204" t="str">
        <v>JULIANA RIASCOS VALENCIA</v>
      </c>
      <c r="B204" t="e">
        <f>SUM(#REF!,#REF!)</f>
        <v>#REF!</v>
      </c>
      <c r="C204">
        <v>0</v>
      </c>
      <c r="D204">
        <v>0</v>
      </c>
      <c r="G204" t="e">
        <f>SUM(#REF!,#REF!)</f>
        <v>#REF!</v>
      </c>
    </row>
    <row r="205">
      <c r="A205" t="str">
        <v>ANDREA CELESTE IBAÐEZ RINCON</v>
      </c>
      <c r="B205" t="e">
        <f>SUM(#REF!,#REF!)</f>
        <v>#REF!</v>
      </c>
      <c r="C205">
        <v>0</v>
      </c>
      <c r="D205">
        <v>0</v>
      </c>
      <c r="G205" t="e">
        <f>SUM(#REF!,#REF!)</f>
        <v>#REF!</v>
      </c>
    </row>
    <row r="206">
      <c r="A206" t="str">
        <v>LAURA DOLORES MONTAÐO MONTAÐO</v>
      </c>
      <c r="B206" t="e">
        <f>SUM(#REF!,#REF!)</f>
        <v>#REF!</v>
      </c>
      <c r="C206">
        <v>0</v>
      </c>
      <c r="D206">
        <v>0</v>
      </c>
      <c r="G206" t="e">
        <f>SUM(#REF!,#REF!)</f>
        <v>#REF!</v>
      </c>
    </row>
    <row r="207">
      <c r="A207" t="str">
        <v>Total</v>
      </c>
      <c r="B207" t="e">
        <f>SUM(#REF!)</f>
        <v>#REF!</v>
      </c>
      <c r="C207" t="e">
        <f>SUM(#REF!)</f>
        <v>#REF!</v>
      </c>
      <c r="D207" t="e">
        <f>SUM(#REF!)</f>
        <v>#REF!</v>
      </c>
      <c r="E207" t="e">
        <f>SUM(#REF!)</f>
        <v>#REF!</v>
      </c>
      <c r="F207" t="e">
        <f>SUM(#REF!)</f>
        <v>#REF!</v>
      </c>
      <c r="G207" t="e">
        <f>SUM(#REF!)</f>
        <v>#REF!</v>
      </c>
    </row>
    <row r="212">
      <c r="A212" t="str">
        <v>Ventas mensuales JUNIO</v>
      </c>
    </row>
    <row r="213">
      <c r="A213" t="str">
        <v>Asesor</v>
      </c>
      <c r="B213" t="str">
        <v xml:space="preserve">Pólizas </v>
      </c>
      <c r="C213" t="str">
        <v>Vida</v>
      </c>
      <c r="D213" t="str">
        <v>Prima Recibo vida</v>
      </c>
      <c r="E213" t="str">
        <v>Gmm</v>
      </c>
      <c r="F213" t="str">
        <v>Prima Recibo gmm</v>
      </c>
      <c r="G213" t="str">
        <v>Prima total</v>
      </c>
    </row>
    <row r="214">
      <c r="A214" t="str">
        <v>MONI Y CARLOS</v>
      </c>
      <c r="B214" t="e">
        <f>SUM(#REF!,#REF!)</f>
        <v>#REF!</v>
      </c>
      <c r="C214">
        <v>2</v>
      </c>
      <c r="D214">
        <v>72707.83</v>
      </c>
      <c r="E214">
        <v>0.5</v>
      </c>
      <c r="F214">
        <v>41780.9</v>
      </c>
      <c r="G214" t="e">
        <f>SUM(#REF!,#REF!)</f>
        <v>#REF!</v>
      </c>
      <c r="I214" t="str">
        <v>CAMPEONES:</v>
      </c>
    </row>
    <row r="215">
      <c r="A215" t="str">
        <v>JIME Y VALE</v>
      </c>
      <c r="B215" t="e">
        <f>SUM(#REF!,#REF!)</f>
        <v>#REF!</v>
      </c>
      <c r="C215">
        <v>2</v>
      </c>
      <c r="D215">
        <v>100995.55</v>
      </c>
      <c r="G215" t="e">
        <f>SUM(#REF!,#REF!)</f>
        <v>#REF!</v>
      </c>
      <c r="I215" t="str">
        <v>12 MESES PRIMAS</v>
      </c>
      <c r="K215" t="str">
        <v>ANAIS</v>
      </c>
    </row>
    <row r="216">
      <c r="A216" t="str">
        <v>DESIREE DE LA PEÐA OROZCO</v>
      </c>
      <c r="B216" t="e">
        <f>SUM(#REF!,#REF!)</f>
        <v>#REF!</v>
      </c>
      <c r="C216">
        <v>1</v>
      </c>
      <c r="D216">
        <v>60537.08</v>
      </c>
      <c r="E216">
        <v>1</v>
      </c>
      <c r="F216">
        <v>38215.35</v>
      </c>
      <c r="G216" t="e">
        <f>SUM(#REF!,#REF!)</f>
        <v>#REF!</v>
      </c>
      <c r="I216" t="str">
        <v>12 MESES POLIZAS</v>
      </c>
      <c r="K216" t="str">
        <v>ANAIS</v>
      </c>
    </row>
    <row r="217">
      <c r="A217" t="str">
        <v>ANAIS LUA MORENO</v>
      </c>
      <c r="B217" t="e">
        <f>SUM(#REF!,#REF!)</f>
        <v>#REF!</v>
      </c>
      <c r="C217">
        <v>4</v>
      </c>
      <c r="D217">
        <v>92395.13</v>
      </c>
      <c r="G217" t="e">
        <f>SUM(#REF!,#REF!)</f>
        <v>#REF!</v>
      </c>
      <c r="I217" t="str">
        <v>NVA ORG PRIMA</v>
      </c>
      <c r="K217" t="str">
        <v>JIME Y VALE</v>
      </c>
    </row>
    <row r="218">
      <c r="A218" t="str">
        <v>RAFAEL ALBERTO SUAREZ BAQUEDANO</v>
      </c>
      <c r="B218" t="e">
        <f>SUM(#REF!,#REF!)</f>
        <v>#REF!</v>
      </c>
      <c r="C218">
        <v>6</v>
      </c>
      <c r="D218">
        <v>81144.41</v>
      </c>
      <c r="E218">
        <v>1</v>
      </c>
      <c r="F218">
        <v>10979.34</v>
      </c>
      <c r="G218" t="e">
        <f>SUM(#REF!,#REF!)</f>
        <v>#REF!</v>
      </c>
      <c r="I218" t="str">
        <v>NVA ORG POLIZAS</v>
      </c>
      <c r="K218" t="str">
        <v>RAFA</v>
      </c>
    </row>
    <row r="219">
      <c r="A219" t="str">
        <v>MARICELA ARREOLA LOPEZ</v>
      </c>
      <c r="B219" t="e">
        <f>SUM(#REF!,#REF!)</f>
        <v>#REF!</v>
      </c>
      <c r="C219">
        <v>0</v>
      </c>
      <c r="D219">
        <v>0</v>
      </c>
      <c r="E219">
        <v>1</v>
      </c>
      <c r="F219">
        <v>41990.47</v>
      </c>
      <c r="G219" t="e">
        <f>SUM(#REF!,#REF!)</f>
        <v>#REF!</v>
      </c>
      <c r="I219" t="str">
        <v>CONSOLIDADO PRIMA</v>
      </c>
      <c r="K219" t="str">
        <v>MONI Y CARLOS</v>
      </c>
    </row>
    <row r="220">
      <c r="A220" t="str">
        <v>DARINKA UREÐA CASILLAS</v>
      </c>
      <c r="B220" t="e">
        <f>SUM(#REF!,#REF!)</f>
        <v>#REF!</v>
      </c>
      <c r="C220">
        <v>2</v>
      </c>
      <c r="D220">
        <v>41981.03</v>
      </c>
      <c r="G220" t="e">
        <f>SUM(#REF!,#REF!)</f>
        <v>#REF!</v>
      </c>
      <c r="I220" t="str">
        <v>CONSOLIDADO POLIZAS</v>
      </c>
      <c r="K220" t="str">
        <v>MONI Y CARLOS</v>
      </c>
    </row>
    <row r="221">
      <c r="A221" t="str">
        <v>ROCIO YANETH OCHOA IBARRA</v>
      </c>
      <c r="B221" t="e">
        <f>SUM(#REF!,#REF!)</f>
        <v>#REF!</v>
      </c>
      <c r="C221">
        <v>0</v>
      </c>
      <c r="D221">
        <v>0</v>
      </c>
      <c r="E221">
        <v>0.5</v>
      </c>
      <c r="F221">
        <v>40856.28</v>
      </c>
      <c r="G221" t="e">
        <f>SUM(#REF!,#REF!)</f>
        <v>#REF!</v>
      </c>
      <c r="I221" t="str">
        <v>GMM PRIMA</v>
      </c>
      <c r="K221" t="str">
        <v>MARICELA</v>
      </c>
    </row>
    <row r="222">
      <c r="A222" t="str">
        <v>PAULINA RODRIGUEZ DE LA MORA</v>
      </c>
      <c r="B222" t="e">
        <f>SUM(#REF!,#REF!)</f>
        <v>#REF!</v>
      </c>
      <c r="E222">
        <v>1</v>
      </c>
      <c r="F222">
        <v>38001</v>
      </c>
      <c r="G222" t="e">
        <f>SUM(#REF!,#REF!)</f>
        <v>#REF!</v>
      </c>
      <c r="I222" t="str">
        <v>GMM POLIZAS</v>
      </c>
      <c r="K222" t="str">
        <v>DESI, RAFA, MARICELA, PAU R</v>
      </c>
    </row>
    <row r="223">
      <c r="A223" t="str">
        <v>CLAUDIA VALERIA HERNANDEZ MACIAS</v>
      </c>
      <c r="B223" t="e">
        <f>SUM(#REF!,#REF!)</f>
        <v>#REF!</v>
      </c>
      <c r="C223">
        <v>1</v>
      </c>
      <c r="D223">
        <v>34884.67</v>
      </c>
      <c r="G223" t="e">
        <f>SUM(#REF!,#REF!)</f>
        <v>#REF!</v>
      </c>
    </row>
    <row r="224">
      <c r="A224" t="str">
        <v>MARIA FERNANDA RIOS BERNAL</v>
      </c>
      <c r="B224" t="e">
        <f>SUM(#REF!,#REF!)</f>
        <v>#REF!</v>
      </c>
      <c r="E224">
        <v>0.5</v>
      </c>
      <c r="F224">
        <v>32940.39</v>
      </c>
      <c r="G224" t="e">
        <f>SUM(#REF!,#REF!)</f>
        <v>#REF!</v>
      </c>
    </row>
    <row r="225">
      <c r="A225" t="str">
        <v>EVELYN CAROLINA VENEGAS IÐIGUEZ</v>
      </c>
      <c r="B225" t="e">
        <f>SUM(#REF!,#REF!)</f>
        <v>#REF!</v>
      </c>
      <c r="C225">
        <v>1</v>
      </c>
      <c r="D225">
        <v>26068.65</v>
      </c>
      <c r="G225" t="e">
        <f>SUM(#REF!,#REF!)</f>
        <v>#REF!</v>
      </c>
    </row>
    <row r="226">
      <c r="A226" t="str">
        <v>MARIA ELIZABETH LLAMAS LOPEZ</v>
      </c>
      <c r="B226" t="e">
        <f>SUM(#REF!,#REF!)</f>
        <v>#REF!</v>
      </c>
      <c r="C226">
        <v>0</v>
      </c>
      <c r="D226">
        <v>0</v>
      </c>
      <c r="E226">
        <v>0.5</v>
      </c>
      <c r="F226">
        <v>24681.99</v>
      </c>
      <c r="G226" t="e">
        <f>SUM(#REF!,#REF!)</f>
        <v>#REF!</v>
      </c>
    </row>
    <row r="227">
      <c r="A227" t="str">
        <v>JULIANA RIASCOS VALENCIA</v>
      </c>
      <c r="B227" t="e">
        <f>SUM(#REF!,#REF!)</f>
        <v>#REF!</v>
      </c>
      <c r="C227">
        <v>1</v>
      </c>
      <c r="D227">
        <v>16390.5</v>
      </c>
      <c r="G227" t="e">
        <f>SUM(#REF!,#REF!)</f>
        <v>#REF!</v>
      </c>
    </row>
    <row r="228">
      <c r="A228" t="str">
        <v>ADRIANA ALEJANDRA JOYA MARTINEZ</v>
      </c>
      <c r="B228" t="e">
        <f>SUM(#REF!,#REF!)</f>
        <v>#REF!</v>
      </c>
      <c r="C228">
        <v>2</v>
      </c>
      <c r="D228">
        <v>11386.88</v>
      </c>
      <c r="E228">
        <v>0.5</v>
      </c>
      <c r="F228">
        <v>4454.78</v>
      </c>
      <c r="G228" t="e">
        <f>SUM(#REF!,#REF!)</f>
        <v>#REF!</v>
      </c>
    </row>
    <row r="229">
      <c r="A229" t="str">
        <v>ANA LAURA CONTRERAS IÐIGUEZ</v>
      </c>
      <c r="B229" t="e">
        <f>SUM(#REF!,#REF!)</f>
        <v>#REF!</v>
      </c>
      <c r="C229">
        <v>0</v>
      </c>
      <c r="D229">
        <v>0</v>
      </c>
      <c r="E229">
        <v>0.5</v>
      </c>
      <c r="F229">
        <v>8937.78</v>
      </c>
      <c r="G229" t="e">
        <f>SUM(#REF!,#REF!)</f>
        <v>#REF!</v>
      </c>
    </row>
    <row r="230">
      <c r="A230" t="str">
        <v>GABRIELA CASTAÐEDA SALAZAR</v>
      </c>
      <c r="B230" t="e">
        <f>SUM(#REF!,#REF!)</f>
        <v>#REF!</v>
      </c>
      <c r="C230">
        <v>2</v>
      </c>
      <c r="D230">
        <v>4718.41</v>
      </c>
      <c r="G230" t="e">
        <f>SUM(#REF!,#REF!)</f>
        <v>#REF!</v>
      </c>
    </row>
    <row r="231">
      <c r="A231" t="str">
        <v>BRUNO BRAULIO MACIAS ALVAREZ</v>
      </c>
      <c r="B231" t="e">
        <f>SUM(#REF!,#REF!)</f>
        <v>#REF!</v>
      </c>
      <c r="C231">
        <v>1</v>
      </c>
      <c r="D231">
        <v>4410.92</v>
      </c>
      <c r="G231" t="e">
        <f>SUM(#REF!,#REF!)</f>
        <v>#REF!</v>
      </c>
    </row>
    <row r="232">
      <c r="A232" t="str">
        <v>ANDREA CELESTE IBAÐEZ RINCON</v>
      </c>
      <c r="B232" t="e">
        <f>SUM(#REF!,#REF!)</f>
        <v>#REF!</v>
      </c>
      <c r="C232">
        <v>1</v>
      </c>
      <c r="D232">
        <v>2249.92</v>
      </c>
      <c r="G232" t="e">
        <f>SUM(#REF!,#REF!)</f>
        <v>#REF!</v>
      </c>
    </row>
    <row r="233">
      <c r="A233" t="str">
        <v>LAURA DOLORES MONTAÐO MONTAÐO</v>
      </c>
      <c r="B233" t="e">
        <f>SUM(#REF!,#REF!)</f>
        <v>#REF!</v>
      </c>
      <c r="C233">
        <v>1</v>
      </c>
      <c r="D233">
        <v>1663.19</v>
      </c>
      <c r="G233" t="e">
        <f>SUM(#REF!,#REF!)</f>
        <v>#REF!</v>
      </c>
    </row>
    <row r="234">
      <c r="A234" t="str">
        <v>HANA SOFIA LOPEZ QUIÐONEZ</v>
      </c>
      <c r="B234" t="e">
        <f>SUM(#REF!,#REF!)</f>
        <v>#REF!</v>
      </c>
      <c r="C234">
        <v>1</v>
      </c>
      <c r="D234">
        <v>1584.47</v>
      </c>
      <c r="G234" t="e">
        <f>SUM(#REF!,#REF!)</f>
        <v>#REF!</v>
      </c>
    </row>
    <row r="235">
      <c r="A235" t="str">
        <v>ISAI ANTONIO ROJAS MARTINEZ</v>
      </c>
      <c r="B235" t="e">
        <f>SUM(#REF!,#REF!)</f>
        <v>#REF!</v>
      </c>
      <c r="C235">
        <v>1</v>
      </c>
      <c r="D235">
        <v>1297.09</v>
      </c>
      <c r="G235" t="e">
        <f>SUM(#REF!,#REF!)</f>
        <v>#REF!</v>
      </c>
    </row>
    <row r="236">
      <c r="A236" t="str">
        <v>JOSE RENE DE ALBA MORALES</v>
      </c>
      <c r="B236" t="e">
        <f>SUM(#REF!,#REF!)</f>
        <v>#REF!</v>
      </c>
      <c r="C236">
        <v>0</v>
      </c>
      <c r="D236">
        <v>0</v>
      </c>
      <c r="G236" t="e">
        <f>SUM(#REF!,#REF!)</f>
        <v>#REF!</v>
      </c>
    </row>
    <row r="237">
      <c r="A237" t="str">
        <v>ROGELIO TORRES ORTIZ</v>
      </c>
      <c r="B237" t="e">
        <f>SUM(#REF!,#REF!)</f>
        <v>#REF!</v>
      </c>
      <c r="C237">
        <v>0</v>
      </c>
      <c r="D237">
        <v>0</v>
      </c>
      <c r="G237" t="e">
        <f>SUM(#REF!,#REF!)</f>
        <v>#REF!</v>
      </c>
    </row>
    <row r="238">
      <c r="A238" t="str">
        <v>JORGE Y LULY</v>
      </c>
      <c r="B238" t="e">
        <f>SUM(#REF!,#REF!)</f>
        <v>#REF!</v>
      </c>
      <c r="C238">
        <v>0</v>
      </c>
      <c r="D238">
        <v>0</v>
      </c>
      <c r="G238" t="e">
        <f>SUM(#REF!,#REF!)</f>
        <v>#REF!</v>
      </c>
    </row>
    <row r="239">
      <c r="A239" t="str">
        <v>LILIANA IVETTE CASTILLO SANCHEZ</v>
      </c>
      <c r="B239" t="e">
        <f>SUM(#REF!,#REF!)</f>
        <v>#REF!</v>
      </c>
      <c r="C239">
        <v>0</v>
      </c>
      <c r="D239">
        <v>0</v>
      </c>
      <c r="G239" t="e">
        <f>SUM(#REF!,#REF!)</f>
        <v>#REF!</v>
      </c>
    </row>
    <row r="240">
      <c r="A240" t="str">
        <v>PAULINA LIZBETH SOTO MUÐIZ</v>
      </c>
      <c r="B240" t="e">
        <f>SUM(#REF!,#REF!)</f>
        <v>#REF!</v>
      </c>
      <c r="C240">
        <v>0</v>
      </c>
      <c r="D240">
        <v>0</v>
      </c>
      <c r="G240" t="e">
        <f>SUM(#REF!,#REF!)</f>
        <v>#REF!</v>
      </c>
    </row>
    <row r="241">
      <c r="A241" t="str">
        <v>ROCIO IVON RUIZ GARCIA</v>
      </c>
      <c r="B241" t="e">
        <f>SUM(#REF!,#REF!)</f>
        <v>#REF!</v>
      </c>
      <c r="C241">
        <v>0</v>
      </c>
      <c r="D241">
        <v>0</v>
      </c>
      <c r="G241" t="e">
        <f>SUM(#REF!,#REF!)</f>
        <v>#REF!</v>
      </c>
    </row>
    <row r="242">
      <c r="A242" t="str">
        <v>LUIS FERNANDO HERNANDEZ AYALA</v>
      </c>
      <c r="B242" t="e">
        <f>SUM(#REF!,#REF!)</f>
        <v>#REF!</v>
      </c>
      <c r="C242">
        <v>0</v>
      </c>
      <c r="D242">
        <v>0</v>
      </c>
      <c r="G242" t="e">
        <f>SUM(#REF!,#REF!)</f>
        <v>#REF!</v>
      </c>
    </row>
    <row r="243">
      <c r="A243" t="str">
        <v>MIRIAM ROCIO LOMELI CHAVEZ</v>
      </c>
      <c r="B243" t="e">
        <f>SUM(#REF!,#REF!)</f>
        <v>#REF!</v>
      </c>
      <c r="C243">
        <v>0</v>
      </c>
      <c r="D243">
        <v>0</v>
      </c>
      <c r="G243" t="e">
        <f>SUM(#REF!,#REF!)</f>
        <v>#REF!</v>
      </c>
    </row>
    <row r="244">
      <c r="A244" t="str">
        <v>JORGE ANTONIO LUNA LARA</v>
      </c>
      <c r="B244" t="e">
        <f>SUM(#REF!,#REF!)</f>
        <v>#REF!</v>
      </c>
      <c r="C244">
        <v>0</v>
      </c>
      <c r="D244">
        <v>0</v>
      </c>
      <c r="G244" t="e">
        <f>SUM(#REF!,#REF!)</f>
        <v>#REF!</v>
      </c>
    </row>
    <row r="245">
      <c r="A245" t="str">
        <v>MARIA TERESA ASENCIO LOZANO</v>
      </c>
      <c r="B245" t="e">
        <f>SUM(#REF!,#REF!)</f>
        <v>#REF!</v>
      </c>
      <c r="C245">
        <v>0</v>
      </c>
      <c r="D245">
        <v>0</v>
      </c>
      <c r="G245" t="e">
        <f>SUM(#REF!,#REF!)</f>
        <v>#REF!</v>
      </c>
    </row>
    <row r="246">
      <c r="A246" t="str">
        <v>ENRIQUE ADRIAN GUTIERREZ JIMENEZ</v>
      </c>
      <c r="B246" t="e">
        <f>SUM(#REF!,#REF!)</f>
        <v>#REF!</v>
      </c>
      <c r="C246">
        <v>0</v>
      </c>
      <c r="D246">
        <v>0</v>
      </c>
      <c r="G246" t="e">
        <f>SUM(#REF!,#REF!)</f>
        <v>#REF!</v>
      </c>
    </row>
    <row r="247">
      <c r="A247" t="str">
        <v>LUIS GUILLERMO OLGUIN FERNANDEZ</v>
      </c>
      <c r="B247" t="e">
        <f>SUM(#REF!,#REF!)</f>
        <v>#REF!</v>
      </c>
      <c r="C247">
        <v>0</v>
      </c>
      <c r="D247">
        <v>0</v>
      </c>
      <c r="G247" t="e">
        <f>SUM(#REF!,#REF!)</f>
        <v>#REF!</v>
      </c>
    </row>
    <row r="248">
      <c r="A248" t="str">
        <v>JOCELYN URIBE VARGAS</v>
      </c>
      <c r="B248" t="e">
        <f>SUM(#REF!,#REF!)</f>
        <v>#REF!</v>
      </c>
      <c r="C248">
        <v>0</v>
      </c>
      <c r="D248">
        <v>0</v>
      </c>
      <c r="G248" t="e">
        <f>SUM(#REF!,#REF!)</f>
        <v>#REF!</v>
      </c>
    </row>
    <row r="249">
      <c r="A249" t="str">
        <v>SAMUEL Y JANET</v>
      </c>
      <c r="B249" t="e">
        <f>SUM(#REF!,#REF!)</f>
        <v>#REF!</v>
      </c>
      <c r="C249">
        <v>0</v>
      </c>
      <c r="D249">
        <v>0</v>
      </c>
      <c r="G249" t="e">
        <f>SUM(#REF!,#REF!)</f>
        <v>#REF!</v>
      </c>
    </row>
    <row r="250">
      <c r="A250" t="str">
        <v>Total</v>
      </c>
      <c r="B250" t="e">
        <f>SUM(#REF!)</f>
        <v>#REF!</v>
      </c>
      <c r="C250" t="e">
        <f>SUM(#REF!)</f>
        <v>#REF!</v>
      </c>
      <c r="D250" t="e">
        <f>SUM(#REF!)</f>
        <v>#REF!</v>
      </c>
      <c r="E250" t="e">
        <f>SUM(#REF!)</f>
        <v>#REF!</v>
      </c>
      <c r="F250" t="e">
        <f>SUM(#REF!)</f>
        <v>#REF!</v>
      </c>
      <c r="G250" t="e">
        <f>SUM(#REF!)</f>
        <v>#REF!</v>
      </c>
    </row>
    <row r="254">
      <c r="A254" t="str">
        <v>Ventas mensuales JULIO</v>
      </c>
    </row>
    <row r="255">
      <c r="A255" t="str">
        <v>Asesor</v>
      </c>
      <c r="B255" t="str">
        <v xml:space="preserve">Pólizas </v>
      </c>
      <c r="C255" t="str">
        <v>Vida</v>
      </c>
      <c r="D255" t="str">
        <v>Prima Recibo vida</v>
      </c>
      <c r="E255" t="str">
        <v>Gmm</v>
      </c>
      <c r="F255" t="str">
        <v>Prima Recibo gmm</v>
      </c>
      <c r="G255" t="str">
        <v>Prima total</v>
      </c>
    </row>
    <row r="256">
      <c r="A256" t="str">
        <v>MONI Y CARLOS</v>
      </c>
      <c r="B256" t="e">
        <f>SUM(#REF!,#REF!)</f>
        <v>#REF!</v>
      </c>
      <c r="C256">
        <v>1</v>
      </c>
      <c r="D256">
        <v>248646.47</v>
      </c>
      <c r="E256">
        <v>1</v>
      </c>
      <c r="F256">
        <v>32478.68</v>
      </c>
      <c r="G256" t="e">
        <f>SUM(#REF!,#REF!)</f>
        <v>#REF!</v>
      </c>
      <c r="I256" t="str">
        <v>CAMPEONES:</v>
      </c>
    </row>
    <row r="257">
      <c r="A257" t="str">
        <v>JOSE RENE DE ALBA MORALES</v>
      </c>
      <c r="B257" t="e">
        <f>SUM(#REF!,#REF!)</f>
        <v>#REF!</v>
      </c>
      <c r="C257">
        <v>1</v>
      </c>
      <c r="D257">
        <v>171698.16</v>
      </c>
      <c r="G257" t="e">
        <f>SUM(#REF!,#REF!)</f>
        <v>#REF!</v>
      </c>
      <c r="I257" t="str">
        <v>12 MESES PRIMAS</v>
      </c>
      <c r="K257" t="str">
        <v>RENE</v>
      </c>
    </row>
    <row r="258">
      <c r="A258" t="str">
        <v>ROGELIO TORRES ORTIZ</v>
      </c>
      <c r="B258" t="e">
        <f>SUM(#REF!,#REF!)</f>
        <v>#REF!</v>
      </c>
      <c r="C258">
        <v>3</v>
      </c>
      <c r="D258">
        <v>91171.02</v>
      </c>
      <c r="E258">
        <v>1</v>
      </c>
      <c r="F258">
        <v>37627.5</v>
      </c>
      <c r="G258" t="e">
        <f>SUM(#REF!,#REF!)</f>
        <v>#REF!</v>
      </c>
      <c r="I258" t="str">
        <v>12 MESES POLIZAS</v>
      </c>
      <c r="K258" t="str">
        <v>JORGE LUNA, ADRIAN AJOYA, ANA LAURA</v>
      </c>
    </row>
    <row r="259">
      <c r="A259" t="str">
        <v>DESIREE DE LA PEÐA OROZCO</v>
      </c>
      <c r="B259" t="e">
        <f>SUM(#REF!,#REF!)</f>
        <v>#REF!</v>
      </c>
      <c r="C259">
        <v>3</v>
      </c>
      <c r="D259">
        <v>125000</v>
      </c>
      <c r="G259" t="e">
        <f>SUM(#REF!,#REF!)</f>
        <v>#REF!</v>
      </c>
      <c r="I259" t="str">
        <v>NVA ORG PRIMA</v>
      </c>
      <c r="K259" t="str">
        <v>ROGER</v>
      </c>
    </row>
    <row r="260">
      <c r="A260" t="str">
        <v>DARINKA UREÐA CASILLAS</v>
      </c>
      <c r="B260" t="e">
        <f>SUM(#REF!,#REF!)</f>
        <v>#REF!</v>
      </c>
      <c r="C260">
        <v>2</v>
      </c>
      <c r="D260">
        <v>87194.55</v>
      </c>
      <c r="G260" t="e">
        <f>SUM(#REF!,#REF!)</f>
        <v>#REF!</v>
      </c>
      <c r="I260" t="str">
        <v>NVA ORG POLIZAS</v>
      </c>
      <c r="K260" t="str">
        <v>ROGER</v>
      </c>
    </row>
    <row r="261">
      <c r="A261" t="str">
        <v>ANA LAURA CONTRERAS IÐIGUEZ</v>
      </c>
      <c r="B261" t="e">
        <f>SUM(#REF!,#REF!)</f>
        <v>#REF!</v>
      </c>
      <c r="C261">
        <v>3</v>
      </c>
      <c r="D261">
        <v>74044.38</v>
      </c>
      <c r="G261" t="e">
        <f>SUM(#REF!,#REF!)</f>
        <v>#REF!</v>
      </c>
      <c r="I261" t="str">
        <v>CONSOLIDADO PRIMA</v>
      </c>
      <c r="K261" t="str">
        <v>MONI Y CARLOS</v>
      </c>
    </row>
    <row r="262">
      <c r="A262" t="str">
        <v>BRUNO BRAULIO MACIAS ALVAREZ</v>
      </c>
      <c r="B262" t="e">
        <f>SUM(#REF!,#REF!)</f>
        <v>#REF!</v>
      </c>
      <c r="C262">
        <v>0</v>
      </c>
      <c r="D262">
        <v>0</v>
      </c>
      <c r="E262">
        <v>1</v>
      </c>
      <c r="F262">
        <v>61551.03</v>
      </c>
      <c r="G262" t="e">
        <f>SUM(#REF!,#REF!)</f>
        <v>#REF!</v>
      </c>
      <c r="I262" t="str">
        <v>CONSOLIDADO POLIZAS</v>
      </c>
      <c r="K262" t="str">
        <v>DESI</v>
      </c>
    </row>
    <row r="263">
      <c r="A263" t="str">
        <v>JORGE ANTONIO LUNA LARA</v>
      </c>
      <c r="B263" t="e">
        <f>SUM(#REF!,#REF!)</f>
        <v>#REF!</v>
      </c>
      <c r="C263">
        <v>2</v>
      </c>
      <c r="D263">
        <v>7359.5</v>
      </c>
      <c r="E263">
        <v>1</v>
      </c>
      <c r="F263">
        <v>48130.96</v>
      </c>
      <c r="G263" t="e">
        <f>SUM(#REF!,#REF!)</f>
        <v>#REF!</v>
      </c>
      <c r="I263" t="str">
        <v>GMM PRIMA</v>
      </c>
      <c r="K263" t="str">
        <v>BRUNO</v>
      </c>
    </row>
    <row r="264">
      <c r="A264" t="str">
        <v>MARIA FERNANDA CARLOS VAZQUEZ</v>
      </c>
      <c r="B264" t="e">
        <f>SUM(#REF!,#REF!)</f>
        <v>#REF!</v>
      </c>
      <c r="C264">
        <v>1</v>
      </c>
      <c r="D264">
        <v>54780.38</v>
      </c>
      <c r="G264" t="e">
        <f>SUM(#REF!,#REF!)</f>
        <v>#REF!</v>
      </c>
      <c r="I264" t="str">
        <v>GMM POLIZAS</v>
      </c>
      <c r="K264" t="str">
        <v>MARICELA, JORGE LUNA, BRUNO, ROGER Y MONI</v>
      </c>
    </row>
    <row r="265">
      <c r="A265" t="str">
        <v>EVELYN CAROLINA VENEGAS IÐIGUEZ</v>
      </c>
      <c r="B265" t="e">
        <f>SUM(#REF!,#REF!)</f>
        <v>#REF!</v>
      </c>
      <c r="C265">
        <v>1</v>
      </c>
      <c r="D265">
        <v>53804</v>
      </c>
      <c r="G265" t="e">
        <f>SUM(#REF!,#REF!)</f>
        <v>#REF!</v>
      </c>
    </row>
    <row r="266">
      <c r="A266" t="str">
        <v>ANAIS LUA MORENO</v>
      </c>
      <c r="B266" t="e">
        <f>SUM(#REF!,#REF!)</f>
        <v>#REF!</v>
      </c>
      <c r="C266">
        <v>2</v>
      </c>
      <c r="D266">
        <v>51968.21</v>
      </c>
      <c r="G266" t="e">
        <f>SUM(#REF!,#REF!)</f>
        <v>#REF!</v>
      </c>
    </row>
    <row r="267">
      <c r="A267" t="str">
        <v>GABRIELA CASTAÐEDA SALAZAR</v>
      </c>
      <c r="B267" t="e">
        <f>SUM(#REF!,#REF!)</f>
        <v>#REF!</v>
      </c>
      <c r="C267">
        <v>2</v>
      </c>
      <c r="D267">
        <v>21119.55</v>
      </c>
      <c r="E267">
        <v>0.5</v>
      </c>
      <c r="F267">
        <v>29892.52</v>
      </c>
      <c r="G267" t="e">
        <f>SUM(#REF!,#REF!)</f>
        <v>#REF!</v>
      </c>
    </row>
    <row r="268">
      <c r="A268" t="str">
        <v>JULIANA RIASCOS VALENCIA</v>
      </c>
      <c r="B268" t="e">
        <f>SUM(#REF!,#REF!)</f>
        <v>#REF!</v>
      </c>
      <c r="C268">
        <v>1</v>
      </c>
      <c r="D268">
        <v>16544</v>
      </c>
      <c r="E268">
        <v>0.5</v>
      </c>
      <c r="F268">
        <v>30955.41</v>
      </c>
      <c r="G268" t="e">
        <f>SUM(#REF!,#REF!)</f>
        <v>#REF!</v>
      </c>
    </row>
    <row r="269">
      <c r="A269" t="str">
        <v>RAFAEL ALBERTO SUAREZ BAQUEDANO</v>
      </c>
      <c r="B269" t="e">
        <f>SUM(#REF!,#REF!)</f>
        <v>#REF!</v>
      </c>
      <c r="C269">
        <v>1</v>
      </c>
      <c r="D269">
        <v>24955.35</v>
      </c>
      <c r="E269">
        <v>0.5</v>
      </c>
      <c r="F269">
        <v>20719.03</v>
      </c>
      <c r="G269" t="e">
        <f>SUM(#REF!,#REF!)</f>
        <v>#REF!</v>
      </c>
    </row>
    <row r="270">
      <c r="A270" t="str">
        <v>MIRIAM ROCIO LOMELI CHAVEZ</v>
      </c>
      <c r="B270" t="e">
        <f>SUM(#REF!,#REF!)</f>
        <v>#REF!</v>
      </c>
      <c r="C270">
        <v>0</v>
      </c>
      <c r="D270">
        <v>0</v>
      </c>
      <c r="E270">
        <v>0.5</v>
      </c>
      <c r="F270">
        <v>33023.52</v>
      </c>
      <c r="G270" t="e">
        <f>SUM(#REF!,#REF!)</f>
        <v>#REF!</v>
      </c>
    </row>
    <row r="271">
      <c r="A271" t="str">
        <v>ROCIO YANETH OCHOA IBARRA</v>
      </c>
      <c r="B271" t="e">
        <f>SUM(#REF!,#REF!)</f>
        <v>#REF!</v>
      </c>
      <c r="C271">
        <v>2</v>
      </c>
      <c r="D271">
        <v>30410.72</v>
      </c>
      <c r="G271" t="e">
        <f>SUM(#REF!,#REF!)</f>
        <v>#REF!</v>
      </c>
    </row>
    <row r="272">
      <c r="A272" t="str">
        <v>MIREYA LIZETTE TORRES GARCIA</v>
      </c>
      <c r="B272" t="e">
        <f>SUM(#REF!,#REF!)</f>
        <v>#REF!</v>
      </c>
      <c r="C272">
        <v>1</v>
      </c>
      <c r="D272">
        <v>30116.11</v>
      </c>
      <c r="G272" t="e">
        <f>SUM(#REF!,#REF!)</f>
        <v>#REF!</v>
      </c>
    </row>
    <row r="273">
      <c r="A273" t="str">
        <v>LUIS GUILLERMO OLGUIN FERNANDEZ</v>
      </c>
      <c r="B273" t="e">
        <f>SUM(#REF!,#REF!)</f>
        <v>#REF!</v>
      </c>
      <c r="C273">
        <v>1</v>
      </c>
      <c r="D273">
        <v>29789.56</v>
      </c>
      <c r="G273" t="e">
        <f>SUM(#REF!,#REF!)</f>
        <v>#REF!</v>
      </c>
    </row>
    <row r="274">
      <c r="A274" t="str">
        <v>MARICELA ARREOLA LOPEZ</v>
      </c>
      <c r="B274" t="e">
        <f>SUM(#REF!,#REF!)</f>
        <v>#REF!</v>
      </c>
      <c r="C274">
        <v>1</v>
      </c>
      <c r="D274">
        <v>1663.72</v>
      </c>
      <c r="E274">
        <v>1</v>
      </c>
      <c r="F274">
        <v>22636.86</v>
      </c>
      <c r="G274" t="e">
        <f>SUM(#REF!,#REF!)</f>
        <v>#REF!</v>
      </c>
    </row>
    <row r="275">
      <c r="A275" t="str">
        <v>PAULINA RODRIGUEZ DE LA MORA</v>
      </c>
      <c r="B275" t="e">
        <f>SUM(#REF!,#REF!)</f>
        <v>#REF!</v>
      </c>
      <c r="E275">
        <v>0.5</v>
      </c>
      <c r="F275">
        <v>22633.68</v>
      </c>
      <c r="G275" t="e">
        <f>SUM(#REF!,#REF!)</f>
        <v>#REF!</v>
      </c>
    </row>
    <row r="276">
      <c r="A276" t="str">
        <v>ADRIANA ALEJANDRA JOYA MARTINEZ</v>
      </c>
      <c r="B276" t="e">
        <f>SUM(#REF!,#REF!)</f>
        <v>#REF!</v>
      </c>
      <c r="C276">
        <v>3</v>
      </c>
      <c r="D276">
        <v>19524.46</v>
      </c>
      <c r="G276" t="e">
        <f>SUM(#REF!,#REF!)</f>
        <v>#REF!</v>
      </c>
    </row>
    <row r="277">
      <c r="A277" t="str">
        <v>CLAUDIA VALERIA HERNANDEZ MACIAS</v>
      </c>
      <c r="B277" t="e">
        <f>SUM(#REF!,#REF!)</f>
        <v>#REF!</v>
      </c>
      <c r="C277">
        <v>1</v>
      </c>
      <c r="D277">
        <v>9884.27</v>
      </c>
      <c r="G277" t="e">
        <f>SUM(#REF!,#REF!)</f>
        <v>#REF!</v>
      </c>
    </row>
    <row r="278">
      <c r="A278" t="str">
        <v>MARIA JOSE GUZMAN ZAMORA</v>
      </c>
      <c r="B278" t="e">
        <f>SUM(#REF!,#REF!)</f>
        <v>#REF!</v>
      </c>
      <c r="C278">
        <v>2</v>
      </c>
      <c r="D278">
        <v>7898.38</v>
      </c>
      <c r="G278" t="e">
        <f>SUM(#REF!,#REF!)</f>
        <v>#REF!</v>
      </c>
    </row>
    <row r="279">
      <c r="A279" t="str">
        <v>SAMUEL Y JANET</v>
      </c>
      <c r="B279" t="e">
        <f>SUM(#REF!,#REF!)</f>
        <v>#REF!</v>
      </c>
      <c r="C279">
        <v>1</v>
      </c>
      <c r="D279">
        <v>1436.52</v>
      </c>
      <c r="E279">
        <v>0.5</v>
      </c>
      <c r="F279">
        <v>1262.54</v>
      </c>
      <c r="G279" t="e">
        <f>SUM(#REF!,#REF!)</f>
        <v>#REF!</v>
      </c>
    </row>
    <row r="280">
      <c r="A280" t="str">
        <v>JORGE Y LULI</v>
      </c>
      <c r="B280" t="e">
        <f>SUM(#REF!,#REF!)</f>
        <v>#REF!</v>
      </c>
      <c r="C280">
        <v>1</v>
      </c>
      <c r="D280">
        <v>2443.1</v>
      </c>
      <c r="G280" t="e">
        <f>SUM(#REF!,#REF!)</f>
        <v>#REF!</v>
      </c>
    </row>
    <row r="281">
      <c r="A281" t="str">
        <v>MARIA ELIZABETH LLAMAS LOPEZ</v>
      </c>
      <c r="B281" t="e">
        <f>SUM(#REF!,#REF!)</f>
        <v>#REF!</v>
      </c>
      <c r="C281">
        <v>1</v>
      </c>
      <c r="D281">
        <v>2418.98</v>
      </c>
      <c r="G281" t="e">
        <f>SUM(#REF!,#REF!)</f>
        <v>#REF!</v>
      </c>
    </row>
    <row r="282">
      <c r="A282" t="str">
        <v>LAURA DOLORES MONTAÐO MONTAÐO</v>
      </c>
      <c r="B282" t="e">
        <f>SUM(#REF!,#REF!)</f>
        <v>#REF!</v>
      </c>
      <c r="C282">
        <v>1</v>
      </c>
      <c r="D282">
        <v>1698.93</v>
      </c>
      <c r="G282" t="e">
        <f>SUM(#REF!,#REF!)</f>
        <v>#REF!</v>
      </c>
    </row>
    <row r="283">
      <c r="A283" t="str">
        <v>HANA SOFIA LOPEZ QUIÐONEZ</v>
      </c>
      <c r="B283" t="e">
        <f>SUM(#REF!,#REF!)</f>
        <v>#REF!</v>
      </c>
      <c r="C283">
        <v>1</v>
      </c>
      <c r="D283">
        <v>1432.94</v>
      </c>
      <c r="G283" t="e">
        <f>SUM(#REF!,#REF!)</f>
        <v>#REF!</v>
      </c>
    </row>
    <row r="284">
      <c r="A284" t="str">
        <v>JIME Y VALE</v>
      </c>
      <c r="B284" t="e">
        <f>SUM(#REF!,#REF!)</f>
        <v>#REF!</v>
      </c>
      <c r="C284">
        <v>0</v>
      </c>
      <c r="D284">
        <v>0</v>
      </c>
      <c r="G284" t="e">
        <f>SUM(#REF!,#REF!)</f>
        <v>#REF!</v>
      </c>
    </row>
    <row r="285">
      <c r="A285" t="str">
        <v>LILIANA IVETTE CASTILLO SANCHEZ</v>
      </c>
      <c r="B285" t="e">
        <f>SUM(#REF!,#REF!)</f>
        <v>#REF!</v>
      </c>
      <c r="C285">
        <v>0</v>
      </c>
      <c r="D285">
        <v>0</v>
      </c>
      <c r="G285" t="e">
        <f>SUM(#REF!,#REF!)</f>
        <v>#REF!</v>
      </c>
    </row>
    <row r="286">
      <c r="A286" t="str">
        <v>PAULINA LIZBETH SOTO MUÐIZ</v>
      </c>
      <c r="B286" t="e">
        <f>SUM(#REF!,#REF!)</f>
        <v>#REF!</v>
      </c>
      <c r="C286">
        <v>0</v>
      </c>
      <c r="D286">
        <v>0</v>
      </c>
      <c r="G286" t="e">
        <f>SUM(#REF!,#REF!)</f>
        <v>#REF!</v>
      </c>
    </row>
    <row r="287">
      <c r="A287" t="str">
        <v>MARIA TERESA ASENCIO LOZANO</v>
      </c>
      <c r="B287" t="e">
        <f>SUM(#REF!,#REF!)</f>
        <v>#REF!</v>
      </c>
      <c r="C287">
        <v>0</v>
      </c>
      <c r="D287">
        <v>0</v>
      </c>
      <c r="G287" t="e">
        <f>SUM(#REF!,#REF!)</f>
        <v>#REF!</v>
      </c>
    </row>
    <row r="288">
      <c r="A288" t="str">
        <v>ENRIQUE ADRIAN GUTIERREZ JIMENEZ</v>
      </c>
      <c r="B288" t="e">
        <f>SUM(#REF!,#REF!)</f>
        <v>#REF!</v>
      </c>
      <c r="C288">
        <v>0</v>
      </c>
      <c r="D288">
        <v>0</v>
      </c>
      <c r="G288" t="e">
        <f>SUM(#REF!,#REF!)</f>
        <v>#REF!</v>
      </c>
    </row>
    <row r="289">
      <c r="A289" t="str">
        <v>ISAI ANTONIO ROJAS MARTINEZ</v>
      </c>
      <c r="B289" t="e">
        <f>SUM(#REF!,#REF!)</f>
        <v>#REF!</v>
      </c>
      <c r="C289">
        <v>0</v>
      </c>
      <c r="D289">
        <v>0</v>
      </c>
      <c r="G289" t="e">
        <f>SUM(#REF!,#REF!)</f>
        <v>#REF!</v>
      </c>
    </row>
    <row r="290">
      <c r="A290" t="str">
        <v>ANGELICA YADIRA ROMERO JAUREGUI</v>
      </c>
      <c r="B290" t="e">
        <f>SUM(#REF!,#REF!)</f>
        <v>#REF!</v>
      </c>
      <c r="C290">
        <v>0</v>
      </c>
      <c r="D290">
        <v>0</v>
      </c>
      <c r="G290" t="e">
        <f>SUM(#REF!,#REF!)</f>
        <v>#REF!</v>
      </c>
    </row>
    <row r="291">
      <c r="A291" t="str">
        <v>ROCIO IVON RUIZ GARCIA</v>
      </c>
      <c r="B291" t="e">
        <f>SUM(#REF!,#REF!)</f>
        <v>#REF!</v>
      </c>
      <c r="C291">
        <v>0</v>
      </c>
      <c r="D291">
        <v>0</v>
      </c>
      <c r="G291" t="e">
        <f>SUM(#REF!,#REF!)</f>
        <v>#REF!</v>
      </c>
    </row>
    <row r="292">
      <c r="A292" t="str">
        <v>ANDREA CELESTE IBAÐEZ RINCON</v>
      </c>
      <c r="B292" t="e">
        <f>SUM(#REF!,#REF!)</f>
        <v>#REF!</v>
      </c>
      <c r="C292">
        <v>0</v>
      </c>
      <c r="D292">
        <v>0</v>
      </c>
      <c r="G292" t="e">
        <f>SUM(#REF!,#REF!)</f>
        <v>#REF!</v>
      </c>
    </row>
    <row r="293">
      <c r="A293" t="str">
        <v>JOCELYN URIBE VARGAS</v>
      </c>
      <c r="B293" t="e">
        <f>SUM(#REF!,#REF!)</f>
        <v>#REF!</v>
      </c>
      <c r="C293">
        <v>0</v>
      </c>
      <c r="D293">
        <v>0</v>
      </c>
      <c r="G293" t="e">
        <f>SUM(#REF!,#REF!)</f>
        <v>#REF!</v>
      </c>
    </row>
    <row r="294">
      <c r="A294" t="str">
        <v>FERNANDO JAVIER DAVALOS FLORES</v>
      </c>
      <c r="B294" t="e">
        <f>SUM(#REF!,#REF!)</f>
        <v>#REF!</v>
      </c>
      <c r="C294">
        <v>0</v>
      </c>
      <c r="D294">
        <v>0</v>
      </c>
      <c r="G294" t="e">
        <f>SUM(#REF!,#REF!)</f>
        <v>#REF!</v>
      </c>
    </row>
    <row r="295">
      <c r="A295" t="str">
        <v>LUIS FERNANDO HERNANDEZ AYALA</v>
      </c>
      <c r="B295" t="e">
        <f>SUM(#REF!,#REF!)</f>
        <v>#REF!</v>
      </c>
      <c r="C295">
        <v>0</v>
      </c>
      <c r="D295">
        <v>0</v>
      </c>
      <c r="G295" t="e">
        <f>SUM(#REF!,#REF!)</f>
        <v>#REF!</v>
      </c>
    </row>
    <row r="296">
      <c r="A296" t="str">
        <v>Total</v>
      </c>
      <c r="B296" t="e">
        <f>SUM(#REF!)</f>
        <v>#REF!</v>
      </c>
      <c r="C296" t="e">
        <f>SUM(#REF!)</f>
        <v>#REF!</v>
      </c>
      <c r="D296" t="e">
        <f>SUM(#REF!)</f>
        <v>#REF!</v>
      </c>
      <c r="E296" t="e">
        <f>SUM(#REF!)</f>
        <v>#REF!</v>
      </c>
      <c r="F296" t="e">
        <f>SUM(#REF!)</f>
        <v>#REF!</v>
      </c>
      <c r="G296" t="e">
        <f>SUM(#REF!)</f>
        <v>#REF!</v>
      </c>
    </row>
    <row r="302">
      <c r="A302" t="str">
        <v>Ventas mensuales AGOSTO</v>
      </c>
    </row>
    <row r="303">
      <c r="A303" t="str">
        <v>Asesor</v>
      </c>
      <c r="B303" t="str">
        <v xml:space="preserve">Pólizas </v>
      </c>
      <c r="C303" t="str">
        <v>Vida</v>
      </c>
      <c r="D303" t="str">
        <v>Prima Recibo vida</v>
      </c>
      <c r="E303" t="str">
        <v>Gmm</v>
      </c>
      <c r="F303" t="str">
        <v>Prima Recibo gmm</v>
      </c>
      <c r="G303" t="str">
        <v>Prima total</v>
      </c>
    </row>
    <row r="304">
      <c r="A304" t="str">
        <v>JOSE RENE DE ALBA MORALES</v>
      </c>
      <c r="B304" t="e">
        <f>SUM(#REF!,#REF!)</f>
        <v>#REF!</v>
      </c>
      <c r="C304">
        <v>1</v>
      </c>
      <c r="D304">
        <v>176335.9</v>
      </c>
      <c r="G304" t="e">
        <f>SUM(#REF!,#REF!)</f>
        <v>#REF!</v>
      </c>
      <c r="I304" t="str">
        <v>CAMPEONES:</v>
      </c>
    </row>
    <row r="305">
      <c r="A305" t="str">
        <v>MONI Y CARLOS</v>
      </c>
      <c r="B305" t="e">
        <f>SUM(#REF!,#REF!)</f>
        <v>#REF!</v>
      </c>
      <c r="C305">
        <v>3</v>
      </c>
      <c r="D305">
        <v>8194.67</v>
      </c>
      <c r="E305">
        <v>2.5</v>
      </c>
      <c r="F305">
        <v>128487.56</v>
      </c>
      <c r="G305" t="e">
        <f>SUM(#REF!,#REF!)</f>
        <v>#REF!</v>
      </c>
      <c r="I305" t="str">
        <v>12 MESES PRIMAS</v>
      </c>
      <c r="K305" t="str">
        <v>RENE</v>
      </c>
    </row>
    <row r="306">
      <c r="A306" t="str">
        <v>DESIREE DE LA PEÐA OROZCO</v>
      </c>
      <c r="B306" t="e">
        <f>SUM(#REF!,#REF!)</f>
        <v>#REF!</v>
      </c>
      <c r="C306">
        <v>4</v>
      </c>
      <c r="D306">
        <v>129982.73</v>
      </c>
      <c r="G306" t="e">
        <f>SUM(#REF!,#REF!)</f>
        <v>#REF!</v>
      </c>
      <c r="I306" t="str">
        <v>12 MESES POLIZAS</v>
      </c>
      <c r="K306" t="str">
        <v>PATY</v>
      </c>
    </row>
    <row r="307">
      <c r="A307" t="str">
        <v>DARINKA UREÐA CASILLAS</v>
      </c>
      <c r="B307" t="e">
        <f>SUM(#REF!,#REF!)</f>
        <v>#REF!</v>
      </c>
      <c r="C307">
        <v>1</v>
      </c>
      <c r="D307">
        <v>24281.47</v>
      </c>
      <c r="E307">
        <v>1</v>
      </c>
      <c r="F307">
        <v>35269.29</v>
      </c>
      <c r="G307" t="e">
        <f>SUM(#REF!,#REF!)</f>
        <v>#REF!</v>
      </c>
      <c r="I307" t="str">
        <v>NVA ORG PRIMA</v>
      </c>
      <c r="K307" t="str">
        <v>ISAI</v>
      </c>
    </row>
    <row r="308">
      <c r="A308" t="str">
        <v>ISAI ANTONIO ROJAS MARTINEZ</v>
      </c>
      <c r="B308" t="e">
        <f>SUM(#REF!,#REF!)</f>
        <v>#REF!</v>
      </c>
      <c r="C308">
        <v>1</v>
      </c>
      <c r="D308">
        <v>56403.44</v>
      </c>
      <c r="G308" t="e">
        <f>SUM(#REF!,#REF!)</f>
        <v>#REF!</v>
      </c>
      <c r="I308" t="str">
        <v>NVA ORG POLIZAS</v>
      </c>
      <c r="K308" t="str">
        <v>ROGER</v>
      </c>
    </row>
    <row r="309">
      <c r="A309" t="str">
        <v>JOSE ALBERTO CORONADO ROSAS</v>
      </c>
      <c r="B309" t="e">
        <f>SUM(#REF!,#REF!)</f>
        <v>#REF!</v>
      </c>
      <c r="C309">
        <v>2</v>
      </c>
      <c r="D309">
        <v>45080.62</v>
      </c>
      <c r="G309" t="e">
        <f>SUM(#REF!,#REF!)</f>
        <v>#REF!</v>
      </c>
      <c r="I309" t="str">
        <v>CONSOLIDADO PRIMA</v>
      </c>
      <c r="K309" t="str">
        <v>MONI Y CARLOS</v>
      </c>
    </row>
    <row r="310">
      <c r="A310" t="str">
        <v>JIME Y VALE</v>
      </c>
      <c r="B310" t="e">
        <f>SUM(#REF!,#REF!)</f>
        <v>#REF!</v>
      </c>
      <c r="C310">
        <v>1</v>
      </c>
      <c r="D310">
        <v>42392.09</v>
      </c>
      <c r="G310" t="e">
        <f>SUM(#REF!,#REF!)</f>
        <v>#REF!</v>
      </c>
      <c r="I310" t="str">
        <v>CONSOLIDADO POLIZAS</v>
      </c>
      <c r="K310" t="str">
        <v>MONI Y CARLOS</v>
      </c>
    </row>
    <row r="311">
      <c r="A311" t="str">
        <v>RAFAEL ALBERTO SUAREZ BAQUEDANO</v>
      </c>
      <c r="B311" t="e">
        <f>SUM(#REF!,#REF!)</f>
        <v>#REF!</v>
      </c>
      <c r="C311">
        <v>1</v>
      </c>
      <c r="D311">
        <v>2437.37</v>
      </c>
      <c r="E311">
        <v>1</v>
      </c>
      <c r="F311">
        <v>23909.1</v>
      </c>
      <c r="G311" t="e">
        <f>SUM(#REF!,#REF!)</f>
        <v>#REF!</v>
      </c>
      <c r="I311" t="str">
        <v>GMM PRIMA</v>
      </c>
      <c r="K311" t="str">
        <v>MONI Y CARLOS</v>
      </c>
    </row>
    <row r="312">
      <c r="A312" t="str">
        <v>HANA SOFIA LOPEZ QUIÐONEZ</v>
      </c>
      <c r="B312" t="e">
        <f>SUM(#REF!,#REF!)</f>
        <v>#REF!</v>
      </c>
      <c r="C312">
        <v>0</v>
      </c>
      <c r="D312">
        <v>0</v>
      </c>
      <c r="E312">
        <v>0.5</v>
      </c>
      <c r="F312">
        <v>23975.52</v>
      </c>
      <c r="G312" t="e">
        <f>SUM(#REF!,#REF!)</f>
        <v>#REF!</v>
      </c>
      <c r="I312" t="str">
        <v>GMM POLIZAS</v>
      </c>
      <c r="K312" t="str">
        <v>MONI Y CARLOS</v>
      </c>
    </row>
    <row r="313">
      <c r="A313" t="str">
        <v>LUIS GUILLERMO OLGUIN FERNANDEZ</v>
      </c>
      <c r="B313" t="e">
        <f>SUM(#REF!,#REF!)</f>
        <v>#REF!</v>
      </c>
      <c r="E313">
        <v>0.5</v>
      </c>
      <c r="F313">
        <v>23815.74</v>
      </c>
      <c r="G313" t="e">
        <f>SUM(#REF!,#REF!)</f>
        <v>#REF!</v>
      </c>
    </row>
    <row r="314">
      <c r="A314" t="str">
        <v>KAREN MUÐOZ GARCIA</v>
      </c>
      <c r="B314" t="e">
        <f>SUM(#REF!,#REF!)</f>
        <v>#REF!</v>
      </c>
      <c r="E314">
        <v>0.5</v>
      </c>
      <c r="F314">
        <v>21775.64</v>
      </c>
      <c r="G314" t="e">
        <f>SUM(#REF!,#REF!)</f>
        <v>#REF!</v>
      </c>
    </row>
    <row r="315">
      <c r="A315" t="str">
        <v>ANA LAURA CONTRERAS IÐIGUEZ</v>
      </c>
      <c r="B315" t="e">
        <f>SUM(#REF!,#REF!)</f>
        <v>#REF!</v>
      </c>
      <c r="C315">
        <v>1</v>
      </c>
      <c r="D315">
        <v>19468.21</v>
      </c>
      <c r="G315" t="e">
        <f>SUM(#REF!,#REF!)</f>
        <v>#REF!</v>
      </c>
    </row>
    <row r="316">
      <c r="A316" t="str">
        <v>BRUNO BRAULIO MACIAS ALVAREZ</v>
      </c>
      <c r="B316" t="e">
        <f>SUM(#REF!,#REF!)</f>
        <v>#REF!</v>
      </c>
      <c r="C316">
        <v>0</v>
      </c>
      <c r="D316">
        <v>0</v>
      </c>
      <c r="E316">
        <v>1</v>
      </c>
      <c r="F316">
        <v>17786.01</v>
      </c>
      <c r="G316" t="e">
        <f>SUM(#REF!,#REF!)</f>
        <v>#REF!</v>
      </c>
    </row>
    <row r="317">
      <c r="A317" t="str">
        <v>ROGELIO TORRES ORTIZ</v>
      </c>
      <c r="B317" t="e">
        <f>SUM(#REF!,#REF!)</f>
        <v>#REF!</v>
      </c>
      <c r="C317">
        <v>3</v>
      </c>
      <c r="D317">
        <v>16032.5</v>
      </c>
      <c r="G317" t="e">
        <f>SUM(#REF!,#REF!)</f>
        <v>#REF!</v>
      </c>
    </row>
    <row r="318">
      <c r="A318" t="str">
        <v>GABRIELA CASTAÐEDA SALAZAR</v>
      </c>
      <c r="B318" t="e">
        <f>SUM(#REF!,#REF!)</f>
        <v>#REF!</v>
      </c>
      <c r="C318">
        <v>0</v>
      </c>
      <c r="D318">
        <v>0</v>
      </c>
      <c r="E318">
        <v>0.5</v>
      </c>
      <c r="F318">
        <v>15180.1</v>
      </c>
      <c r="G318" t="e">
        <f>SUM(#REF!,#REF!)</f>
        <v>#REF!</v>
      </c>
    </row>
    <row r="319">
      <c r="A319" t="str">
        <v>MARCO ANTONIO HERNANDEZ RAMIREZ</v>
      </c>
      <c r="B319" t="e">
        <f>SUM(#REF!,#REF!)</f>
        <v>#REF!</v>
      </c>
      <c r="E319">
        <v>0.5</v>
      </c>
      <c r="F319">
        <v>14297.8</v>
      </c>
      <c r="G319" t="e">
        <f>SUM(#REF!,#REF!)</f>
        <v>#REF!</v>
      </c>
    </row>
    <row r="320">
      <c r="A320" t="str">
        <v>MARIA JOSE GUZMAN ZAMORA</v>
      </c>
      <c r="B320" t="e">
        <f>SUM(#REF!,#REF!)</f>
        <v>#REF!</v>
      </c>
      <c r="C320">
        <v>0</v>
      </c>
      <c r="D320">
        <v>0</v>
      </c>
      <c r="E320">
        <v>0.5</v>
      </c>
      <c r="F320">
        <v>14039.92</v>
      </c>
      <c r="G320" t="e">
        <f>SUM(#REF!,#REF!)</f>
        <v>#REF!</v>
      </c>
    </row>
    <row r="321">
      <c r="A321" t="str">
        <v>LILIANA IVETTE CASTILLO SANCHEZ</v>
      </c>
      <c r="B321" t="e">
        <f>SUM(#REF!,#REF!)</f>
        <v>#REF!</v>
      </c>
      <c r="C321">
        <v>1</v>
      </c>
      <c r="D321">
        <v>10598.48</v>
      </c>
      <c r="G321" t="e">
        <f>SUM(#REF!,#REF!)</f>
        <v>#REF!</v>
      </c>
    </row>
    <row r="322">
      <c r="A322" t="str">
        <v>VELIA PATRICIA BERNAL RAMOS</v>
      </c>
      <c r="B322" t="e">
        <f>SUM(#REF!,#REF!)</f>
        <v>#REF!</v>
      </c>
      <c r="C322">
        <v>2</v>
      </c>
      <c r="D322">
        <v>9496.73</v>
      </c>
      <c r="G322" t="e">
        <f>SUM(#REF!,#REF!)</f>
        <v>#REF!</v>
      </c>
    </row>
    <row r="323">
      <c r="A323" t="str">
        <v>JORGE Y LULY</v>
      </c>
      <c r="B323" t="e">
        <f>SUM(#REF!,#REF!)</f>
        <v>#REF!</v>
      </c>
      <c r="C323">
        <v>1</v>
      </c>
      <c r="D323">
        <v>1606.73</v>
      </c>
      <c r="E323">
        <v>0.5</v>
      </c>
      <c r="F323">
        <v>4200.31</v>
      </c>
      <c r="G323" t="e">
        <f>SUM(#REF!,#REF!)</f>
        <v>#REF!</v>
      </c>
    </row>
    <row r="324">
      <c r="A324" t="str">
        <v>MARICELA ARREOLA LOPEZ</v>
      </c>
      <c r="B324" t="e">
        <f>SUM(#REF!,#REF!)</f>
        <v>#REF!</v>
      </c>
      <c r="C324">
        <v>1</v>
      </c>
      <c r="D324">
        <v>5485</v>
      </c>
      <c r="G324" t="e">
        <f>SUM(#REF!,#REF!)</f>
        <v>#REF!</v>
      </c>
    </row>
    <row r="325">
      <c r="A325" t="str">
        <v>SANDRA CRISTINA PEDROZA CRUZ</v>
      </c>
      <c r="B325" t="e">
        <f>SUM(#REF!,#REF!)</f>
        <v>#REF!</v>
      </c>
      <c r="C325">
        <v>1</v>
      </c>
      <c r="D325">
        <v>4935.19</v>
      </c>
      <c r="G325" t="e">
        <f>SUM(#REF!,#REF!)</f>
        <v>#REF!</v>
      </c>
    </row>
    <row r="326">
      <c r="A326" t="str">
        <v>ROCIO YANETH OCHOA IBARRA</v>
      </c>
      <c r="B326" t="e">
        <f>SUM(#REF!,#REF!)</f>
        <v>#REF!</v>
      </c>
      <c r="C326">
        <v>1</v>
      </c>
      <c r="D326">
        <v>2324.74</v>
      </c>
      <c r="G326" t="e">
        <f>SUM(#REF!,#REF!)</f>
        <v>#REF!</v>
      </c>
    </row>
    <row r="327">
      <c r="A327" t="str">
        <v>MIREYA LIZETTE TORRES GARCIA</v>
      </c>
      <c r="B327" t="e">
        <f>SUM(#REF!,#REF!)</f>
        <v>#REF!</v>
      </c>
      <c r="C327">
        <v>1</v>
      </c>
      <c r="D327">
        <v>1775.96</v>
      </c>
      <c r="G327" t="e">
        <f>SUM(#REF!,#REF!)</f>
        <v>#REF!</v>
      </c>
    </row>
    <row r="328">
      <c r="A328" t="str">
        <v>JULIANA RIASCOS VALENCIA</v>
      </c>
      <c r="B328" t="e">
        <f>SUM(#REF!,#REF!)</f>
        <v>#REF!</v>
      </c>
      <c r="C328">
        <v>1</v>
      </c>
      <c r="D328">
        <v>1686.99</v>
      </c>
      <c r="G328" t="e">
        <f>SUM(#REF!,#REF!)</f>
        <v>#REF!</v>
      </c>
    </row>
    <row r="329">
      <c r="A329" t="str">
        <v>ENRIQUE ADRIAN GUTIERREZ JIMENEZ</v>
      </c>
      <c r="B329" t="e">
        <f>SUM(#REF!,#REF!)</f>
        <v>#REF!</v>
      </c>
      <c r="C329">
        <v>0</v>
      </c>
      <c r="D329">
        <v>0</v>
      </c>
      <c r="E329">
        <v>0.5</v>
      </c>
      <c r="F329">
        <v>1626.61</v>
      </c>
      <c r="G329" t="e">
        <f>SUM(#REF!,#REF!)</f>
        <v>#REF!</v>
      </c>
    </row>
    <row r="330">
      <c r="A330" t="str">
        <v>ADRIANA ALEJANDRA JOYA MARTINEZ</v>
      </c>
      <c r="B330" t="e">
        <f>SUM(#REF!,#REF!)</f>
        <v>#REF!</v>
      </c>
      <c r="C330">
        <v>1</v>
      </c>
      <c r="D330">
        <v>1471.81</v>
      </c>
      <c r="G330" t="e">
        <f>SUM(#REF!,#REF!)</f>
        <v>#REF!</v>
      </c>
    </row>
    <row r="331">
      <c r="A331" t="str">
        <v>SAMUEL Y JANET</v>
      </c>
      <c r="B331" t="e">
        <f>SUM(#REF!,#REF!)</f>
        <v>#REF!</v>
      </c>
      <c r="C331">
        <v>1</v>
      </c>
      <c r="D331">
        <v>1462.59</v>
      </c>
      <c r="G331" t="e">
        <f>SUM(#REF!,#REF!)</f>
        <v>#REF!</v>
      </c>
    </row>
    <row r="332">
      <c r="A332" t="str">
        <v>MARIA ELIZABETH LLAMAS LOPEZ</v>
      </c>
      <c r="B332" t="e">
        <f>SUM(#REF!,#REF!)</f>
        <v>#REF!</v>
      </c>
      <c r="C332">
        <v>0</v>
      </c>
      <c r="D332">
        <v>0</v>
      </c>
      <c r="G332" t="e">
        <f>SUM(#REF!,#REF!)</f>
        <v>#REF!</v>
      </c>
    </row>
    <row r="333">
      <c r="A333" t="str">
        <v>ANAIS LUA MORENO</v>
      </c>
      <c r="B333" t="e">
        <f>SUM(#REF!,#REF!)</f>
        <v>#REF!</v>
      </c>
      <c r="C333">
        <v>0</v>
      </c>
      <c r="D333">
        <v>0</v>
      </c>
      <c r="G333" t="e">
        <f>SUM(#REF!,#REF!)</f>
        <v>#REF!</v>
      </c>
    </row>
    <row r="334">
      <c r="A334" t="str">
        <v>ANGELICA YADIRA ROMERO JAUREGUI</v>
      </c>
      <c r="B334" t="e">
        <f>SUM(#REF!,#REF!)</f>
        <v>#REF!</v>
      </c>
      <c r="C334">
        <v>0</v>
      </c>
      <c r="D334">
        <v>0</v>
      </c>
      <c r="G334" t="e">
        <f>SUM(#REF!,#REF!)</f>
        <v>#REF!</v>
      </c>
    </row>
    <row r="335">
      <c r="A335" t="str">
        <v>JORGE ANTONIO LUNA LARA</v>
      </c>
      <c r="B335" t="e">
        <f>SUM(#REF!,#REF!)</f>
        <v>#REF!</v>
      </c>
      <c r="C335">
        <v>0</v>
      </c>
      <c r="D335">
        <v>0</v>
      </c>
      <c r="G335" t="e">
        <f>SUM(#REF!,#REF!)</f>
        <v>#REF!</v>
      </c>
    </row>
    <row r="336">
      <c r="A336" t="str">
        <v>CLAUDIA VALERIA HERNANDEZ MACIAS</v>
      </c>
      <c r="B336" t="e">
        <f>SUM(#REF!,#REF!)</f>
        <v>#REF!</v>
      </c>
      <c r="C336">
        <v>0</v>
      </c>
      <c r="D336">
        <v>0</v>
      </c>
      <c r="G336" t="e">
        <f>SUM(#REF!,#REF!)</f>
        <v>#REF!</v>
      </c>
    </row>
    <row r="337">
      <c r="A337" t="str">
        <v>PAULINA LIZBETH SOTO MUÐIZ</v>
      </c>
      <c r="B337" t="e">
        <f>SUM(#REF!,#REF!)</f>
        <v>#REF!</v>
      </c>
      <c r="C337">
        <v>0</v>
      </c>
      <c r="D337">
        <v>0</v>
      </c>
      <c r="G337" t="e">
        <f>SUM(#REF!,#REF!)</f>
        <v>#REF!</v>
      </c>
    </row>
    <row r="338">
      <c r="A338" t="str">
        <v>LAURA DOLORES MONTAÐO MONTAÐO</v>
      </c>
      <c r="B338" t="e">
        <f>SUM(#REF!,#REF!)</f>
        <v>#REF!</v>
      </c>
      <c r="C338">
        <v>0</v>
      </c>
      <c r="D338">
        <v>0</v>
      </c>
      <c r="G338" t="e">
        <f>SUM(#REF!,#REF!)</f>
        <v>#REF!</v>
      </c>
    </row>
    <row r="339">
      <c r="A339" t="str">
        <v>MIRIAM ROCIO LOMELI CHAVEZ</v>
      </c>
      <c r="B339" t="e">
        <f>SUM(#REF!,#REF!)</f>
        <v>#REF!</v>
      </c>
      <c r="C339">
        <v>0</v>
      </c>
      <c r="D339">
        <v>0</v>
      </c>
      <c r="G339" t="e">
        <f>SUM(#REF!,#REF!)</f>
        <v>#REF!</v>
      </c>
    </row>
    <row r="340">
      <c r="A340" t="str">
        <v>ROCIO IVON RUIZ GARCIA</v>
      </c>
      <c r="B340" t="e">
        <f>SUM(#REF!,#REF!)</f>
        <v>#REF!</v>
      </c>
      <c r="C340">
        <v>0</v>
      </c>
      <c r="D340">
        <v>0</v>
      </c>
      <c r="G340" t="e">
        <f>SUM(#REF!,#REF!)</f>
        <v>#REF!</v>
      </c>
    </row>
    <row r="341">
      <c r="A341" t="str">
        <v>MARIA TERESA ASENCIO LOZANO</v>
      </c>
      <c r="B341" t="e">
        <f>SUM(#REF!,#REF!)</f>
        <v>#REF!</v>
      </c>
      <c r="C341">
        <v>0</v>
      </c>
      <c r="D341">
        <v>0</v>
      </c>
      <c r="G341" t="e">
        <f>SUM(#REF!,#REF!)</f>
        <v>#REF!</v>
      </c>
    </row>
    <row r="342">
      <c r="A342" t="str">
        <v>JOCELYN URIBE VARGAS</v>
      </c>
      <c r="B342" t="e">
        <f>SUM(#REF!,#REF!)</f>
        <v>#REF!</v>
      </c>
      <c r="C342">
        <v>0</v>
      </c>
      <c r="D342">
        <v>0</v>
      </c>
      <c r="G342" t="e">
        <f>SUM(#REF!,#REF!)</f>
        <v>#REF!</v>
      </c>
    </row>
    <row r="343">
      <c r="A343" t="str">
        <v>EVELYN CAROLINA VENEGAS IÐIGUEZ</v>
      </c>
      <c r="B343" t="e">
        <f>SUM(#REF!,#REF!)</f>
        <v>#REF!</v>
      </c>
      <c r="C343">
        <v>0</v>
      </c>
      <c r="D343">
        <v>0</v>
      </c>
      <c r="G343" t="e">
        <f>SUM(#REF!,#REF!)</f>
        <v>#REF!</v>
      </c>
    </row>
    <row r="344">
      <c r="A344" t="str">
        <v>ANDREA CELESTE IBAÐEZ RINCON</v>
      </c>
      <c r="B344" t="e">
        <f>SUM(#REF!,#REF!)</f>
        <v>#REF!</v>
      </c>
      <c r="C344">
        <v>0</v>
      </c>
      <c r="D344">
        <v>0</v>
      </c>
      <c r="G344" t="e">
        <f>SUM(#REF!,#REF!)</f>
        <v>#REF!</v>
      </c>
    </row>
    <row r="345">
      <c r="A345" t="str">
        <v>MARIA FERNANDA CARLOS VAZQUEZ</v>
      </c>
      <c r="B345" t="e">
        <f>SUM(#REF!,#REF!)</f>
        <v>#REF!</v>
      </c>
      <c r="C345">
        <v>0</v>
      </c>
      <c r="D345">
        <v>0</v>
      </c>
      <c r="G345" t="e">
        <f>SUM(#REF!,#REF!)</f>
        <v>#REF!</v>
      </c>
    </row>
    <row r="346">
      <c r="A346" t="str">
        <v>LUIS FERNANDO HERNANDEZ AYALA</v>
      </c>
      <c r="B346" t="e">
        <f>SUM(#REF!,#REF!)</f>
        <v>#REF!</v>
      </c>
      <c r="C346">
        <v>0</v>
      </c>
      <c r="D346">
        <v>0</v>
      </c>
      <c r="G346" t="e">
        <f>SUM(#REF!,#REF!)</f>
        <v>#REF!</v>
      </c>
    </row>
    <row r="347">
      <c r="A347" t="str">
        <v>ANGELICA REYES CERON</v>
      </c>
      <c r="B347" t="e">
        <f>SUM(#REF!,#REF!)</f>
        <v>#REF!</v>
      </c>
      <c r="C347">
        <v>0</v>
      </c>
      <c r="D347">
        <v>0</v>
      </c>
      <c r="G347" t="e">
        <f>SUM(#REF!,#REF!)</f>
        <v>#REF!</v>
      </c>
    </row>
    <row r="348">
      <c r="A348" t="str">
        <v>Total</v>
      </c>
      <c r="B348" t="e">
        <f>SUM(#REF!)</f>
        <v>#REF!</v>
      </c>
      <c r="C348" t="e">
        <f>SUM(#REF!)</f>
        <v>#REF!</v>
      </c>
      <c r="D348" t="e">
        <f>SUM(#REF!)</f>
        <v>#REF!</v>
      </c>
      <c r="E348" t="e">
        <f>SUM(#REF!)</f>
        <v>#REF!</v>
      </c>
      <c r="F348" t="e">
        <f>SUM(#REF!)</f>
        <v>#REF!</v>
      </c>
      <c r="G348" t="e">
        <f>SUM(#REF!)</f>
        <v>#REF!</v>
      </c>
    </row>
    <row r="353">
      <c r="A353" t="str">
        <v>Ventas mensuales SEPTIEMBRE</v>
      </c>
    </row>
    <row r="354">
      <c r="A354" t="str">
        <v>Asesor</v>
      </c>
      <c r="B354" t="str">
        <v xml:space="preserve">Pólizas </v>
      </c>
      <c r="C354" t="str">
        <v>Vida</v>
      </c>
      <c r="D354" t="str">
        <v>Prima Recibo vida</v>
      </c>
      <c r="E354" t="str">
        <v>Gmm</v>
      </c>
      <c r="F354" t="str">
        <v>Prima Recibo gmm</v>
      </c>
      <c r="G354" t="str">
        <v>Prima total</v>
      </c>
    </row>
    <row r="355">
      <c r="A355" t="str">
        <v>MONI Y CARLOS</v>
      </c>
      <c r="B355" t="e">
        <f>SUM(#REF!,#REF!)</f>
        <v>#REF!</v>
      </c>
      <c r="C355">
        <v>4</v>
      </c>
      <c r="D355">
        <v>410410.29</v>
      </c>
      <c r="E355">
        <v>1</v>
      </c>
      <c r="F355">
        <v>69329.61</v>
      </c>
      <c r="G355" t="e">
        <f>SUM(#REF!,#REF!)</f>
        <v>#REF!</v>
      </c>
      <c r="I355" t="str">
        <v>CAMPEONES:</v>
      </c>
    </row>
    <row r="356">
      <c r="A356" t="str">
        <v>JIME Y VALE</v>
      </c>
      <c r="B356" t="e">
        <f>SUM(#REF!,#REF!)</f>
        <v>#REF!</v>
      </c>
      <c r="C356">
        <v>6</v>
      </c>
      <c r="D356">
        <v>94162.54</v>
      </c>
      <c r="E356">
        <v>0.5</v>
      </c>
      <c r="F356">
        <v>30870.21</v>
      </c>
      <c r="G356" t="e">
        <f>SUM(#REF!,#REF!)</f>
        <v>#REF!</v>
      </c>
      <c r="I356" t="str">
        <v>12 MESES PRIMAS</v>
      </c>
      <c r="K356" t="str">
        <v>bruno</v>
      </c>
    </row>
    <row r="357">
      <c r="A357" t="str">
        <v>BRUNO BRAULIO MACIAS ALVAREZ</v>
      </c>
      <c r="B357" t="e">
        <f>SUM(#REF!,#REF!)</f>
        <v>#REF!</v>
      </c>
      <c r="C357">
        <v>0</v>
      </c>
      <c r="D357">
        <v>0</v>
      </c>
      <c r="E357">
        <v>1</v>
      </c>
      <c r="F357">
        <v>113285.14</v>
      </c>
      <c r="G357" t="e">
        <f>SUM(#REF!,#REF!)</f>
        <v>#REF!</v>
      </c>
      <c r="I357" t="str">
        <v>12 MESES POLIZAS</v>
      </c>
      <c r="K357" t="str">
        <v>hana</v>
      </c>
    </row>
    <row r="358">
      <c r="A358" t="str">
        <v>ANA VERONICA GONZALEZ GAYTAN</v>
      </c>
      <c r="B358" t="e">
        <f>SUM(#REF!,#REF!)</f>
        <v>#REF!</v>
      </c>
      <c r="C358">
        <v>2</v>
      </c>
      <c r="D358">
        <v>90671.22</v>
      </c>
      <c r="G358" t="e">
        <f>SUM(#REF!,#REF!)</f>
        <v>#REF!</v>
      </c>
      <c r="I358" t="str">
        <v>NVA ORG PRIMA</v>
      </c>
      <c r="K358" t="str">
        <v>jime y vale</v>
      </c>
    </row>
    <row r="359">
      <c r="A359" t="str">
        <v>JULIANA RIASCOS VALENCIA</v>
      </c>
      <c r="B359" t="e">
        <f>SUM(#REF!,#REF!)</f>
        <v>#REF!</v>
      </c>
      <c r="C359">
        <v>3</v>
      </c>
      <c r="D359">
        <v>52926.19</v>
      </c>
      <c r="E359">
        <v>0.5</v>
      </c>
      <c r="F359">
        <v>19962.11</v>
      </c>
      <c r="G359" t="e">
        <f>SUM(#REF!,#REF!)</f>
        <v>#REF!</v>
      </c>
      <c r="I359" t="str">
        <v>NVA ORG POLIZAS</v>
      </c>
      <c r="K359" t="str">
        <v>rafa</v>
      </c>
    </row>
    <row r="360">
      <c r="A360" t="str">
        <v>DESIREE DE LA PEÐA OROZCO</v>
      </c>
      <c r="B360" t="e">
        <f>SUM(#REF!,#REF!)</f>
        <v>#REF!</v>
      </c>
      <c r="C360">
        <v>2</v>
      </c>
      <c r="D360">
        <v>72834.49</v>
      </c>
      <c r="G360" t="e">
        <f>SUM(#REF!,#REF!)</f>
        <v>#REF!</v>
      </c>
      <c r="I360" t="str">
        <v>CONSOLIDADO PRIMA</v>
      </c>
      <c r="K360" t="str">
        <v>MONI Y CARLOS</v>
      </c>
    </row>
    <row r="361">
      <c r="A361" t="str">
        <v>GABRIELA CASTAÐEDA SALAZAR</v>
      </c>
      <c r="B361" t="e">
        <f>SUM(#REF!,#REF!)</f>
        <v>#REF!</v>
      </c>
      <c r="C361">
        <v>1</v>
      </c>
      <c r="D361">
        <v>66861.74</v>
      </c>
      <c r="G361" t="e">
        <f>SUM(#REF!,#REF!)</f>
        <v>#REF!</v>
      </c>
      <c r="I361" t="str">
        <v>CONSOLIDADO POLIZAS</v>
      </c>
      <c r="K361" t="str">
        <v>MONI Y CARLOS</v>
      </c>
    </row>
    <row r="362">
      <c r="A362" t="str">
        <v>RAFAEL ALBERTO SUAREZ BAQUEDANO</v>
      </c>
      <c r="B362" t="e">
        <f>SUM(#REF!,#REF!)</f>
        <v>#REF!</v>
      </c>
      <c r="C362">
        <v>6</v>
      </c>
      <c r="D362">
        <v>56097.26</v>
      </c>
      <c r="E362">
        <v>1.5</v>
      </c>
      <c r="F362">
        <v>5201.37</v>
      </c>
      <c r="G362" t="e">
        <f>SUM(#REF!,#REF!)</f>
        <v>#REF!</v>
      </c>
      <c r="I362" t="str">
        <v>GMM PRIMA</v>
      </c>
      <c r="K362" t="str">
        <v>bruno</v>
      </c>
    </row>
    <row r="363">
      <c r="A363" t="str">
        <v>VELIA PATRICIA BERNAL RAMOS</v>
      </c>
      <c r="B363" t="e">
        <f>SUM(#REF!,#REF!)</f>
        <v>#REF!</v>
      </c>
      <c r="C363">
        <v>2</v>
      </c>
      <c r="D363">
        <v>59622.27</v>
      </c>
      <c r="G363" t="e">
        <f>SUM(#REF!,#REF!)</f>
        <v>#REF!</v>
      </c>
      <c r="I363" t="str">
        <v>GMM POLIZAS</v>
      </c>
      <c r="K363" t="str">
        <v>rafa</v>
      </c>
    </row>
    <row r="364">
      <c r="A364" t="str">
        <v>DARINKA UREÐA CASILLAS</v>
      </c>
      <c r="B364" t="e">
        <f>SUM(#REF!,#REF!)</f>
        <v>#REF!</v>
      </c>
      <c r="C364">
        <v>2</v>
      </c>
      <c r="D364">
        <v>21379.82</v>
      </c>
      <c r="E364">
        <v>0.5</v>
      </c>
      <c r="F364">
        <v>30287.09</v>
      </c>
      <c r="G364" t="e">
        <f>SUM(#REF!,#REF!)</f>
        <v>#REF!</v>
      </c>
    </row>
    <row r="365">
      <c r="A365" t="str">
        <v>ANA LAURA CONTRERAS IÐIGUEZ</v>
      </c>
      <c r="B365" t="e">
        <f>SUM(#REF!,#REF!)</f>
        <v>#REF!</v>
      </c>
      <c r="C365">
        <v>1</v>
      </c>
      <c r="D365">
        <v>32457.08</v>
      </c>
      <c r="G365" t="e">
        <f>SUM(#REF!,#REF!)</f>
        <v>#REF!</v>
      </c>
    </row>
    <row r="366">
      <c r="A366" t="str">
        <v>HANA SOFIA LOPEZ QUIÐONEZ</v>
      </c>
      <c r="B366" t="e">
        <f>SUM(#REF!,#REF!)</f>
        <v>#REF!</v>
      </c>
      <c r="C366">
        <v>3</v>
      </c>
      <c r="D366">
        <v>13282.04</v>
      </c>
      <c r="E366">
        <v>0.5</v>
      </c>
      <c r="F366">
        <v>18192.49</v>
      </c>
      <c r="G366" t="e">
        <f>SUM(#REF!,#REF!)</f>
        <v>#REF!</v>
      </c>
    </row>
    <row r="367">
      <c r="A367" t="str">
        <v>ADRIANA ALEJANDRA JOYA MARTINEZ</v>
      </c>
      <c r="B367" t="e">
        <f>SUM(#REF!,#REF!)</f>
        <v>#REF!</v>
      </c>
      <c r="C367">
        <v>2</v>
      </c>
      <c r="D367">
        <v>27908.03</v>
      </c>
      <c r="G367" t="e">
        <f>SUM(#REF!,#REF!)</f>
        <v>#REF!</v>
      </c>
    </row>
    <row r="368">
      <c r="A368" t="str">
        <v>LINDA TANIA MIROSLAVA ENRIQUEZ PRECIADO</v>
      </c>
      <c r="B368" t="e">
        <f>SUM(#REF!,#REF!)</f>
        <v>#REF!</v>
      </c>
      <c r="C368">
        <v>1</v>
      </c>
      <c r="D368">
        <v>22013.87</v>
      </c>
      <c r="G368" t="e">
        <f>SUM(#REF!,#REF!)</f>
        <v>#REF!</v>
      </c>
    </row>
    <row r="369">
      <c r="A369" t="str">
        <v>MARIA ELIZABETH LLAMAS LOPEZ</v>
      </c>
      <c r="B369" t="e">
        <f>SUM(#REF!,#REF!)</f>
        <v>#REF!</v>
      </c>
      <c r="C369">
        <v>1</v>
      </c>
      <c r="D369">
        <v>21385</v>
      </c>
      <c r="G369" t="e">
        <f>SUM(#REF!,#REF!)</f>
        <v>#REF!</v>
      </c>
    </row>
    <row r="370">
      <c r="A370" t="str">
        <v>ENRIQUE ADRIAN GUTIERREZ JIMENEZ</v>
      </c>
      <c r="B370" t="e">
        <f>SUM(#REF!,#REF!)</f>
        <v>#REF!</v>
      </c>
      <c r="C370">
        <v>0</v>
      </c>
      <c r="D370">
        <v>0</v>
      </c>
      <c r="E370">
        <v>0.5</v>
      </c>
      <c r="F370">
        <v>10138.48</v>
      </c>
      <c r="G370" t="e">
        <f>SUM(#REF!,#REF!)</f>
        <v>#REF!</v>
      </c>
    </row>
    <row r="371">
      <c r="A371" t="str">
        <v>MARIA JOSE GUZMAN ZAMORA</v>
      </c>
      <c r="B371" t="e">
        <f>SUM(#REF!,#REF!)</f>
        <v>#REF!</v>
      </c>
      <c r="C371">
        <v>2</v>
      </c>
      <c r="D371">
        <v>9556.51</v>
      </c>
      <c r="G371" t="e">
        <f>SUM(#REF!,#REF!)</f>
        <v>#REF!</v>
      </c>
    </row>
    <row r="372">
      <c r="A372" t="str">
        <v>JORGE Y LULY</v>
      </c>
      <c r="B372" t="e">
        <f>SUM(#REF!,#REF!)</f>
        <v>#REF!</v>
      </c>
      <c r="C372">
        <v>1.5</v>
      </c>
      <c r="D372">
        <v>3725.13</v>
      </c>
      <c r="E372">
        <v>0.5</v>
      </c>
      <c r="F372">
        <v>2324.98</v>
      </c>
      <c r="G372" t="e">
        <f>SUM(#REF!,#REF!)</f>
        <v>#REF!</v>
      </c>
    </row>
    <row r="373">
      <c r="A373" t="str">
        <v>ROGELIO TORRES ORTIZ</v>
      </c>
      <c r="B373" t="e">
        <f>SUM(#REF!,#REF!)</f>
        <v>#REF!</v>
      </c>
      <c r="C373">
        <v>2</v>
      </c>
      <c r="D373">
        <v>3572.6</v>
      </c>
      <c r="G373" t="e">
        <f>SUM(#REF!,#REF!)</f>
        <v>#REF!</v>
      </c>
    </row>
    <row r="374">
      <c r="A374" t="str">
        <v>ANAIS LUA MORENO</v>
      </c>
      <c r="B374" t="e">
        <f>SUM(#REF!,#REF!)</f>
        <v>#REF!</v>
      </c>
      <c r="C374">
        <v>1</v>
      </c>
      <c r="D374">
        <v>1995.21</v>
      </c>
      <c r="G374" t="e">
        <f>SUM(#REF!,#REF!)</f>
        <v>#REF!</v>
      </c>
      <c r="I374" t="str">
        <v>JIME Y VALE</v>
      </c>
      <c r="K374">
        <v>6</v>
      </c>
    </row>
    <row r="375">
      <c r="A375" t="str">
        <v>LILIANA IVETTE CASTILLO SANCHEZ</v>
      </c>
      <c r="B375" t="e">
        <f>SUM(#REF!,#REF!)</f>
        <v>#REF!</v>
      </c>
      <c r="C375">
        <v>1</v>
      </c>
      <c r="D375">
        <v>1881.2</v>
      </c>
      <c r="G375" t="e">
        <f>SUM(#REF!,#REF!)</f>
        <v>#REF!</v>
      </c>
      <c r="I375" t="str">
        <v>RAFAEL ALBERTO SUAREZ BAQUEDANO</v>
      </c>
      <c r="K375">
        <v>6</v>
      </c>
    </row>
    <row r="376">
      <c r="A376" t="str">
        <v>MARIA FERNANDA CARLOS VAZQUEZ</v>
      </c>
      <c r="B376" t="e">
        <f>SUM(#REF!,#REF!)</f>
        <v>#REF!</v>
      </c>
      <c r="C376">
        <v>1</v>
      </c>
      <c r="D376">
        <v>1792.22</v>
      </c>
      <c r="G376" t="e">
        <f>SUM(#REF!,#REF!)</f>
        <v>#REF!</v>
      </c>
      <c r="I376" t="str">
        <v>MONI Y CARLOS</v>
      </c>
      <c r="K376">
        <v>4</v>
      </c>
    </row>
    <row r="377">
      <c r="A377" t="str">
        <v>FERNANDO JAVIER DAVALOS FLORES</v>
      </c>
      <c r="B377" t="e">
        <f>SUM(#REF!,#REF!)</f>
        <v>#REF!</v>
      </c>
      <c r="C377">
        <v>0</v>
      </c>
      <c r="D377">
        <v>0</v>
      </c>
      <c r="E377">
        <v>0.5</v>
      </c>
      <c r="F377">
        <v>1589.46</v>
      </c>
      <c r="G377" t="e">
        <f>SUM(#REF!,#REF!)</f>
        <v>#REF!</v>
      </c>
      <c r="I377" t="str">
        <v>JULIANA RIASCOS VALENCIA</v>
      </c>
      <c r="K377">
        <v>3</v>
      </c>
    </row>
    <row r="378">
      <c r="A378" t="str">
        <v>PAULINA RODRIGUEZ DE LA MORA</v>
      </c>
      <c r="B378" t="e">
        <f>SUM(#REF!,#REF!)</f>
        <v>#REF!</v>
      </c>
      <c r="C378">
        <v>0.5</v>
      </c>
      <c r="D378">
        <v>1010.05</v>
      </c>
      <c r="G378" t="e">
        <f>SUM(#REF!,#REF!)</f>
        <v>#REF!</v>
      </c>
      <c r="I378" t="str">
        <v>HANA SOFIA LOPEZ QUIÐONEZ</v>
      </c>
      <c r="K378">
        <v>3</v>
      </c>
    </row>
    <row r="379">
      <c r="A379" t="str">
        <v>JOSE RENE DE ALBA MORALES</v>
      </c>
      <c r="B379" t="e">
        <f>SUM(#REF!,#REF!)</f>
        <v>#REF!</v>
      </c>
      <c r="C379">
        <v>0</v>
      </c>
      <c r="D379">
        <v>0</v>
      </c>
      <c r="G379" t="e">
        <f>SUM(#REF!,#REF!)</f>
        <v>#REF!</v>
      </c>
      <c r="I379" t="str">
        <v>ANA VERONICA GONZALEZ GAYTAN</v>
      </c>
      <c r="K379">
        <v>2</v>
      </c>
    </row>
    <row r="380">
      <c r="A380" t="str">
        <v>PAULINA LIZBETH SOTO MUÐIZ</v>
      </c>
      <c r="B380" t="e">
        <f>SUM(#REF!,#REF!)</f>
        <v>#REF!</v>
      </c>
      <c r="C380">
        <v>0</v>
      </c>
      <c r="D380">
        <v>0</v>
      </c>
      <c r="G380" t="e">
        <f>SUM(#REF!,#REF!)</f>
        <v>#REF!</v>
      </c>
      <c r="I380" t="str">
        <v>DESIREE DE LA PEÐA OROZCO</v>
      </c>
      <c r="K380">
        <v>2</v>
      </c>
    </row>
    <row r="381">
      <c r="A381" t="str">
        <v>MARICELA ARREOLA LOPEZ</v>
      </c>
      <c r="B381" t="e">
        <f>SUM(#REF!,#REF!)</f>
        <v>#REF!</v>
      </c>
      <c r="C381">
        <v>0</v>
      </c>
      <c r="D381">
        <v>0</v>
      </c>
      <c r="G381" t="e">
        <f>SUM(#REF!,#REF!)</f>
        <v>#REF!</v>
      </c>
      <c r="I381" t="str">
        <v>VELIA PATRICIA BERNAL RAMOS</v>
      </c>
      <c r="K381">
        <v>2</v>
      </c>
    </row>
    <row r="382">
      <c r="A382" t="str">
        <v>JORGE ANTONIO LUNA LARA</v>
      </c>
      <c r="B382" t="e">
        <f>SUM(#REF!,#REF!)</f>
        <v>#REF!</v>
      </c>
      <c r="C382">
        <v>0</v>
      </c>
      <c r="D382">
        <v>0</v>
      </c>
      <c r="G382" t="e">
        <f>SUM(#REF!,#REF!)</f>
        <v>#REF!</v>
      </c>
      <c r="I382" t="str">
        <v>DARINKA UREÐA CASILLAS</v>
      </c>
      <c r="K382">
        <v>2</v>
      </c>
    </row>
    <row r="383">
      <c r="A383" t="str">
        <v>ISAI ANTONIO ROJAS MARTINEZ</v>
      </c>
      <c r="B383" t="e">
        <f>SUM(#REF!,#REF!)</f>
        <v>#REF!</v>
      </c>
      <c r="C383">
        <v>0</v>
      </c>
      <c r="D383">
        <v>0</v>
      </c>
      <c r="G383" t="e">
        <f>SUM(#REF!,#REF!)</f>
        <v>#REF!</v>
      </c>
      <c r="I383" t="str">
        <v>ADRIANA ALEJANDRA JOYA MARTINEZ</v>
      </c>
      <c r="K383">
        <v>2</v>
      </c>
    </row>
    <row r="384">
      <c r="A384" t="str">
        <v>LAURA DOLORES MONTAÐO MONTAÐO</v>
      </c>
      <c r="B384" t="e">
        <f>SUM(#REF!,#REF!)</f>
        <v>#REF!</v>
      </c>
      <c r="C384">
        <v>0</v>
      </c>
      <c r="D384">
        <v>0</v>
      </c>
      <c r="G384" t="e">
        <f>SUM(#REF!,#REF!)</f>
        <v>#REF!</v>
      </c>
      <c r="I384" t="str">
        <v>MARIA JOSE GUZMAN ZAMORA</v>
      </c>
      <c r="K384">
        <v>2</v>
      </c>
    </row>
    <row r="385">
      <c r="A385" t="str">
        <v>SAMUEL Y JANET</v>
      </c>
      <c r="B385" t="e">
        <f>SUM(#REF!,#REF!)</f>
        <v>#REF!</v>
      </c>
      <c r="C385">
        <v>0</v>
      </c>
      <c r="D385">
        <v>0</v>
      </c>
      <c r="G385" t="e">
        <f>SUM(#REF!,#REF!)</f>
        <v>#REF!</v>
      </c>
      <c r="I385" t="str">
        <v>ROGELIO TORRES ORTIZ</v>
      </c>
      <c r="K385">
        <v>2</v>
      </c>
    </row>
    <row r="386">
      <c r="A386" t="str">
        <v>ROCIO YANETH OCHOA IBARRA</v>
      </c>
      <c r="B386" t="e">
        <f>SUM(#REF!,#REF!)</f>
        <v>#REF!</v>
      </c>
      <c r="C386">
        <v>0</v>
      </c>
      <c r="D386">
        <v>0</v>
      </c>
      <c r="G386" t="e">
        <f>SUM(#REF!,#REF!)</f>
        <v>#REF!</v>
      </c>
      <c r="I386" t="str">
        <v>JORGE Y LULY</v>
      </c>
      <c r="K386">
        <v>1.5</v>
      </c>
    </row>
    <row r="387">
      <c r="A387" t="str">
        <v>EVELYN CAROLINA VENEGAS IÐIGUEZ</v>
      </c>
      <c r="B387" t="e">
        <f>SUM(#REF!,#REF!)</f>
        <v>#REF!</v>
      </c>
      <c r="C387">
        <v>0</v>
      </c>
      <c r="D387">
        <v>0</v>
      </c>
      <c r="G387" t="e">
        <f>SUM(#REF!,#REF!)</f>
        <v>#REF!</v>
      </c>
      <c r="I387" t="str">
        <v>GABRIELA CASTAÐEDA SALAZAR</v>
      </c>
      <c r="K387">
        <v>1</v>
      </c>
    </row>
    <row r="388">
      <c r="A388" t="str">
        <v>JOCELYN URIBE VARGAS</v>
      </c>
      <c r="B388" t="e">
        <f>SUM(#REF!,#REF!)</f>
        <v>#REF!</v>
      </c>
      <c r="C388">
        <v>0</v>
      </c>
      <c r="D388">
        <v>0</v>
      </c>
      <c r="G388" t="e">
        <f>SUM(#REF!,#REF!)</f>
        <v>#REF!</v>
      </c>
      <c r="I388" t="str">
        <v>ANA LAURA CONTRERAS IÐIGUEZ</v>
      </c>
      <c r="K388">
        <v>1</v>
      </c>
    </row>
    <row r="389">
      <c r="A389" t="str">
        <v>SANDRA CRISTINA PEDROZA CRUZ</v>
      </c>
      <c r="B389" t="e">
        <f>SUM(#REF!,#REF!)</f>
        <v>#REF!</v>
      </c>
      <c r="C389">
        <v>0</v>
      </c>
      <c r="D389">
        <v>0</v>
      </c>
      <c r="G389" t="e">
        <f>SUM(#REF!,#REF!)</f>
        <v>#REF!</v>
      </c>
      <c r="I389" t="str">
        <v>LINDA TANIA MIROSLAVA ENRIQUEZ PRECIADO</v>
      </c>
      <c r="K389">
        <v>1</v>
      </c>
    </row>
    <row r="390">
      <c r="A390" t="str">
        <v>CLAUDIA VALERIA HERNANDEZ MACIAS</v>
      </c>
      <c r="B390" t="e">
        <f>SUM(#REF!,#REF!)</f>
        <v>#REF!</v>
      </c>
      <c r="C390">
        <v>0</v>
      </c>
      <c r="D390">
        <v>0</v>
      </c>
      <c r="G390" t="e">
        <f>SUM(#REF!,#REF!)</f>
        <v>#REF!</v>
      </c>
      <c r="I390" t="str">
        <v>MARIA ELIZABETH LLAMAS LOPEZ</v>
      </c>
      <c r="K390">
        <v>1</v>
      </c>
    </row>
    <row r="391">
      <c r="A391" t="str">
        <v>MIREYA LIZETTE TORRES GARCIA</v>
      </c>
      <c r="B391" t="e">
        <f>SUM(#REF!,#REF!)</f>
        <v>#REF!</v>
      </c>
      <c r="C391">
        <v>0</v>
      </c>
      <c r="D391">
        <v>0</v>
      </c>
      <c r="G391" t="e">
        <f>SUM(#REF!,#REF!)</f>
        <v>#REF!</v>
      </c>
      <c r="I391" t="str">
        <v>ANAIS LUA MORENO</v>
      </c>
      <c r="K391">
        <v>1</v>
      </c>
    </row>
    <row r="392">
      <c r="A392" t="str">
        <v>MARIA TERESA ASENCIO LOZANO</v>
      </c>
      <c r="B392" t="e">
        <f>SUM(#REF!,#REF!)</f>
        <v>#REF!</v>
      </c>
      <c r="C392">
        <v>0</v>
      </c>
      <c r="D392">
        <v>0</v>
      </c>
      <c r="G392" t="e">
        <f>SUM(#REF!,#REF!)</f>
        <v>#REF!</v>
      </c>
      <c r="I392" t="str">
        <v>LILIANA IVETTE CASTILLO SANCHEZ</v>
      </c>
      <c r="K392">
        <v>1</v>
      </c>
    </row>
    <row r="393">
      <c r="A393" t="str">
        <v>LUIS FERNANDO HERNANDEZ AYALA</v>
      </c>
      <c r="B393" t="e">
        <f>SUM(#REF!,#REF!)</f>
        <v>#REF!</v>
      </c>
      <c r="C393">
        <v>0</v>
      </c>
      <c r="D393">
        <v>0</v>
      </c>
      <c r="G393" t="e">
        <f>SUM(#REF!,#REF!)</f>
        <v>#REF!</v>
      </c>
      <c r="I393" t="str">
        <v>MARIA FERNANDA CARLOS VAZQUEZ</v>
      </c>
      <c r="K393">
        <v>1</v>
      </c>
    </row>
    <row r="394">
      <c r="A394" t="str">
        <v>JOSE ALBERTO CORONADO ROSAS</v>
      </c>
      <c r="B394" t="e">
        <f>SUM(#REF!,#REF!)</f>
        <v>#REF!</v>
      </c>
      <c r="C394">
        <v>0</v>
      </c>
      <c r="D394">
        <v>0</v>
      </c>
      <c r="G394" t="e">
        <f>SUM(#REF!,#REF!)</f>
        <v>#REF!</v>
      </c>
      <c r="I394" t="str">
        <v>PAULINA RODRIGUEZ DE LA MORA</v>
      </c>
      <c r="K394">
        <v>0.5</v>
      </c>
    </row>
    <row r="395">
      <c r="A395" t="str">
        <v>Total</v>
      </c>
      <c r="B395" t="e">
        <f>SUM(#REF!)</f>
        <v>#REF!</v>
      </c>
      <c r="C395" t="e">
        <f>SUM(#REF!)</f>
        <v>#REF!</v>
      </c>
      <c r="D395" t="e">
        <f>SUM(#REF!)</f>
        <v>#REF!</v>
      </c>
      <c r="E395" t="e">
        <f>SUM(#REF!)</f>
        <v>#REF!</v>
      </c>
      <c r="F395" t="e">
        <f>SUM(#REF!)</f>
        <v>#REF!</v>
      </c>
      <c r="G395" t="e">
        <f>SUM(#REF!)</f>
        <v>#REF!</v>
      </c>
      <c r="I395" t="str">
        <v>FALTANTE PARA LA META</v>
      </c>
      <c r="K395">
        <f>MAX(0,53-SUM(K374:K394))</f>
        <v>8</v>
      </c>
    </row>
    <row r="411">
      <c r="A411" t="str">
        <v>Ventas mensuales OCTUBRE</v>
      </c>
    </row>
    <row r="412">
      <c r="A412" t="str">
        <v>Asesor</v>
      </c>
      <c r="B412" t="str">
        <v xml:space="preserve">Pólizas </v>
      </c>
      <c r="C412" t="str">
        <v>Vida</v>
      </c>
      <c r="D412" t="str">
        <v>Prima Pagada vida</v>
      </c>
      <c r="E412" t="str">
        <v>Gmm</v>
      </c>
      <c r="F412" t="str">
        <v>Prima Pagada gmm</v>
      </c>
      <c r="G412" t="str">
        <v>Prima total</v>
      </c>
    </row>
    <row r="413">
      <c r="A413" t="str">
        <v>DESIREE DE LA PEÐA OROZCO</v>
      </c>
      <c r="B413" t="e">
        <f>SUM(#REF!,#REF!)</f>
        <v>#REF!</v>
      </c>
      <c r="C413">
        <v>2</v>
      </c>
      <c r="D413">
        <v>282373.22</v>
      </c>
      <c r="E413">
        <v>0.5</v>
      </c>
      <c r="F413">
        <v>24757.03</v>
      </c>
      <c r="G413" t="e">
        <f>SUM(#REF!,#REF!)</f>
        <v>#REF!</v>
      </c>
    </row>
    <row r="414">
      <c r="A414" t="str">
        <v>MONICA ANDREA AMBRIZ GOMEZ</v>
      </c>
      <c r="B414" t="e">
        <f>SUM(#REF!,#REF!)</f>
        <v>#REF!</v>
      </c>
      <c r="C414">
        <v>4</v>
      </c>
      <c r="D414">
        <v>132956.02</v>
      </c>
      <c r="E414">
        <v>2</v>
      </c>
      <c r="F414">
        <v>167930.79</v>
      </c>
      <c r="G414" t="e">
        <f>SUM(#REF!,#REF!)</f>
        <v>#REF!</v>
      </c>
    </row>
    <row r="415">
      <c r="A415" t="str">
        <v>ANAIS LUA MORENO</v>
      </c>
      <c r="B415" t="e">
        <f>SUM(#REF!,#REF!)</f>
        <v>#REF!</v>
      </c>
      <c r="C415">
        <v>5</v>
      </c>
      <c r="D415">
        <v>75553.94</v>
      </c>
      <c r="E415">
        <v>1</v>
      </c>
      <c r="F415">
        <v>123967.74</v>
      </c>
      <c r="G415" t="e">
        <f>SUM(#REF!,#REF!)</f>
        <v>#REF!</v>
      </c>
    </row>
    <row r="416">
      <c r="A416" t="str">
        <v>RAFAEL ALBERTO SUAREZ BAQUEDANO</v>
      </c>
      <c r="B416" t="e">
        <f>SUM(#REF!,#REF!)</f>
        <v>#REF!</v>
      </c>
      <c r="C416">
        <v>5</v>
      </c>
      <c r="D416">
        <v>78352.1</v>
      </c>
      <c r="E416">
        <v>0.5</v>
      </c>
      <c r="F416">
        <v>1506.65</v>
      </c>
      <c r="G416" t="e">
        <f>SUM(#REF!,#REF!)</f>
        <v>#REF!</v>
      </c>
    </row>
    <row r="417">
      <c r="A417" t="str">
        <v>MIREYA LIZETTE TORRES GARCIA</v>
      </c>
      <c r="B417" t="e">
        <f>SUM(#REF!,#REF!)</f>
        <v>#REF!</v>
      </c>
      <c r="C417">
        <v>2</v>
      </c>
      <c r="D417">
        <v>40060.42</v>
      </c>
      <c r="E417">
        <v>0.5</v>
      </c>
      <c r="F417">
        <v>21081.11</v>
      </c>
      <c r="G417" t="e">
        <f>SUM(#REF!,#REF!)</f>
        <v>#REF!</v>
      </c>
    </row>
    <row r="418">
      <c r="A418" t="str">
        <v>JORGE ANTONIO LUNA LARA</v>
      </c>
      <c r="B418" t="e">
        <f>SUM(#REF!,#REF!)</f>
        <v>#REF!</v>
      </c>
      <c r="C418">
        <v>1</v>
      </c>
      <c r="D418">
        <v>5557.78</v>
      </c>
      <c r="E418">
        <v>1</v>
      </c>
      <c r="F418">
        <v>53129.05</v>
      </c>
      <c r="G418" t="e">
        <f>SUM(#REF!,#REF!)</f>
        <v>#REF!</v>
      </c>
    </row>
    <row r="419">
      <c r="A419" t="str">
        <v>ANA VERONICA GONZALEZ GAYTAN</v>
      </c>
      <c r="B419" t="e">
        <f>SUM(#REF!,#REF!)</f>
        <v>#REF!</v>
      </c>
      <c r="C419">
        <v>2</v>
      </c>
      <c r="D419">
        <v>40596.2</v>
      </c>
      <c r="E419">
        <v>1</v>
      </c>
      <c r="F419">
        <v>17555.7</v>
      </c>
      <c r="G419" t="e">
        <f>SUM(#REF!,#REF!)</f>
        <v>#REF!</v>
      </c>
      <c r="I419" t="str">
        <v>ANAIS LUA MORENO</v>
      </c>
      <c r="K419">
        <v>5</v>
      </c>
    </row>
    <row r="420">
      <c r="A420" t="str">
        <v>JORGE ALBERTO PRECIADO GONZALEZ</v>
      </c>
      <c r="B420" t="e">
        <f>SUM(#REF!,#REF!)</f>
        <v>#REF!</v>
      </c>
      <c r="C420">
        <v>2</v>
      </c>
      <c r="D420">
        <v>28754.49</v>
      </c>
      <c r="E420">
        <v>0.5</v>
      </c>
      <c r="F420">
        <v>19593.36</v>
      </c>
      <c r="G420" t="e">
        <f>SUM(#REF!,#REF!)</f>
        <v>#REF!</v>
      </c>
      <c r="I420" t="str">
        <v>RAFAEL ALBERTO SUAREZ BAQUEDANO</v>
      </c>
      <c r="K420">
        <v>5</v>
      </c>
    </row>
    <row r="421">
      <c r="A421" t="str">
        <v>DARINKA UREÐA CASILLAS</v>
      </c>
      <c r="B421" t="e">
        <f>SUM(#REF!,#REF!)</f>
        <v>#REF!</v>
      </c>
      <c r="C421">
        <v>0</v>
      </c>
      <c r="D421">
        <v>0</v>
      </c>
      <c r="E421">
        <v>0.5</v>
      </c>
      <c r="F421">
        <v>40113.1</v>
      </c>
      <c r="G421" t="e">
        <f>SUM(#REF!,#REF!)</f>
        <v>#REF!</v>
      </c>
      <c r="I421" t="str">
        <v>MONICA ANDREA AMBRIZ GOMEZ</v>
      </c>
      <c r="K421">
        <v>4</v>
      </c>
    </row>
    <row r="422">
      <c r="A422" t="str">
        <v>VELIA PATRICIA BERNAL RAMOS</v>
      </c>
      <c r="B422" t="e">
        <f>SUM(#REF!,#REF!)</f>
        <v>#REF!</v>
      </c>
      <c r="C422">
        <v>1</v>
      </c>
      <c r="D422">
        <v>1772.51</v>
      </c>
      <c r="E422">
        <v>0.5</v>
      </c>
      <c r="F422">
        <v>36328.79</v>
      </c>
      <c r="G422" t="e">
        <f>SUM(#REF!,#REF!)</f>
        <v>#REF!</v>
      </c>
      <c r="I422" t="str">
        <v>ORLANDA JIMENA CERVANTES NUÐEZ</v>
      </c>
      <c r="K422">
        <v>4</v>
      </c>
    </row>
    <row r="423">
      <c r="A423" t="str">
        <v>ROGELIO TORRES ORTIZ</v>
      </c>
      <c r="B423" t="e">
        <f>SUM(#REF!,#REF!)</f>
        <v>#REF!</v>
      </c>
      <c r="C423">
        <v>1</v>
      </c>
      <c r="D423">
        <v>33875.98</v>
      </c>
      <c r="E423">
        <v>0.5</v>
      </c>
      <c r="F423">
        <v>3609.06</v>
      </c>
      <c r="G423" t="e">
        <f>SUM(#REF!,#REF!)</f>
        <v>#REF!</v>
      </c>
      <c r="I423" t="str">
        <v>PAULINA LIZBETH SOTO MUÐIZ</v>
      </c>
      <c r="K423">
        <v>3</v>
      </c>
    </row>
    <row r="424">
      <c r="A424" t="str">
        <v>LUIS GUILLERMO OLGUIN FERNANDEZ</v>
      </c>
      <c r="B424" t="e">
        <f>SUM(#REF!,#REF!)</f>
        <v>#REF!</v>
      </c>
      <c r="E424">
        <v>0.5</v>
      </c>
      <c r="F424">
        <v>37337.56</v>
      </c>
      <c r="G424" t="e">
        <f>SUM(#REF!,#REF!)</f>
        <v>#REF!</v>
      </c>
      <c r="I424" t="str">
        <v>DESIREE DE LA PEÐA OROZCO</v>
      </c>
      <c r="K424">
        <v>2</v>
      </c>
    </row>
    <row r="425">
      <c r="A425" t="str">
        <v>ORLANDA JIMENA CERVANTES NUÐEZ</v>
      </c>
      <c r="B425" t="e">
        <f>SUM(#REF!,#REF!)</f>
        <v>#REF!</v>
      </c>
      <c r="C425">
        <v>4</v>
      </c>
      <c r="D425">
        <v>34192.9</v>
      </c>
      <c r="E425">
        <v>0.5</v>
      </c>
      <c r="F425">
        <v>2280.4</v>
      </c>
      <c r="G425" t="e">
        <f>SUM(#REF!,#REF!)</f>
        <v>#REF!</v>
      </c>
      <c r="I425" t="str">
        <v>MIREYA LIZETTE TORRES GARCIA</v>
      </c>
      <c r="K425">
        <v>2</v>
      </c>
    </row>
    <row r="426">
      <c r="A426" t="str">
        <v>PAULINA LIZBETH SOTO MUÐIZ</v>
      </c>
      <c r="B426" t="e">
        <f>SUM(#REF!,#REF!)</f>
        <v>#REF!</v>
      </c>
      <c r="C426">
        <v>3</v>
      </c>
      <c r="D426">
        <v>29045.07</v>
      </c>
      <c r="G426" t="e">
        <f>SUM(#REF!,#REF!)</f>
        <v>#REF!</v>
      </c>
      <c r="I426" t="str">
        <v>ANA VERONICA GONZALEZ GAYTAN</v>
      </c>
      <c r="K426">
        <v>2</v>
      </c>
    </row>
    <row r="427">
      <c r="A427" t="str">
        <v>MARICELA ARREOLA LOPEZ</v>
      </c>
      <c r="B427" t="e">
        <f>SUM(#REF!,#REF!)</f>
        <v>#REF!</v>
      </c>
      <c r="C427">
        <v>0</v>
      </c>
      <c r="E427">
        <v>0.5</v>
      </c>
      <c r="F427">
        <v>26557.93</v>
      </c>
      <c r="G427" t="e">
        <f>SUM(#REF!,#REF!)</f>
        <v>#REF!</v>
      </c>
      <c r="I427" t="str">
        <v>JORGE ALBERTO PRECIADO GONZALEZ</v>
      </c>
      <c r="K427">
        <v>2</v>
      </c>
    </row>
    <row r="428">
      <c r="A428" t="str">
        <v>MIRIAM ROCIO LOMELI CHAVEZ</v>
      </c>
      <c r="B428" t="e">
        <f>SUM(#REF!,#REF!)</f>
        <v>#REF!</v>
      </c>
      <c r="E428">
        <v>0.5</v>
      </c>
      <c r="F428">
        <v>24773.23</v>
      </c>
      <c r="G428" t="e">
        <f>SUM(#REF!,#REF!)</f>
        <v>#REF!</v>
      </c>
      <c r="I428" t="str">
        <v>LINDA TANIA MIROSLAVA ENRIQUEZ PRECIADO</v>
      </c>
      <c r="K428">
        <v>2</v>
      </c>
    </row>
    <row r="429">
      <c r="A429" t="str">
        <v>LINDA TANIA MIROSLAVA ENRIQUEZ PRECIADO</v>
      </c>
      <c r="B429" t="e">
        <f>SUM(#REF!,#REF!)</f>
        <v>#REF!</v>
      </c>
      <c r="C429">
        <v>2</v>
      </c>
      <c r="D429">
        <v>23288.08</v>
      </c>
      <c r="G429" t="e">
        <f>SUM(#REF!,#REF!)</f>
        <v>#REF!</v>
      </c>
      <c r="I429" t="str">
        <v>JOSE RENE DE ALBA MORALES</v>
      </c>
      <c r="K429">
        <v>2</v>
      </c>
    </row>
    <row r="430">
      <c r="A430" t="str">
        <v>JULIANA RIASCOS VALENCIA</v>
      </c>
      <c r="B430" t="e">
        <f>SUM(#REF!,#REF!)</f>
        <v>#REF!</v>
      </c>
      <c r="C430">
        <v>2</v>
      </c>
      <c r="D430">
        <v>18414.95</v>
      </c>
      <c r="G430" t="e">
        <f>SUM(#REF!,#REF!)</f>
        <v>#REF!</v>
      </c>
      <c r="I430" t="str">
        <v>MARIA JOSE GUZMAN ZAMORA</v>
      </c>
      <c r="K430">
        <v>2</v>
      </c>
    </row>
    <row r="431">
      <c r="A431" t="str">
        <v>JOSE RENE DE ALBA MORALES</v>
      </c>
      <c r="B431" t="e">
        <f>SUM(#REF!,#REF!)</f>
        <v>#REF!</v>
      </c>
      <c r="C431">
        <v>2</v>
      </c>
      <c r="D431">
        <v>17809.59</v>
      </c>
      <c r="G431" t="e">
        <f>SUM(#REF!,#REF!)</f>
        <v>#REF!</v>
      </c>
      <c r="I431" t="str">
        <v>JORGE ANTONIO LUNA LARA</v>
      </c>
      <c r="K431">
        <v>1</v>
      </c>
    </row>
    <row r="432">
      <c r="A432" t="str">
        <v>EVELYN CAROLINA VENEGAS IÐIGUEZ</v>
      </c>
      <c r="B432" t="e">
        <f>SUM(#REF!,#REF!)</f>
        <v>#REF!</v>
      </c>
      <c r="C432">
        <v>1</v>
      </c>
      <c r="D432">
        <v>17276.71</v>
      </c>
      <c r="G432" t="e">
        <f>SUM(#REF!,#REF!)</f>
        <v>#REF!</v>
      </c>
      <c r="I432" t="str">
        <v>VELIA PATRICIA BERNAL RAMOS</v>
      </c>
      <c r="K432">
        <v>1</v>
      </c>
    </row>
    <row r="433">
      <c r="A433" t="str">
        <v>MARIA FERNANDA CARLOS VAZQUEZ</v>
      </c>
      <c r="B433" t="e">
        <f>SUM(#REF!,#REF!)</f>
        <v>#REF!</v>
      </c>
      <c r="C433">
        <v>0</v>
      </c>
      <c r="D433">
        <v>0</v>
      </c>
      <c r="E433">
        <v>0.5</v>
      </c>
      <c r="F433">
        <v>13439.76</v>
      </c>
      <c r="G433" t="e">
        <f>SUM(#REF!,#REF!)</f>
        <v>#REF!</v>
      </c>
      <c r="I433" t="str">
        <v>ROGELIO TORRES ORTIZ</v>
      </c>
      <c r="K433">
        <v>1</v>
      </c>
    </row>
    <row r="434">
      <c r="A434" t="str">
        <v>LUVIA PATRICIA FIGUEROA CASTRO</v>
      </c>
      <c r="B434" t="e">
        <f>SUM(#REF!,#REF!)</f>
        <v>#REF!</v>
      </c>
      <c r="C434">
        <v>1</v>
      </c>
      <c r="D434">
        <v>13184.04</v>
      </c>
      <c r="G434" t="e">
        <f>SUM(#REF!,#REF!)</f>
        <v>#REF!</v>
      </c>
      <c r="I434" t="str">
        <v>EVELYN CAROLINA VENEGAS IÐIGUEZ</v>
      </c>
      <c r="K434">
        <v>1</v>
      </c>
    </row>
    <row r="435">
      <c r="A435" t="str">
        <v>ADRIANA ALEJANDRA JOYA MARTINEZ</v>
      </c>
      <c r="B435" t="e">
        <f>SUM(#REF!,#REF!)</f>
        <v>#REF!</v>
      </c>
      <c r="C435">
        <v>1</v>
      </c>
      <c r="D435">
        <v>9014.51</v>
      </c>
      <c r="G435" t="e">
        <f>SUM(#REF!,#REF!)</f>
        <v>#REF!</v>
      </c>
      <c r="I435" t="str">
        <v>JULIANA RIASCOS VALENCIA</v>
      </c>
      <c r="K435">
        <v>2</v>
      </c>
    </row>
    <row r="436">
      <c r="A436" t="str">
        <v>MARIA JOSE GUZMAN ZAMORA</v>
      </c>
      <c r="B436" t="e">
        <f>SUM(#REF!,#REF!)</f>
        <v>#REF!</v>
      </c>
      <c r="C436">
        <v>2</v>
      </c>
      <c r="D436">
        <v>8295.27</v>
      </c>
      <c r="G436" t="e">
        <f>SUM(#REF!,#REF!)</f>
        <v>#REF!</v>
      </c>
      <c r="I436" t="str">
        <v>LUVIA PATRICIA FIGUEROA CASTRO</v>
      </c>
      <c r="K436">
        <v>1</v>
      </c>
    </row>
    <row r="437">
      <c r="A437" t="str">
        <v>SAMUEL NUÐO RIVERA</v>
      </c>
      <c r="B437" t="e">
        <f>SUM(#REF!,#REF!)</f>
        <v>#REF!</v>
      </c>
      <c r="C437">
        <v>1</v>
      </c>
      <c r="D437">
        <v>3125.3</v>
      </c>
      <c r="G437" t="e">
        <f>SUM(#REF!,#REF!)</f>
        <v>#REF!</v>
      </c>
      <c r="I437" t="str">
        <v>ADRIANA ALEJANDRA JOYA MARTINEZ</v>
      </c>
      <c r="K437">
        <v>1</v>
      </c>
    </row>
    <row r="438">
      <c r="A438" t="str">
        <v>MARIA ELIZABETH LLAMAS LOPEZ</v>
      </c>
      <c r="B438" t="e">
        <f>SUM(#REF!,#REF!)</f>
        <v>#REF!</v>
      </c>
      <c r="C438">
        <v>1</v>
      </c>
      <c r="D438">
        <v>2764.66</v>
      </c>
      <c r="G438" t="e">
        <f>SUM(#REF!,#REF!)</f>
        <v>#REF!</v>
      </c>
      <c r="I438" t="str">
        <v>SAMUEL NUÐO RIVERA</v>
      </c>
      <c r="K438">
        <v>1</v>
      </c>
    </row>
    <row r="439">
      <c r="A439" t="str">
        <v>LILIANA IVETTE CASTILLO SANCHEZ</v>
      </c>
      <c r="B439" t="e">
        <f>SUM(#REF!,#REF!)</f>
        <v>#REF!</v>
      </c>
      <c r="C439">
        <v>1</v>
      </c>
      <c r="D439">
        <v>1586.08</v>
      </c>
      <c r="G439" t="e">
        <f>SUM(#REF!,#REF!)</f>
        <v>#REF!</v>
      </c>
      <c r="I439" t="str">
        <v>MARIA ELIZABETH LLAMAS LOPEZ</v>
      </c>
      <c r="K439">
        <v>1</v>
      </c>
    </row>
    <row r="440">
      <c r="A440" t="str">
        <v>ISAI ANTONIO ROJAS MARTINEZ</v>
      </c>
      <c r="B440" t="e">
        <f>SUM(#REF!,#REF!)</f>
        <v>#REF!</v>
      </c>
      <c r="C440">
        <v>0</v>
      </c>
      <c r="D440">
        <v>0</v>
      </c>
      <c r="E440">
        <v>0.5</v>
      </c>
      <c r="F440">
        <v>1557.85</v>
      </c>
      <c r="G440" t="e">
        <f>SUM(#REF!,#REF!)</f>
        <v>#REF!</v>
      </c>
      <c r="I440" t="str">
        <v>LILIANA IVETTE CASTILLO SANCHEZ</v>
      </c>
      <c r="K440">
        <v>1</v>
      </c>
    </row>
    <row r="441">
      <c r="A441" t="str">
        <v>CLAUDIA VALERIA HERNANDEZ MACIAS</v>
      </c>
      <c r="B441" t="e">
        <f>SUM(#REF!,#REF!)</f>
        <v>#REF!</v>
      </c>
      <c r="C441">
        <v>0</v>
      </c>
      <c r="D441">
        <v>0</v>
      </c>
      <c r="E441">
        <v>0.5</v>
      </c>
      <c r="F441">
        <v>1386.54</v>
      </c>
      <c r="G441" t="e">
        <f>SUM(#REF!,#REF!)</f>
        <v>#REF!</v>
      </c>
      <c r="I441" t="str">
        <v>FALTANTE PARA LA META</v>
      </c>
      <c r="K441">
        <f>MAX(0,53-SUM(K419:K440))</f>
        <v>7</v>
      </c>
    </row>
    <row r="442">
      <c r="A442" t="str">
        <v>ANA LAURA CONTRERAS IÐIGUEZ</v>
      </c>
      <c r="B442" t="e">
        <f>SUM(#REF!,#REF!)</f>
        <v>#REF!</v>
      </c>
      <c r="C442">
        <v>0</v>
      </c>
      <c r="D442">
        <v>0</v>
      </c>
      <c r="G442" t="e">
        <f>SUM(#REF!,#REF!)</f>
        <v>#REF!</v>
      </c>
      <c r="I442" t="str">
        <v>TOTAL</v>
      </c>
      <c r="K442">
        <f>SUM(K419:K440)</f>
        <v>46</v>
      </c>
    </row>
    <row r="443">
      <c r="A443" t="str">
        <v>ROCIO YANETH OCHOA IBARRA</v>
      </c>
      <c r="B443" t="e">
        <f>SUM(#REF!,#REF!)</f>
        <v>#REF!</v>
      </c>
      <c r="C443">
        <v>0</v>
      </c>
      <c r="D443">
        <v>0</v>
      </c>
      <c r="G443" t="e">
        <f>SUM(#REF!,#REF!)</f>
        <v>#REF!</v>
      </c>
    </row>
    <row r="444">
      <c r="A444" t="str">
        <v>GABRIELA CASTAÐEDA SALAZAR</v>
      </c>
      <c r="B444" t="e">
        <f>SUM(#REF!,#REF!)</f>
        <v>#REF!</v>
      </c>
      <c r="C444">
        <v>0</v>
      </c>
      <c r="D444">
        <v>0</v>
      </c>
      <c r="G444" t="e">
        <f>SUM(#REF!,#REF!)</f>
        <v>#REF!</v>
      </c>
    </row>
    <row r="445">
      <c r="A445" t="str">
        <v>ENRIQUE ADRIAN GUTIERREZ JIMENEZ</v>
      </c>
      <c r="B445" t="e">
        <f>SUM(#REF!,#REF!)</f>
        <v>#REF!</v>
      </c>
      <c r="C445">
        <v>0</v>
      </c>
      <c r="D445">
        <v>0</v>
      </c>
      <c r="G445" t="e">
        <f>SUM(#REF!,#REF!)</f>
        <v>#REF!</v>
      </c>
    </row>
    <row r="446">
      <c r="A446" t="str">
        <v>JOCELYN URIBE VARGAS</v>
      </c>
      <c r="B446" t="e">
        <f>SUM(#REF!,#REF!)</f>
        <v>#REF!</v>
      </c>
      <c r="C446">
        <v>0</v>
      </c>
      <c r="D446">
        <v>0</v>
      </c>
      <c r="G446" t="e">
        <f>SUM(#REF!,#REF!)</f>
        <v>#REF!</v>
      </c>
    </row>
    <row r="447">
      <c r="A447" t="str">
        <v>HANA SOFIA LOPEZ QUIÐONEZ</v>
      </c>
      <c r="B447" t="e">
        <f>SUM(#REF!,#REF!)</f>
        <v>#REF!</v>
      </c>
      <c r="C447">
        <v>0</v>
      </c>
      <c r="D447">
        <v>0</v>
      </c>
      <c r="G447" t="e">
        <f>SUM(#REF!,#REF!)</f>
        <v>#REF!</v>
      </c>
    </row>
    <row r="448">
      <c r="A448" t="str">
        <v>ANDREA CELESTE IBAÐEZ RINCON</v>
      </c>
      <c r="B448" t="e">
        <f>SUM(#REF!,#REF!)</f>
        <v>#REF!</v>
      </c>
      <c r="C448">
        <v>0</v>
      </c>
      <c r="D448">
        <v>0</v>
      </c>
      <c r="G448" t="e">
        <f>SUM(#REF!,#REF!)</f>
        <v>#REF!</v>
      </c>
      <c r="I448" t="str">
        <v>CAMPEONES:</v>
      </c>
    </row>
    <row r="449">
      <c r="A449" t="str">
        <v>MARIA TERESA ASENCIO LOZANO</v>
      </c>
      <c r="B449" t="e">
        <f>SUM(#REF!,#REF!)</f>
        <v>#REF!</v>
      </c>
      <c r="C449">
        <v>0</v>
      </c>
      <c r="D449">
        <v>0</v>
      </c>
      <c r="G449" t="e">
        <f>SUM(#REF!,#REF!)</f>
        <v>#REF!</v>
      </c>
      <c r="I449" t="str">
        <v>12 MESES PRIMAS</v>
      </c>
      <c r="K449" t="str">
        <v>anais</v>
      </c>
    </row>
    <row r="450">
      <c r="A450" t="str">
        <v>PAULINA RODRIGUEZ DE LA MORA</v>
      </c>
      <c r="B450" t="e">
        <f>SUM(#REF!,#REF!)</f>
        <v>#REF!</v>
      </c>
      <c r="C450">
        <v>0</v>
      </c>
      <c r="D450">
        <v>0</v>
      </c>
      <c r="G450" t="e">
        <f>SUM(#REF!,#REF!)</f>
        <v>#REF!</v>
      </c>
      <c r="I450" t="str">
        <v>12 MESES POLIZAS</v>
      </c>
      <c r="K450" t="str">
        <v>ANAIS</v>
      </c>
    </row>
    <row r="451">
      <c r="A451" t="str">
        <v>JOSE ALBERTO CORONADO ROSAS</v>
      </c>
      <c r="B451" t="e">
        <f>SUM(#REF!,#REF!)</f>
        <v>#REF!</v>
      </c>
      <c r="C451">
        <v>0</v>
      </c>
      <c r="D451">
        <v>0</v>
      </c>
      <c r="G451" t="e">
        <f>SUM(#REF!,#REF!)</f>
        <v>#REF!</v>
      </c>
      <c r="I451" t="str">
        <v>NVA ORG PRIMA</v>
      </c>
      <c r="K451" t="str">
        <v>rafa</v>
      </c>
    </row>
    <row r="452">
      <c r="A452" t="str">
        <v>Total</v>
      </c>
      <c r="B452" t="e">
        <f>SUM(#REF!)</f>
        <v>#REF!</v>
      </c>
      <c r="C452" t="e">
        <f>SUM(#REF!)</f>
        <v>#REF!</v>
      </c>
      <c r="D452" t="e">
        <f>SUM(#REF!)</f>
        <v>#REF!</v>
      </c>
      <c r="E452" t="e">
        <f>SUM(#REF!)</f>
        <v>#REF!</v>
      </c>
      <c r="F452" t="e">
        <f>SUM(#REF!)</f>
        <v>#REF!</v>
      </c>
      <c r="G452" t="e">
        <f>SUM(#REF!)</f>
        <v>#REF!</v>
      </c>
      <c r="I452" t="str">
        <v>NVA ORG POLIZAS</v>
      </c>
      <c r="K452" t="str">
        <v>rafa</v>
      </c>
    </row>
    <row r="453">
      <c r="I453" t="str">
        <v>CONSOLIDADO PRIMA</v>
      </c>
      <c r="K453" t="str">
        <v>desi</v>
      </c>
    </row>
    <row r="454">
      <c r="I454" t="str">
        <v>CONSOLIDADO POLIZAS</v>
      </c>
      <c r="K454" t="str">
        <v>moni</v>
      </c>
    </row>
    <row r="455">
      <c r="I455" t="str">
        <v>GMM PRIMA</v>
      </c>
      <c r="K455" t="str">
        <v>moni</v>
      </c>
    </row>
    <row r="456">
      <c r="I456" t="str">
        <v>GMM POLIZAS</v>
      </c>
      <c r="K456" t="str">
        <v>moni</v>
      </c>
    </row>
    <row r="463">
      <c r="A463" t="str">
        <v>Ventas mensuales DICIEMBRE</v>
      </c>
    </row>
    <row r="464">
      <c r="A464" t="str">
        <v>Asesor</v>
      </c>
      <c r="B464" t="str">
        <v xml:space="preserve">Pólizas </v>
      </c>
      <c r="C464" t="str">
        <v>Vida</v>
      </c>
      <c r="D464" t="str">
        <v>Prima Pagada vida</v>
      </c>
      <c r="E464" t="str">
        <v>Gmm</v>
      </c>
      <c r="F464" t="str">
        <v>Prima Pagada gmm</v>
      </c>
      <c r="G464" t="str">
        <v>Prima total</v>
      </c>
    </row>
    <row r="465">
      <c r="A465" t="str">
        <v>RAFAEL ALBERTO SUAREZ BAQUEDANO</v>
      </c>
      <c r="B465" t="e">
        <f>SUM(#REF!,#REF!)</f>
        <v>#REF!</v>
      </c>
      <c r="C465">
        <v>4</v>
      </c>
      <c r="D465">
        <v>67280.53</v>
      </c>
      <c r="E465">
        <v>2.5</v>
      </c>
      <c r="F465">
        <v>147503.61</v>
      </c>
      <c r="G465" t="e">
        <f>SUM(#REF!,#REF!)</f>
        <v>#REF!</v>
      </c>
    </row>
    <row r="466">
      <c r="A466" t="str">
        <v>DESIREE DE LA PEÐA OROZCO</v>
      </c>
      <c r="B466" t="e">
        <f>SUM(#REF!,#REF!)</f>
        <v>#REF!</v>
      </c>
      <c r="C466">
        <v>3</v>
      </c>
      <c r="D466">
        <v>77462.79</v>
      </c>
      <c r="E466">
        <v>0.5</v>
      </c>
      <c r="F466">
        <v>41945.99</v>
      </c>
      <c r="G466" t="e">
        <f>SUM(#REF!,#REF!)</f>
        <v>#REF!</v>
      </c>
    </row>
    <row r="467">
      <c r="A467" t="str">
        <v>MONICA ANDREA AMBRIZ GOMEZ</v>
      </c>
      <c r="B467" t="e">
        <f>SUM(#REF!,#REF!)</f>
        <v>#REF!</v>
      </c>
      <c r="C467">
        <v>4</v>
      </c>
      <c r="D467">
        <v>98813.08</v>
      </c>
      <c r="E467">
        <v>1</v>
      </c>
      <c r="F467">
        <v>4880.42</v>
      </c>
      <c r="G467" t="e">
        <f>SUM(#REF!,#REF!)</f>
        <v>#REF!</v>
      </c>
    </row>
    <row r="468">
      <c r="A468" t="str">
        <v>JULIANA RIASCOS VALENCIA</v>
      </c>
      <c r="B468" t="e">
        <f>SUM(#REF!,#REF!)</f>
        <v>#REF!</v>
      </c>
      <c r="C468">
        <v>2</v>
      </c>
      <c r="D468">
        <v>73926.47</v>
      </c>
      <c r="G468" t="e">
        <f>SUM(#REF!,#REF!)</f>
        <v>#REF!</v>
      </c>
    </row>
    <row r="469">
      <c r="A469" t="str">
        <v>EVELYN CAROLINA VENEGAS IÐIGUEZ</v>
      </c>
      <c r="B469" t="e">
        <f>SUM(#REF!,#REF!)</f>
        <v>#REF!</v>
      </c>
      <c r="C469">
        <v>1</v>
      </c>
      <c r="D469">
        <v>70100.37</v>
      </c>
      <c r="G469" t="e">
        <f>SUM(#REF!,#REF!)</f>
        <v>#REF!</v>
      </c>
    </row>
    <row r="470">
      <c r="A470" t="str">
        <v>JOSE RENE DE ALBA MORALES</v>
      </c>
      <c r="B470" t="e">
        <f>SUM(#REF!,#REF!)</f>
        <v>#REF!</v>
      </c>
      <c r="C470">
        <v>0</v>
      </c>
      <c r="D470">
        <v>0</v>
      </c>
      <c r="E470">
        <v>0.5</v>
      </c>
      <c r="F470">
        <v>55645.54</v>
      </c>
      <c r="G470" t="e">
        <f>SUM(#REF!,#REF!)</f>
        <v>#REF!</v>
      </c>
    </row>
    <row r="471">
      <c r="A471" t="str">
        <v>ORLANDA JIMENA CERVANTES NUÐEZ</v>
      </c>
      <c r="B471" t="e">
        <f>SUM(#REF!,#REF!)</f>
        <v>#REF!</v>
      </c>
      <c r="C471">
        <v>2</v>
      </c>
      <c r="D471">
        <v>51993.92</v>
      </c>
      <c r="G471" t="e">
        <f>SUM(#REF!,#REF!)</f>
        <v>#REF!</v>
      </c>
      <c r="I471" t="str">
        <v>RAFAEL ALBERTO SUAREZ BAQUEDANO</v>
      </c>
      <c r="K471">
        <v>4</v>
      </c>
    </row>
    <row r="472">
      <c r="A472" t="str">
        <v>ROGELIO TORRES ORTIZ</v>
      </c>
      <c r="B472" t="e">
        <f>SUM(#REF!,#REF!)</f>
        <v>#REF!</v>
      </c>
      <c r="C472">
        <v>3</v>
      </c>
      <c r="D472">
        <v>50558.58</v>
      </c>
      <c r="G472" t="e">
        <f>SUM(#REF!,#REF!)</f>
        <v>#REF!</v>
      </c>
      <c r="I472" t="str">
        <v>DESIREE DE LA PEÐA OROZCO</v>
      </c>
      <c r="K472">
        <v>3</v>
      </c>
    </row>
    <row r="473">
      <c r="A473" t="str">
        <v>ADRIANA ALEJANDRA JOYA MARTINEZ</v>
      </c>
      <c r="B473" t="e">
        <f>SUM(#REF!,#REF!)</f>
        <v>#REF!</v>
      </c>
      <c r="C473">
        <v>4</v>
      </c>
      <c r="D473">
        <v>34439.63</v>
      </c>
      <c r="G473" t="e">
        <f>SUM(#REF!,#REF!)</f>
        <v>#REF!</v>
      </c>
      <c r="I473" t="str">
        <v>MONICA ANDREA AMBRIZ GOMEZ</v>
      </c>
      <c r="K473">
        <v>4</v>
      </c>
    </row>
    <row r="474">
      <c r="A474" t="str">
        <v>JOSE ALBERTO CORONADO ROSAS</v>
      </c>
      <c r="B474" t="e">
        <f>SUM(#REF!,#REF!)</f>
        <v>#REF!</v>
      </c>
      <c r="C474">
        <v>1</v>
      </c>
      <c r="D474">
        <v>26882.79</v>
      </c>
      <c r="G474" t="e">
        <f>SUM(#REF!,#REF!)</f>
        <v>#REF!</v>
      </c>
      <c r="I474" t="str">
        <v>JULIANA RIASCOS VALENCIA</v>
      </c>
      <c r="K474">
        <v>2</v>
      </c>
    </row>
    <row r="475">
      <c r="A475" t="str">
        <v>KAREN MUÐOZ GARCIA</v>
      </c>
      <c r="B475" t="e">
        <f>SUM(#REF!,#REF!)</f>
        <v>#REF!</v>
      </c>
      <c r="C475">
        <v>0</v>
      </c>
      <c r="D475">
        <v>0</v>
      </c>
      <c r="E475">
        <v>0.5</v>
      </c>
      <c r="F475">
        <v>24794.51</v>
      </c>
      <c r="G475" t="e">
        <f>SUM(#REF!,#REF!)</f>
        <v>#REF!</v>
      </c>
      <c r="I475" t="str">
        <v>EVELYN CAROLINA VENEGAS IÐIGUEZ</v>
      </c>
      <c r="K475">
        <v>1</v>
      </c>
    </row>
    <row r="476">
      <c r="A476" t="str">
        <v>HANA SOFIA LOPEZ QUIÐONEZ</v>
      </c>
      <c r="B476" t="e">
        <f>SUM(#REF!,#REF!)</f>
        <v>#REF!</v>
      </c>
      <c r="C476">
        <v>1</v>
      </c>
      <c r="D476">
        <v>13665.92</v>
      </c>
      <c r="G476" t="e">
        <f>SUM(#REF!,#REF!)</f>
        <v>#REF!</v>
      </c>
      <c r="I476" t="str">
        <v>JOSE RENE DE ALBA MORALES</v>
      </c>
      <c r="K476">
        <v>0</v>
      </c>
    </row>
    <row r="477">
      <c r="A477" t="str">
        <v>ANA VERONICA GONZALEZ GAYTAN</v>
      </c>
      <c r="B477" t="e">
        <f>SUM(#REF!,#REF!)</f>
        <v>#REF!</v>
      </c>
      <c r="C477">
        <v>1</v>
      </c>
      <c r="D477">
        <v>13402.86</v>
      </c>
      <c r="G477" t="e">
        <f>SUM(#REF!,#REF!)</f>
        <v>#REF!</v>
      </c>
      <c r="I477" t="str">
        <v>ORLANDA JIMENA CERVANTES NUÐEZ</v>
      </c>
      <c r="K477">
        <v>2</v>
      </c>
    </row>
    <row r="478">
      <c r="A478" t="str">
        <v>SOFIA CAMPILLO VASCONCELOS</v>
      </c>
      <c r="B478" t="e">
        <f>SUM(#REF!,#REF!)</f>
        <v>#REF!</v>
      </c>
      <c r="C478">
        <v>0</v>
      </c>
      <c r="D478">
        <v>0</v>
      </c>
      <c r="E478">
        <v>0.5</v>
      </c>
      <c r="F478">
        <v>13231.23</v>
      </c>
      <c r="G478" t="e">
        <f>SUM(#REF!,#REF!)</f>
        <v>#REF!</v>
      </c>
      <c r="I478" t="str">
        <v>ROGELIO TORRES ORTIZ</v>
      </c>
      <c r="K478">
        <v>3</v>
      </c>
    </row>
    <row r="479">
      <c r="A479" t="str">
        <v>MARICELA ARREOLA LOPEZ</v>
      </c>
      <c r="B479" t="e">
        <f>SUM(#REF!,#REF!)</f>
        <v>#REF!</v>
      </c>
      <c r="C479">
        <v>1</v>
      </c>
      <c r="D479">
        <v>4422.41</v>
      </c>
      <c r="G479" t="e">
        <f>SUM(#REF!,#REF!)</f>
        <v>#REF!</v>
      </c>
      <c r="I479" t="str">
        <v>ADRIANA ALEJANDRA JOYA MARTINEZ</v>
      </c>
      <c r="K479">
        <v>4</v>
      </c>
    </row>
    <row r="480">
      <c r="A480" t="str">
        <v>LUVIA PATRICIA FIGUEROA CASTRO</v>
      </c>
      <c r="B480" t="e">
        <f>SUM(#REF!,#REF!)</f>
        <v>#REF!</v>
      </c>
      <c r="C480">
        <v>2</v>
      </c>
      <c r="D480">
        <v>3506.45</v>
      </c>
      <c r="G480" t="e">
        <f>SUM(#REF!,#REF!)</f>
        <v>#REF!</v>
      </c>
      <c r="I480" t="str">
        <v>JOSE ALBERTO CORONADO ROSAS</v>
      </c>
      <c r="K480">
        <v>1</v>
      </c>
    </row>
    <row r="481">
      <c r="A481" t="str">
        <v>VELIA PATRICIA BERNAL RAMOS</v>
      </c>
      <c r="B481" t="e">
        <f>SUM(#REF!,#REF!)</f>
        <v>#REF!</v>
      </c>
      <c r="C481">
        <v>1</v>
      </c>
      <c r="D481">
        <v>1708.99</v>
      </c>
      <c r="E481">
        <v>0.5</v>
      </c>
      <c r="F481">
        <v>1637.68</v>
      </c>
      <c r="G481" t="e">
        <f>SUM(#REF!,#REF!)</f>
        <v>#REF!</v>
      </c>
      <c r="I481" t="str">
        <v>KAREN MUÐOZ GARCIA</v>
      </c>
      <c r="K481">
        <v>0</v>
      </c>
    </row>
    <row r="482">
      <c r="A482" t="str">
        <v>GABRIELA CASTAÐEDA SALAZAR</v>
      </c>
      <c r="B482" t="e">
        <f>SUM(#REF!,#REF!)</f>
        <v>#REF!</v>
      </c>
      <c r="C482">
        <v>1</v>
      </c>
      <c r="D482">
        <v>2819.23</v>
      </c>
      <c r="G482" t="e">
        <f>SUM(#REF!,#REF!)</f>
        <v>#REF!</v>
      </c>
      <c r="I482" t="str">
        <v>HANA SOFIA LOPEZ QUIÐONEZ</v>
      </c>
      <c r="K482">
        <v>1</v>
      </c>
    </row>
    <row r="483">
      <c r="A483" t="str">
        <v>MIREYA LIZETTE TORRES GARCIA</v>
      </c>
      <c r="B483" t="e">
        <f>SUM(#REF!,#REF!)</f>
        <v>#REF!</v>
      </c>
      <c r="C483">
        <v>1</v>
      </c>
      <c r="D483">
        <v>2456.54</v>
      </c>
      <c r="G483" t="e">
        <f>SUM(#REF!,#REF!)</f>
        <v>#REF!</v>
      </c>
      <c r="I483" t="str">
        <v>ANA VERONICA GONZALEZ GAYTAN</v>
      </c>
      <c r="K483">
        <v>1</v>
      </c>
    </row>
    <row r="484">
      <c r="A484" t="str">
        <v>ANA LAURA CONTRERAS IÐIGUEZ</v>
      </c>
      <c r="B484" t="e">
        <f>SUM(#REF!,#REF!)</f>
        <v>#REF!</v>
      </c>
      <c r="C484">
        <v>0</v>
      </c>
      <c r="D484">
        <v>0</v>
      </c>
      <c r="E484">
        <v>0.5</v>
      </c>
      <c r="F484">
        <v>1895.9</v>
      </c>
      <c r="G484" t="e">
        <f>SUM(#REF!,#REF!)</f>
        <v>#REF!</v>
      </c>
      <c r="I484" t="str">
        <v>SOFIA CAMPILLO VASCONCELOS</v>
      </c>
      <c r="K484">
        <v>0</v>
      </c>
    </row>
    <row r="485">
      <c r="A485" t="str">
        <v>ANDREA CELESTE IBAÐEZ RINCON</v>
      </c>
      <c r="B485" t="e">
        <f>SUM(#REF!,#REF!)</f>
        <v>#REF!</v>
      </c>
      <c r="C485">
        <v>1</v>
      </c>
      <c r="D485">
        <v>1890.96</v>
      </c>
      <c r="G485" t="e">
        <f>SUM(#REF!,#REF!)</f>
        <v>#REF!</v>
      </c>
      <c r="I485" t="str">
        <v>MARICELA ARREOLA LOPEZ</v>
      </c>
      <c r="K485">
        <v>1</v>
      </c>
    </row>
    <row r="486">
      <c r="A486" t="str">
        <v>MARIA ELIZABETH LLAMAS LOPEZ</v>
      </c>
      <c r="B486" t="e">
        <f>SUM(#REF!,#REF!)</f>
        <v>#REF!</v>
      </c>
      <c r="C486">
        <v>1</v>
      </c>
      <c r="D486">
        <v>1810.81</v>
      </c>
      <c r="G486" t="e">
        <f>SUM(#REF!,#REF!)</f>
        <v>#REF!</v>
      </c>
      <c r="I486" t="str">
        <v>LUVIA PATRICIA FIGUEROA CASTRO</v>
      </c>
      <c r="K486">
        <v>2</v>
      </c>
    </row>
    <row r="487">
      <c r="A487" t="str">
        <v>GERARDO DANIEL BARAJAS TORRES</v>
      </c>
      <c r="B487" t="e">
        <f>SUM(#REF!,#REF!)</f>
        <v>#REF!</v>
      </c>
      <c r="C487">
        <v>1</v>
      </c>
      <c r="D487">
        <v>1569.86</v>
      </c>
      <c r="G487" t="e">
        <f>SUM(#REF!,#REF!)</f>
        <v>#REF!</v>
      </c>
      <c r="I487" t="str">
        <v>VELIA PATRICIA BERNAL RAMOS</v>
      </c>
      <c r="K487">
        <v>1</v>
      </c>
    </row>
    <row r="488">
      <c r="A488" t="str">
        <v>SAMUEL NUÐO RIVERA</v>
      </c>
      <c r="B488" t="e">
        <f>SUM(#REF!,#REF!)</f>
        <v>#REF!</v>
      </c>
      <c r="C488">
        <v>0</v>
      </c>
      <c r="D488">
        <v>0</v>
      </c>
      <c r="G488" t="e">
        <f>SUM(#REF!,#REF!)</f>
        <v>#REF!</v>
      </c>
      <c r="I488" t="str">
        <v>GABRIELA CASTAÐEDA SALAZAR</v>
      </c>
      <c r="K488">
        <v>1</v>
      </c>
    </row>
    <row r="489">
      <c r="A489" t="str">
        <v>ROCIO YANETH OCHOA IBARRA</v>
      </c>
      <c r="B489" t="e">
        <f>SUM(#REF!,#REF!)</f>
        <v>#REF!</v>
      </c>
      <c r="C489">
        <v>0</v>
      </c>
      <c r="D489">
        <v>0</v>
      </c>
      <c r="G489" t="e">
        <f>SUM(#REF!,#REF!)</f>
        <v>#REF!</v>
      </c>
      <c r="I489" t="str">
        <v>MIREYA LIZETTE TORRES GARCIA</v>
      </c>
      <c r="K489">
        <v>1</v>
      </c>
    </row>
    <row r="490">
      <c r="A490" t="str">
        <v>ROCIO IVON RUIZ GARCIA</v>
      </c>
      <c r="B490" t="e">
        <f>SUM(#REF!,#REF!)</f>
        <v>#REF!</v>
      </c>
      <c r="C490">
        <v>0</v>
      </c>
      <c r="D490">
        <v>0</v>
      </c>
      <c r="G490" t="e">
        <f>SUM(#REF!,#REF!)</f>
        <v>#REF!</v>
      </c>
      <c r="I490" t="str">
        <v>ANA LAURA CONTRERAS IÐIGUEZ</v>
      </c>
      <c r="K490">
        <v>0</v>
      </c>
    </row>
    <row r="491">
      <c r="A491" t="str">
        <v>PAULINA RODRIGUEZ DE LA MORA</v>
      </c>
      <c r="B491" t="e">
        <f>SUM(#REF!,#REF!)</f>
        <v>#REF!</v>
      </c>
      <c r="C491">
        <v>0</v>
      </c>
      <c r="D491">
        <v>0</v>
      </c>
      <c r="G491" t="e">
        <f>SUM(#REF!,#REF!)</f>
        <v>#REF!</v>
      </c>
      <c r="I491" t="str">
        <v>ANDREA CELESTE IBAÐEZ RINCON</v>
      </c>
      <c r="K491">
        <v>1</v>
      </c>
    </row>
    <row r="492">
      <c r="A492" t="str">
        <v>PAULINA LIZBETH SOTO MUÐIZ</v>
      </c>
      <c r="B492" t="e">
        <f>SUM(#REF!,#REF!)</f>
        <v>#REF!</v>
      </c>
      <c r="C492">
        <v>0</v>
      </c>
      <c r="D492">
        <v>0</v>
      </c>
      <c r="G492" t="e">
        <f>SUM(#REF!,#REF!)</f>
        <v>#REF!</v>
      </c>
      <c r="I492" t="str">
        <v>MARIA ELIZABETH LLAMAS LOPEZ</v>
      </c>
      <c r="K492">
        <v>1</v>
      </c>
    </row>
    <row r="493">
      <c r="A493" t="str">
        <v>MARIA TERESA ASENCIO LOZANO</v>
      </c>
      <c r="B493" t="e">
        <f>SUM(#REF!,#REF!)</f>
        <v>#REF!</v>
      </c>
      <c r="C493">
        <v>0</v>
      </c>
      <c r="D493">
        <v>0</v>
      </c>
      <c r="G493" t="e">
        <f>SUM(#REF!,#REF!)</f>
        <v>#REF!</v>
      </c>
      <c r="I493" t="str">
        <v>GERARDO DANIEL BARAJAS TORRES</v>
      </c>
      <c r="K493">
        <v>1</v>
      </c>
    </row>
    <row r="494">
      <c r="A494" t="str">
        <v>MARIA JOSE GUZMAN ZAMORA</v>
      </c>
      <c r="B494" t="e">
        <f>SUM(#REF!,#REF!)</f>
        <v>#REF!</v>
      </c>
      <c r="C494">
        <v>0</v>
      </c>
      <c r="D494">
        <v>0</v>
      </c>
      <c r="G494" t="e">
        <f>SUM(#REF!,#REF!)</f>
        <v>#REF!</v>
      </c>
    </row>
    <row r="495">
      <c r="A495" t="str">
        <v>MARIA FERNANDA CARLOS VAZQUEZ</v>
      </c>
      <c r="B495" t="e">
        <f>SUM(#REF!,#REF!)</f>
        <v>#REF!</v>
      </c>
      <c r="C495">
        <v>0</v>
      </c>
      <c r="D495">
        <v>0</v>
      </c>
      <c r="G495" t="e">
        <f>SUM(#REF!,#REF!)</f>
        <v>#REF!</v>
      </c>
    </row>
    <row r="496">
      <c r="A496" t="str">
        <v>LINDA TANIA MIROSLAVA ENRIQUEZ PRECIADO</v>
      </c>
      <c r="B496" t="e">
        <f>SUM(#REF!,#REF!)</f>
        <v>#REF!</v>
      </c>
      <c r="C496">
        <v>0</v>
      </c>
      <c r="D496">
        <v>0</v>
      </c>
      <c r="G496" t="e">
        <f>SUM(#REF!,#REF!)</f>
        <v>#REF!</v>
      </c>
    </row>
    <row r="497">
      <c r="A497" t="str">
        <v>LILIANA IVETTE CASTILLO SANCHEZ</v>
      </c>
      <c r="B497" t="e">
        <f>SUM(#REF!,#REF!)</f>
        <v>#REF!</v>
      </c>
      <c r="C497">
        <v>0</v>
      </c>
      <c r="D497">
        <v>0</v>
      </c>
      <c r="G497" t="e">
        <f>SUM(#REF!,#REF!)</f>
        <v>#REF!</v>
      </c>
    </row>
    <row r="498">
      <c r="A498" t="str">
        <v>LAURA DOLORES MONTAÐO MONTAÐO</v>
      </c>
      <c r="B498" t="e">
        <f>SUM(#REF!,#REF!)</f>
        <v>#REF!</v>
      </c>
      <c r="C498">
        <v>0</v>
      </c>
      <c r="D498">
        <v>0</v>
      </c>
      <c r="G498" t="e">
        <f>SUM(#REF!,#REF!)</f>
        <v>#REF!</v>
      </c>
    </row>
    <row r="499">
      <c r="A499" t="str">
        <v>JOSE EDUARDO EZQUERRO BARQUERA</v>
      </c>
      <c r="B499" t="e">
        <f>SUM(#REF!,#REF!)</f>
        <v>#REF!</v>
      </c>
      <c r="C499">
        <v>0</v>
      </c>
      <c r="D499">
        <v>0</v>
      </c>
      <c r="G499" t="e">
        <f>SUM(#REF!,#REF!)</f>
        <v>#REF!</v>
      </c>
      <c r="I499" t="str">
        <v>FALTANTE PARA LA META</v>
      </c>
      <c r="K499">
        <f>MAX(0,53-SUM(K471:K498))</f>
        <v>18</v>
      </c>
    </row>
    <row r="500">
      <c r="A500" t="str">
        <v>JORGE ANTONIO LUNA LARA</v>
      </c>
      <c r="B500" t="e">
        <f>SUM(#REF!,#REF!)</f>
        <v>#REF!</v>
      </c>
      <c r="C500">
        <v>0</v>
      </c>
      <c r="D500">
        <v>0</v>
      </c>
      <c r="G500" t="e">
        <f>SUM(#REF!,#REF!)</f>
        <v>#REF!</v>
      </c>
      <c r="I500" t="str">
        <v>TOTAL</v>
      </c>
      <c r="K500">
        <f>SUM(K471:K498)</f>
        <v>35</v>
      </c>
    </row>
    <row r="501">
      <c r="A501" t="str">
        <v>JORGE ALBERTO PRECIADO GONZALEZ</v>
      </c>
      <c r="B501" t="e">
        <f>SUM(#REF!,#REF!)</f>
        <v>#REF!</v>
      </c>
      <c r="C501">
        <v>0</v>
      </c>
      <c r="D501">
        <v>0</v>
      </c>
      <c r="G501" t="e">
        <f>SUM(#REF!,#REF!)</f>
        <v>#REF!</v>
      </c>
    </row>
    <row r="502">
      <c r="A502" t="str">
        <v>JOCELYN URIBE VARGAS</v>
      </c>
      <c r="B502" t="e">
        <f>SUM(#REF!,#REF!)</f>
        <v>#REF!</v>
      </c>
      <c r="C502">
        <v>0</v>
      </c>
      <c r="D502">
        <v>0</v>
      </c>
      <c r="G502" t="e">
        <f>SUM(#REF!,#REF!)</f>
        <v>#REF!</v>
      </c>
    </row>
    <row r="503">
      <c r="A503" t="str">
        <v>ISAI ANTONIO ROJAS MARTINEZ</v>
      </c>
      <c r="B503" t="e">
        <f>SUM(#REF!,#REF!)</f>
        <v>#REF!</v>
      </c>
      <c r="C503">
        <v>0</v>
      </c>
      <c r="D503">
        <v>0</v>
      </c>
      <c r="G503" t="e">
        <f>SUM(#REF!,#REF!)</f>
        <v>#REF!</v>
      </c>
    </row>
    <row r="504">
      <c r="A504" t="str">
        <v>ENRIQUE ADRIAN GUTIERREZ JIMENEZ</v>
      </c>
      <c r="B504" t="e">
        <f>SUM(#REF!,#REF!)</f>
        <v>#REF!</v>
      </c>
      <c r="C504">
        <v>0</v>
      </c>
      <c r="D504">
        <v>0</v>
      </c>
      <c r="G504" t="e">
        <f>SUM(#REF!,#REF!)</f>
        <v>#REF!</v>
      </c>
    </row>
    <row r="505">
      <c r="A505" t="str">
        <v>DARINKA UREÐA CASILLAS</v>
      </c>
      <c r="B505" t="e">
        <f>SUM(#REF!,#REF!)</f>
        <v>#REF!</v>
      </c>
      <c r="C505">
        <v>0</v>
      </c>
      <c r="D505">
        <v>0</v>
      </c>
      <c r="G505" t="e">
        <f>SUM(#REF!,#REF!)</f>
        <v>#REF!</v>
      </c>
    </row>
    <row r="506">
      <c r="A506" t="str">
        <v>CLAUDIA VALERIA HERNANDEZ MACIAS</v>
      </c>
      <c r="B506" t="e">
        <f>SUM(#REF!,#REF!)</f>
        <v>#REF!</v>
      </c>
      <c r="C506">
        <v>0</v>
      </c>
      <c r="D506">
        <v>0</v>
      </c>
      <c r="G506" t="e">
        <f>SUM(#REF!,#REF!)</f>
        <v>#REF!</v>
      </c>
      <c r="I506" t="str">
        <v>CAMPEONES:</v>
      </c>
    </row>
    <row r="507">
      <c r="A507" t="str">
        <v>BRUNO BRAULIO MACIAS ALVAREZ</v>
      </c>
      <c r="B507" t="e">
        <f>SUM(#REF!,#REF!)</f>
        <v>#REF!</v>
      </c>
      <c r="C507">
        <v>0</v>
      </c>
      <c r="D507">
        <v>0</v>
      </c>
      <c r="G507" t="e">
        <f>SUM(#REF!,#REF!)</f>
        <v>#REF!</v>
      </c>
      <c r="I507" t="str">
        <v>NOVATO POLIZAS VIDA</v>
      </c>
      <c r="K507" t="str">
        <v>ADRI JOYA</v>
      </c>
    </row>
    <row r="508">
      <c r="A508" t="str">
        <v>ANGELICA YADIRA ROMERO JAUREGUI</v>
      </c>
      <c r="B508" t="e">
        <f>SUM(#REF!,#REF!)</f>
        <v>#REF!</v>
      </c>
      <c r="C508">
        <v>0</v>
      </c>
      <c r="D508">
        <v>0</v>
      </c>
      <c r="G508" t="e">
        <f>SUM(#REF!,#REF!)</f>
        <v>#REF!</v>
      </c>
      <c r="I508" t="str">
        <v>PRO POLIZAS VIDA</v>
      </c>
      <c r="K508" t="str">
        <v xml:space="preserve">MONI </v>
      </c>
    </row>
    <row r="509">
      <c r="A509" t="str">
        <v>ANAIS LUA MORENO</v>
      </c>
      <c r="B509" t="e">
        <f>SUM(#REF!,#REF!)</f>
        <v>#REF!</v>
      </c>
      <c r="C509">
        <v>0</v>
      </c>
      <c r="D509">
        <v>0</v>
      </c>
      <c r="G509" t="e">
        <f>SUM(#REF!,#REF!)</f>
        <v>#REF!</v>
      </c>
      <c r="I509" t="str">
        <v>NOVATO PRIMA VIDA</v>
      </c>
      <c r="K509" t="str">
        <v>ADRI JOYA</v>
      </c>
    </row>
    <row r="510">
      <c r="B510" t="e">
        <f>SUM(#REF!,#REF!)</f>
        <v>#REF!</v>
      </c>
      <c r="C510">
        <v>0</v>
      </c>
      <c r="D510">
        <v>0</v>
      </c>
      <c r="G510" t="e">
        <f>SUM(#REF!,#REF!)</f>
        <v>#REF!</v>
      </c>
      <c r="I510" t="str">
        <v>PRO PRIMA VIDA</v>
      </c>
      <c r="K510" t="str">
        <v xml:space="preserve">MONI </v>
      </c>
    </row>
    <row r="511">
      <c r="B511" t="e">
        <f>SUM(#REF!,#REF!)</f>
        <v>#REF!</v>
      </c>
      <c r="C511">
        <v>0</v>
      </c>
      <c r="D511">
        <v>0</v>
      </c>
      <c r="G511" t="e">
        <f>SUM(#REF!,#REF!)</f>
        <v>#REF!</v>
      </c>
      <c r="I511" t="str">
        <v>NOVATO POLIZAS GMM</v>
      </c>
      <c r="K511" t="str">
        <v>ANA</v>
      </c>
    </row>
    <row r="512">
      <c r="B512" t="e">
        <f>SUM(#REF!,#REF!)</f>
        <v>#REF!</v>
      </c>
      <c r="C512">
        <v>0</v>
      </c>
      <c r="D512">
        <v>0</v>
      </c>
      <c r="G512" t="e">
        <f>SUM(#REF!,#REF!)</f>
        <v>#REF!</v>
      </c>
      <c r="I512" t="str">
        <v>PRO POLIZAS GMM</v>
      </c>
      <c r="K512" t="str">
        <v>RAFA</v>
      </c>
    </row>
    <row r="513">
      <c r="B513" t="e">
        <f>SUM(#REF!,#REF!)</f>
        <v>#REF!</v>
      </c>
      <c r="C513">
        <v>0</v>
      </c>
      <c r="D513">
        <v>0</v>
      </c>
      <c r="G513" t="e">
        <f>SUM(#REF!,#REF!)</f>
        <v>#REF!</v>
      </c>
      <c r="I513" t="str">
        <v>NOVATO PRIMA GMM</v>
      </c>
      <c r="K513" t="str">
        <v xml:space="preserve">SOFI CAMPILLO </v>
      </c>
    </row>
    <row r="514">
      <c r="B514" t="e">
        <f>SUM(#REF!,#REF!)</f>
        <v>#REF!</v>
      </c>
      <c r="C514">
        <v>0</v>
      </c>
      <c r="D514">
        <v>0</v>
      </c>
      <c r="G514" t="e">
        <f>SUM(#REF!,#REF!)</f>
        <v>#REF!</v>
      </c>
      <c r="I514" t="str">
        <v>PRO PRIMAS GMM</v>
      </c>
      <c r="K514" t="str">
        <v>RAFA</v>
      </c>
    </row>
    <row r="515">
      <c r="B515" t="e">
        <f>SUM(#REF!,#REF!)</f>
        <v>#REF!</v>
      </c>
      <c r="C515">
        <v>0</v>
      </c>
      <c r="D515">
        <v>0</v>
      </c>
      <c r="G515" t="e">
        <f>SUM(#REF!,#REF!)</f>
        <v>#REF!</v>
      </c>
    </row>
    <row r="516">
      <c r="B516" t="e">
        <f>SUM(#REF!,#REF!)</f>
        <v>#REF!</v>
      </c>
      <c r="C516">
        <v>0</v>
      </c>
      <c r="D516">
        <v>0</v>
      </c>
      <c r="G516" t="e">
        <f>SUM(#REF!,#REF!)</f>
        <v>#REF!</v>
      </c>
    </row>
    <row r="517">
      <c r="B517" t="e">
        <f>SUM(#REF!,#REF!)</f>
        <v>#REF!</v>
      </c>
      <c r="C517">
        <v>0</v>
      </c>
      <c r="D517">
        <v>0</v>
      </c>
      <c r="G517" t="e">
        <f>SUM(#REF!,#REF!)</f>
        <v>#REF!</v>
      </c>
    </row>
    <row r="518">
      <c r="B518" t="e">
        <f>SUM(#REF!,#REF!)</f>
        <v>#REF!</v>
      </c>
      <c r="C518">
        <v>0</v>
      </c>
      <c r="D518">
        <v>0</v>
      </c>
      <c r="G518" t="e">
        <f>SUM(#REF!,#REF!)</f>
        <v>#REF!</v>
      </c>
    </row>
    <row r="519">
      <c r="A519" t="str">
        <v>Total</v>
      </c>
      <c r="B519" t="e">
        <f>SUM(#REF!)</f>
        <v>#REF!</v>
      </c>
      <c r="C519" t="e">
        <f>SUM(#REF!)</f>
        <v>#REF!</v>
      </c>
      <c r="D519" t="e">
        <f>SUM(#REF!)</f>
        <v>#REF!</v>
      </c>
      <c r="E519" t="e">
        <f>SUM(#REF!)</f>
        <v>#REF!</v>
      </c>
      <c r="F519" t="e">
        <f>SUM(#REF!)</f>
        <v>#REF!</v>
      </c>
      <c r="G519" t="e">
        <f>SUM(#REF!)</f>
        <v>#REF!</v>
      </c>
    </row>
    <row r="528">
      <c r="A528" t="str">
        <v>Ventas mensuales ENERO</v>
      </c>
    </row>
    <row r="529">
      <c r="A529" t="str">
        <v>Asesor</v>
      </c>
      <c r="B529" t="str">
        <v xml:space="preserve">Pólizas </v>
      </c>
      <c r="C529" t="str">
        <v>Vida</v>
      </c>
      <c r="D529" t="str">
        <v>Prima Pagada vida</v>
      </c>
      <c r="E529" t="str">
        <v>Gmm</v>
      </c>
      <c r="F529" t="str">
        <v>Prima Pagada gmm</v>
      </c>
      <c r="G529" t="str">
        <v>Prima total</v>
      </c>
      <c r="I529" t="str">
        <v>ENRIQUE ADRIAN GUTIERREZ JIMENEZ 95148</v>
      </c>
      <c r="J529" t="str">
        <v>VI0002965387</v>
      </c>
      <c r="K529">
        <v>12</v>
      </c>
      <c r="L529">
        <v>46058.414358179994</v>
      </c>
      <c r="M529">
        <f>L529/K529</f>
        <v>3838.2011965149995</v>
      </c>
    </row>
    <row r="530">
      <c r="A530" t="str">
        <v>JORGE ANTONIO LUNA LARA</v>
      </c>
      <c r="B530" t="e">
        <f>SUM(#REF!,#REF!)</f>
        <v>#REF!</v>
      </c>
      <c r="C530">
        <v>0</v>
      </c>
      <c r="D530">
        <v>0</v>
      </c>
      <c r="E530">
        <v>0.5</v>
      </c>
      <c r="F530">
        <v>119694.65</v>
      </c>
      <c r="G530" t="e">
        <f>SUM(#REF!,#REF!)</f>
        <v>#REF!</v>
      </c>
      <c r="I530" t="str">
        <v>GABRIELA CASTAÑEDA SALAZAR 105696</v>
      </c>
      <c r="J530" t="str">
        <v>VI0002966033</v>
      </c>
      <c r="K530">
        <v>12</v>
      </c>
      <c r="L530">
        <v>36233.472871785605</v>
      </c>
      <c r="M530">
        <f>L530/K530</f>
        <v>3019.4560726488003</v>
      </c>
    </row>
    <row r="531">
      <c r="A531" t="str">
        <v>ORLANDA JIMENA CERVANTES NUÐEZ</v>
      </c>
      <c r="B531" t="e">
        <f>SUM(#REF!,#REF!)</f>
        <v>#REF!</v>
      </c>
      <c r="C531">
        <v>0</v>
      </c>
      <c r="D531">
        <v>0</v>
      </c>
      <c r="E531">
        <v>0.5</v>
      </c>
      <c r="F531">
        <v>114226.56</v>
      </c>
      <c r="G531" t="e">
        <f>SUM(#REF!,#REF!)</f>
        <v>#REF!</v>
      </c>
      <c r="I531" t="str">
        <v>MARIA TERESA ASENCIO LOZANO 94156</v>
      </c>
      <c r="J531" t="str">
        <v>GM0000734254</v>
      </c>
      <c r="K531">
        <v>1</v>
      </c>
      <c r="L531">
        <v>5790.12</v>
      </c>
      <c r="M531">
        <f>L531/K531</f>
        <v>5790.12</v>
      </c>
      <c r="N531">
        <f>M531+M532</f>
        <v>26439.64</v>
      </c>
    </row>
    <row r="532">
      <c r="A532" t="str">
        <v>MARIA TERESA ASENCIO LOZANO</v>
      </c>
      <c r="B532" t="e">
        <f>SUM(#REF!,#REF!)</f>
        <v>#REF!</v>
      </c>
      <c r="C532">
        <v>1</v>
      </c>
      <c r="D532">
        <v>50024.557917520004</v>
      </c>
      <c r="E532">
        <v>1</v>
      </c>
      <c r="F532">
        <v>26439.64</v>
      </c>
      <c r="G532" t="e">
        <f>SUM(#REF!,#REF!)</f>
        <v>#REF!</v>
      </c>
      <c r="I532" t="str">
        <v>MARIA TERESA ASENCIO LOZANO 94156</v>
      </c>
      <c r="J532" t="str">
        <v>GM0000736573</v>
      </c>
      <c r="K532">
        <v>1</v>
      </c>
      <c r="L532">
        <v>20649.52</v>
      </c>
      <c r="M532">
        <f>L532/K532</f>
        <v>20649.52</v>
      </c>
    </row>
    <row r="533">
      <c r="A533" t="str">
        <v>MONICA ANDREA AMBRIZ GOMEZ</v>
      </c>
      <c r="B533" t="e">
        <f>SUM(#REF!,#REF!)</f>
        <v>#REF!</v>
      </c>
      <c r="C533">
        <v>1</v>
      </c>
      <c r="D533">
        <v>19636.81</v>
      </c>
      <c r="E533">
        <v>0.5</v>
      </c>
      <c r="F533">
        <v>53320.577399999995</v>
      </c>
      <c r="G533" t="e">
        <f>SUM(#REF!,#REF!)</f>
        <v>#REF!</v>
      </c>
      <c r="I533" t="str">
        <v>MARIA TERESA ASENCIO LOZANO 94156</v>
      </c>
      <c r="J533" t="str">
        <v>VI0002966943</v>
      </c>
      <c r="K533">
        <v>1</v>
      </c>
      <c r="L533">
        <v>50024.557917520004</v>
      </c>
      <c r="M533">
        <f>L533/K533</f>
        <v>50024.557917520004</v>
      </c>
    </row>
    <row r="534">
      <c r="A534" t="str">
        <v>ANA LAURA CONTRERAS IÐIGUEZ</v>
      </c>
      <c r="B534" t="e">
        <f>SUM(#REF!,#REF!)</f>
        <v>#REF!</v>
      </c>
      <c r="C534">
        <v>1</v>
      </c>
      <c r="D534">
        <v>58035.36725553</v>
      </c>
      <c r="G534" t="e">
        <f>SUM(#REF!,#REF!)</f>
        <v>#REF!</v>
      </c>
      <c r="I534" t="str">
        <v>MARICELA ARREOLA LOPEZ 80925</v>
      </c>
      <c r="J534" t="str">
        <v>GM0000737049</v>
      </c>
      <c r="K534">
        <v>1</v>
      </c>
      <c r="L534">
        <v>26726.31</v>
      </c>
      <c r="M534">
        <f>L534/K534</f>
        <v>26726.31</v>
      </c>
    </row>
    <row r="535">
      <c r="A535" t="str">
        <v>MARIA ELIZABETH LLAMAS LOPEZ</v>
      </c>
      <c r="B535" t="e">
        <f>SUM(#REF!,#REF!)</f>
        <v>#REF!</v>
      </c>
      <c r="C535">
        <v>1</v>
      </c>
      <c r="D535">
        <v>36150.15040581</v>
      </c>
      <c r="G535" t="e">
        <f>SUM(#REF!,#REF!)</f>
        <v>#REF!</v>
      </c>
      <c r="I535" t="str">
        <v>MONICA ANDREA AMBRIZ GOMEZ 87538</v>
      </c>
      <c r="J535" t="str">
        <v>GM0000735131</v>
      </c>
      <c r="K535">
        <v>1</v>
      </c>
      <c r="L535">
        <v>53320.577399999995</v>
      </c>
      <c r="M535">
        <f>L535/K535</f>
        <v>53320.577399999995</v>
      </c>
    </row>
    <row r="536">
      <c r="A536" t="str">
        <v>RAFAEL ALBERTO SUAREZ BAQUEDANO</v>
      </c>
      <c r="B536" t="e">
        <f>SUM(#REF!,#REF!)</f>
        <v>#REF!</v>
      </c>
      <c r="C536">
        <v>0</v>
      </c>
      <c r="D536">
        <v>0</v>
      </c>
      <c r="E536">
        <v>0.5</v>
      </c>
      <c r="F536">
        <v>34865.14</v>
      </c>
      <c r="G536" t="e">
        <f>SUM(#REF!,#REF!)</f>
        <v>#REF!</v>
      </c>
      <c r="I536" t="str">
        <v>ORLANDA JIMENA CERVANTES NUÑEZ 107488</v>
      </c>
      <c r="J536" t="str">
        <v>GM0000733629</v>
      </c>
      <c r="K536">
        <v>1</v>
      </c>
      <c r="L536">
        <v>114226.56</v>
      </c>
      <c r="M536">
        <f>L536/K536</f>
        <v>114226.56</v>
      </c>
    </row>
    <row r="537">
      <c r="A537" t="str">
        <v>LILIANA IVETTE CASTILLO SANCHEZ</v>
      </c>
      <c r="B537" t="e">
        <f>SUM(#REF!,#REF!)</f>
        <v>#REF!</v>
      </c>
      <c r="C537">
        <v>0</v>
      </c>
      <c r="D537">
        <v>0</v>
      </c>
      <c r="E537">
        <v>0.5</v>
      </c>
      <c r="F537">
        <v>31388.89</v>
      </c>
      <c r="G537" t="e">
        <f>SUM(#REF!,#REF!)</f>
        <v>#REF!</v>
      </c>
      <c r="I537" t="str">
        <v>ANA LAURA CONTRERAS IÑIGUEZ 113450</v>
      </c>
      <c r="J537" t="str">
        <v>VI0002969135</v>
      </c>
      <c r="K537">
        <v>1</v>
      </c>
      <c r="L537">
        <v>58035.36725553</v>
      </c>
      <c r="M537">
        <f>L537/K537</f>
        <v>58035.36725553</v>
      </c>
    </row>
    <row r="538">
      <c r="A538" t="str">
        <v>LUVIA PATRICIA FIGUEROA CASTRO</v>
      </c>
      <c r="B538" t="e">
        <f>SUM(#REF!,#REF!)</f>
        <v>#REF!</v>
      </c>
      <c r="C538">
        <v>1</v>
      </c>
      <c r="D538">
        <v>30302.58</v>
      </c>
      <c r="G538" t="e">
        <f>SUM(#REF!,#REF!)</f>
        <v>#REF!</v>
      </c>
      <c r="I538" t="str">
        <v>JORGE ANTONIO LUNA LARA 111056</v>
      </c>
      <c r="J538" t="str">
        <v>GM0000734836</v>
      </c>
      <c r="K538">
        <v>1</v>
      </c>
      <c r="L538">
        <v>119694.65</v>
      </c>
      <c r="M538">
        <f>L538/K538</f>
        <v>119694.65</v>
      </c>
    </row>
    <row r="539">
      <c r="A539" t="str">
        <v>MARICELA ARREOLA LOPEZ</v>
      </c>
      <c r="B539" t="e">
        <f>SUM(#REF!,#REF!)</f>
        <v>#REF!</v>
      </c>
      <c r="C539">
        <v>0</v>
      </c>
      <c r="D539">
        <v>0</v>
      </c>
      <c r="E539">
        <v>0.5</v>
      </c>
      <c r="F539">
        <v>26726.31</v>
      </c>
      <c r="G539" t="e">
        <f>SUM(#REF!,#REF!)</f>
        <v>#REF!</v>
      </c>
      <c r="I539" t="str">
        <v>LILIANA IVETTE CASTILLO SANCHEZ 108404</v>
      </c>
      <c r="J539" t="str">
        <v>GM0000737018</v>
      </c>
      <c r="K539">
        <v>1</v>
      </c>
      <c r="L539">
        <v>31388.89</v>
      </c>
      <c r="M539">
        <f>L539/K539</f>
        <v>31388.89</v>
      </c>
    </row>
    <row r="540">
      <c r="A540" t="str">
        <v>SOFIA CAMPILLO VASCONCELOS</v>
      </c>
      <c r="B540" t="e">
        <f>SUM(#REF!,#REF!)</f>
        <v>#REF!</v>
      </c>
      <c r="C540">
        <v>1</v>
      </c>
      <c r="D540">
        <v>16208.09</v>
      </c>
      <c r="G540" t="e">
        <f>SUM(#REF!,#REF!)</f>
        <v>#REF!</v>
      </c>
      <c r="I540" t="str">
        <v>MARIA ELIZABETH LLAMAS LOPEZ 108405</v>
      </c>
      <c r="J540" t="str">
        <v>VI0002968874</v>
      </c>
      <c r="K540">
        <v>1</v>
      </c>
      <c r="L540">
        <v>36150.15040581</v>
      </c>
      <c r="M540">
        <f>L540/K540</f>
        <v>36150.15040581</v>
      </c>
    </row>
    <row r="541">
      <c r="A541" t="str">
        <v>VELIA PATRICIA BERNAL RAMOS</v>
      </c>
      <c r="B541" t="e">
        <f>SUM(#REF!,#REF!)</f>
        <v>#REF!</v>
      </c>
      <c r="C541">
        <v>1</v>
      </c>
      <c r="D541">
        <v>2419.57</v>
      </c>
      <c r="E541">
        <v>0.5</v>
      </c>
      <c r="F541">
        <v>10585.96</v>
      </c>
      <c r="G541" t="e">
        <f>SUM(#REF!,#REF!)</f>
        <v>#REF!</v>
      </c>
      <c r="I541" t="str">
        <v>PAULINA LIZBETH SOTO MUÑIZ 104750</v>
      </c>
      <c r="J541" t="str">
        <v>AP0000684878</v>
      </c>
      <c r="K541">
        <v>1</v>
      </c>
      <c r="L541">
        <v>1144.92</v>
      </c>
      <c r="M541">
        <f>L541/K541</f>
        <v>1144.92</v>
      </c>
      <c r="N541">
        <f>M541+M542</f>
        <v>6060.8455320250005</v>
      </c>
    </row>
    <row r="542">
      <c r="A542" t="str">
        <v>PAULINA LIZBETH SOTO MUÐIZ</v>
      </c>
      <c r="B542" t="e">
        <f>SUM(#REF!,#REF!)</f>
        <v>#REF!</v>
      </c>
      <c r="C542">
        <v>2</v>
      </c>
      <c r="D542">
        <v>6060.8455320250005</v>
      </c>
      <c r="G542" t="e">
        <f>SUM(#REF!,#REF!)</f>
        <v>#REF!</v>
      </c>
      <c r="I542" t="str">
        <v>PAULINA LIZBETH SOTO MUÑIZ 104750</v>
      </c>
      <c r="J542" t="str">
        <v>VI0002963373</v>
      </c>
      <c r="K542">
        <v>4</v>
      </c>
      <c r="L542">
        <v>19663.7021281</v>
      </c>
      <c r="M542">
        <f>L542/K542</f>
        <v>4915.925532025</v>
      </c>
    </row>
    <row r="543">
      <c r="A543" t="str">
        <v>PAULA ANGELICA LOMELI CAZARES</v>
      </c>
      <c r="B543" t="e">
        <f>SUM(#REF!,#REF!)</f>
        <v>#REF!</v>
      </c>
      <c r="C543">
        <v>2</v>
      </c>
      <c r="D543">
        <v>3328.63</v>
      </c>
      <c r="E543">
        <v>0.5</v>
      </c>
      <c r="F543">
        <v>1493.59</v>
      </c>
      <c r="G543" t="e">
        <f>SUM(#REF!,#REF!)</f>
        <v>#REF!</v>
      </c>
      <c r="I543" t="str">
        <v>ROGELIO TORRES ORTIZ 104718</v>
      </c>
      <c r="J543" t="str">
        <v>GM0000736280</v>
      </c>
      <c r="K543">
        <v>12</v>
      </c>
      <c r="L543">
        <v>36857.399999999994</v>
      </c>
      <c r="M543">
        <f>L543/K543</f>
        <v>3071.4499999999994</v>
      </c>
    </row>
    <row r="544">
      <c r="A544" t="str">
        <v>ANDREA CELESTE IBAÐEZ RINCON</v>
      </c>
      <c r="B544" t="e">
        <f>SUM(#REF!,#REF!)</f>
        <v>#REF!</v>
      </c>
      <c r="C544">
        <v>0</v>
      </c>
      <c r="D544">
        <v>0</v>
      </c>
      <c r="E544">
        <v>0.5</v>
      </c>
      <c r="F544">
        <v>3896.62</v>
      </c>
      <c r="G544" t="e">
        <f>SUM(#REF!,#REF!)</f>
        <v>#REF!</v>
      </c>
    </row>
    <row r="545">
      <c r="A545" t="str">
        <v>ENRIQUE ADRIAN GUTIERREZ JIMENEZ</v>
      </c>
      <c r="B545" t="e">
        <f>SUM(#REF!,#REF!)</f>
        <v>#REF!</v>
      </c>
      <c r="C545">
        <v>1</v>
      </c>
      <c r="D545">
        <v>3838.2011965149995</v>
      </c>
      <c r="G545" t="e">
        <f>SUM(#REF!,#REF!)</f>
        <v>#REF!</v>
      </c>
    </row>
    <row r="546">
      <c r="A546" t="str">
        <v>ROGELIO TORRES ORTIZ</v>
      </c>
      <c r="B546" t="e">
        <f>SUM(#REF!,#REF!)</f>
        <v>#REF!</v>
      </c>
      <c r="C546">
        <v>0</v>
      </c>
      <c r="D546">
        <v>0</v>
      </c>
      <c r="E546">
        <v>0.5</v>
      </c>
      <c r="F546">
        <v>3071.4499999999994</v>
      </c>
      <c r="G546" t="e">
        <f>SUM(#REF!,#REF!)</f>
        <v>#REF!</v>
      </c>
    </row>
    <row r="547">
      <c r="A547" t="str">
        <v>GABRIELA CASTAÐEDA SALAZAR</v>
      </c>
      <c r="B547" t="e">
        <f>SUM(#REF!,#REF!)</f>
        <v>#REF!</v>
      </c>
      <c r="C547">
        <v>1</v>
      </c>
      <c r="D547">
        <v>3019.4560726488003</v>
      </c>
      <c r="G547" t="e">
        <f>SUM(#REF!,#REF!)</f>
        <v>#REF!</v>
      </c>
    </row>
    <row r="548">
      <c r="A548" t="str">
        <v>ANAIS LUA MORENO</v>
      </c>
      <c r="B548" t="e">
        <f>SUM(#REF!,#REF!)</f>
        <v>#REF!</v>
      </c>
      <c r="C548">
        <v>1</v>
      </c>
      <c r="D548">
        <v>1712.03</v>
      </c>
      <c r="G548" t="e">
        <f>SUM(#REF!,#REF!)</f>
        <v>#REF!</v>
      </c>
      <c r="I548">
        <v>12794.16</v>
      </c>
    </row>
    <row r="549">
      <c r="A549" t="str">
        <v>DESIREE DE LA PEÐA OROZCO</v>
      </c>
      <c r="B549" t="e">
        <f>SUM(#REF!,#REF!)</f>
        <v>#REF!</v>
      </c>
      <c r="C549">
        <v>1</v>
      </c>
      <c r="D549">
        <v>1710.69</v>
      </c>
      <c r="G549" t="e">
        <f>SUM(#REF!,#REF!)</f>
        <v>#REF!</v>
      </c>
    </row>
    <row r="550">
      <c r="A550" t="str">
        <v>DARINKA UREÐA CASILLAS</v>
      </c>
      <c r="B550" t="e">
        <f>SUM(#REF!,#REF!)</f>
        <v>#REF!</v>
      </c>
      <c r="C550">
        <v>0</v>
      </c>
      <c r="D550">
        <v>0</v>
      </c>
      <c r="G550" t="e">
        <f>SUM(#REF!,#REF!)</f>
        <v>#REF!</v>
      </c>
    </row>
    <row r="551">
      <c r="A551" t="str">
        <v>JULIANA RIASCOS VALENCIA</v>
      </c>
      <c r="B551" t="e">
        <f>SUM(#REF!,#REF!)</f>
        <v>#REF!</v>
      </c>
      <c r="C551">
        <v>0</v>
      </c>
      <c r="D551">
        <v>0</v>
      </c>
      <c r="G551" t="e">
        <f>SUM(#REF!,#REF!)</f>
        <v>#REF!</v>
      </c>
    </row>
    <row r="552">
      <c r="A552" t="str">
        <v>ADRIANA ALEJANDRA JOYA MARTINEZ</v>
      </c>
      <c r="B552" t="e">
        <f>SUM(#REF!,#REF!)</f>
        <v>#REF!</v>
      </c>
      <c r="C552">
        <v>0</v>
      </c>
      <c r="D552">
        <v>0</v>
      </c>
      <c r="G552" t="e">
        <f>SUM(#REF!,#REF!)</f>
        <v>#REF!</v>
      </c>
    </row>
    <row r="553">
      <c r="A553" t="str">
        <v>JORGE ALBERTO PRECIADO GONZALEZ</v>
      </c>
      <c r="B553" t="e">
        <f>SUM(#REF!,#REF!)</f>
        <v>#REF!</v>
      </c>
      <c r="C553">
        <v>0</v>
      </c>
      <c r="D553">
        <v>0</v>
      </c>
      <c r="G553" t="e">
        <f>SUM(#REF!,#REF!)</f>
        <v>#REF!</v>
      </c>
      <c r="I553" t="str">
        <v>CAMPEONES:</v>
      </c>
    </row>
    <row r="554">
      <c r="A554" t="str">
        <v>JOSE RENE DE ALBA MORALES</v>
      </c>
      <c r="B554" t="e">
        <f>SUM(#REF!,#REF!)</f>
        <v>#REF!</v>
      </c>
      <c r="C554">
        <v>0</v>
      </c>
      <c r="D554">
        <v>0</v>
      </c>
      <c r="G554" t="e">
        <f>SUM(#REF!,#REF!)</f>
        <v>#REF!</v>
      </c>
      <c r="I554" t="str">
        <v>NOVATO POLIZAS VIDA</v>
      </c>
      <c r="J554" t="str">
        <v>PAULA LOMELI</v>
      </c>
    </row>
    <row r="555">
      <c r="A555" t="str">
        <v>MIREYA LIZETTE TORRES GARCIA</v>
      </c>
      <c r="B555" t="e">
        <f>SUM(#REF!,#REF!)</f>
        <v>#REF!</v>
      </c>
      <c r="C555">
        <v>0</v>
      </c>
      <c r="D555">
        <v>0</v>
      </c>
      <c r="G555" t="e">
        <f>SUM(#REF!,#REF!)</f>
        <v>#REF!</v>
      </c>
      <c r="I555" t="str">
        <v>PRO POLIZAS VIDA</v>
      </c>
      <c r="J555" t="str">
        <v>PAU SOTO</v>
      </c>
    </row>
    <row r="556">
      <c r="A556" t="str">
        <v>CLAUDIA VALERIA HERNANDEZ MACIAS</v>
      </c>
      <c r="B556" t="e">
        <f>SUM(#REF!,#REF!)</f>
        <v>#REF!</v>
      </c>
      <c r="C556">
        <v>0</v>
      </c>
      <c r="D556">
        <v>0</v>
      </c>
      <c r="G556" t="e">
        <f>SUM(#REF!,#REF!)</f>
        <v>#REF!</v>
      </c>
      <c r="I556" t="str">
        <v>NOVATO PRIMA VIDA</v>
      </c>
      <c r="J556" t="str">
        <v>ANA CONTRERAS</v>
      </c>
    </row>
    <row r="557">
      <c r="A557" t="str">
        <v>ISAI ANTONIO ROJAS MARTINEZ</v>
      </c>
      <c r="B557" t="e">
        <f>SUM(#REF!,#REF!)</f>
        <v>#REF!</v>
      </c>
      <c r="C557">
        <v>0</v>
      </c>
      <c r="D557">
        <v>0</v>
      </c>
      <c r="G557" t="e">
        <f>SUM(#REF!,#REF!)</f>
        <v>#REF!</v>
      </c>
      <c r="I557" t="str">
        <v>PRO PRIMA VIDA</v>
      </c>
      <c r="J557" t="str">
        <v>MAYTE</v>
      </c>
    </row>
    <row r="558">
      <c r="A558" t="str">
        <v>MARIA JOSE GUZMAN ZAMORA</v>
      </c>
      <c r="B558" t="e">
        <f>SUM(#REF!,#REF!)</f>
        <v>#REF!</v>
      </c>
      <c r="C558">
        <v>0</v>
      </c>
      <c r="D558">
        <v>0</v>
      </c>
      <c r="G558" t="e">
        <f>SUM(#REF!,#REF!)</f>
        <v>#REF!</v>
      </c>
      <c r="I558" t="str">
        <v>NOVATO POLIZAS GMM</v>
      </c>
      <c r="J558" t="str">
        <v>PATY</v>
      </c>
    </row>
    <row r="559">
      <c r="A559" t="str">
        <v>ROCIO YANETH OCHOA IBARRA</v>
      </c>
      <c r="B559" t="e">
        <f>SUM(#REF!,#REF!)</f>
        <v>#REF!</v>
      </c>
      <c r="C559">
        <v>0</v>
      </c>
      <c r="D559">
        <v>0</v>
      </c>
      <c r="G559" t="e">
        <f>SUM(#REF!,#REF!)</f>
        <v>#REF!</v>
      </c>
      <c r="I559" t="str">
        <v>PRO POLIZAS GMM</v>
      </c>
      <c r="J559" t="str">
        <v>MAYTE</v>
      </c>
    </row>
    <row r="560">
      <c r="A560" t="str">
        <v>SAMUEL NUÐO RIVERA</v>
      </c>
      <c r="B560" t="e">
        <f>SUM(#REF!,#REF!)</f>
        <v>#REF!</v>
      </c>
      <c r="C560">
        <v>0</v>
      </c>
      <c r="D560">
        <v>0</v>
      </c>
      <c r="G560" t="e">
        <f>SUM(#REF!,#REF!)</f>
        <v>#REF!</v>
      </c>
      <c r="I560" t="str">
        <v>NOVATO PRIMA GMM</v>
      </c>
      <c r="J560" t="str">
        <v>PATY</v>
      </c>
    </row>
    <row r="561">
      <c r="A561" t="str">
        <v>LAURA DOLORES MONTAÐO MONTAÐO</v>
      </c>
      <c r="B561" t="e">
        <f>SUM(#REF!,#REF!)</f>
        <v>#REF!</v>
      </c>
      <c r="C561">
        <v>0</v>
      </c>
      <c r="D561">
        <v>0</v>
      </c>
      <c r="G561" t="e">
        <f>SUM(#REF!,#REF!)</f>
        <v>#REF!</v>
      </c>
      <c r="I561" t="str">
        <v>PRO PRIMAS GMM</v>
      </c>
      <c r="J561" t="str">
        <v>JORGE LUNA</v>
      </c>
    </row>
    <row r="562">
      <c r="A562" t="str">
        <v>MARIA FERNANDA CARLOS VAZQUEZ</v>
      </c>
      <c r="B562" t="e">
        <f>SUM(#REF!,#REF!)</f>
        <v>#REF!</v>
      </c>
      <c r="C562">
        <v>0</v>
      </c>
      <c r="D562">
        <v>0</v>
      </c>
      <c r="G562" t="e">
        <f>SUM(#REF!,#REF!)</f>
        <v>#REF!</v>
      </c>
    </row>
    <row r="563">
      <c r="A563" t="str">
        <v>JOCELYN URIBE VARGAS</v>
      </c>
      <c r="B563" t="e">
        <f>SUM(#REF!,#REF!)</f>
        <v>#REF!</v>
      </c>
      <c r="C563">
        <v>0</v>
      </c>
      <c r="D563">
        <v>0</v>
      </c>
      <c r="G563" t="e">
        <f>SUM(#REF!,#REF!)</f>
        <v>#REF!</v>
      </c>
    </row>
    <row r="564">
      <c r="A564" t="str">
        <v>HANA SOFIA LOPEZ QUIÐONEZ</v>
      </c>
      <c r="B564" t="e">
        <f>SUM(#REF!,#REF!)</f>
        <v>#REF!</v>
      </c>
      <c r="C564">
        <v>0</v>
      </c>
      <c r="D564">
        <v>0</v>
      </c>
      <c r="G564" t="e">
        <f>SUM(#REF!,#REF!)</f>
        <v>#REF!</v>
      </c>
    </row>
    <row r="565">
      <c r="A565" t="str">
        <v>EVELYN CAROLINA VENEGAS IÐIGUEZ</v>
      </c>
      <c r="B565" t="e">
        <f>SUM(#REF!,#REF!)</f>
        <v>#REF!</v>
      </c>
      <c r="C565">
        <v>0</v>
      </c>
      <c r="D565">
        <v>0</v>
      </c>
      <c r="G565" t="e">
        <f>SUM(#REF!,#REF!)</f>
        <v>#REF!</v>
      </c>
    </row>
    <row r="566">
      <c r="A566" t="str">
        <v>ANA VERONICA GONZALEZ GAYTAN</v>
      </c>
      <c r="B566" t="e">
        <f>SUM(#REF!,#REF!)</f>
        <v>#REF!</v>
      </c>
      <c r="C566">
        <v>0</v>
      </c>
      <c r="D566">
        <v>0</v>
      </c>
      <c r="G566" t="e">
        <f>SUM(#REF!,#REF!)</f>
        <v>#REF!</v>
      </c>
    </row>
    <row r="567">
      <c r="A567" t="str">
        <v>PAULINA RODRIGUEZ DE LA MORA</v>
      </c>
      <c r="B567" t="e">
        <f>SUM(#REF!,#REF!)</f>
        <v>#REF!</v>
      </c>
      <c r="C567">
        <v>0</v>
      </c>
      <c r="D567">
        <v>0</v>
      </c>
      <c r="G567" t="e">
        <f>SUM(#REF!,#REF!)</f>
        <v>#REF!</v>
      </c>
    </row>
    <row r="568">
      <c r="A568" t="str">
        <v>LINDA TANIA MIROSLAVA ENRIQUEZ PRECIADO</v>
      </c>
      <c r="B568" t="e">
        <f>SUM(#REF!,#REF!)</f>
        <v>#REF!</v>
      </c>
      <c r="C568">
        <v>0</v>
      </c>
      <c r="D568">
        <v>0</v>
      </c>
      <c r="G568" t="e">
        <f>SUM(#REF!,#REF!)</f>
        <v>#REF!</v>
      </c>
    </row>
    <row r="569">
      <c r="B569" t="e">
        <f>SUM(#REF!,#REF!)</f>
        <v>#REF!</v>
      </c>
      <c r="C569">
        <v>0</v>
      </c>
      <c r="D569">
        <v>0</v>
      </c>
      <c r="G569" t="e">
        <f>SUM(#REF!,#REF!)</f>
        <v>#REF!</v>
      </c>
    </row>
    <row r="570">
      <c r="B570" t="e">
        <f>SUM(#REF!,#REF!)</f>
        <v>#REF!</v>
      </c>
      <c r="C570">
        <v>0</v>
      </c>
      <c r="D570">
        <v>0</v>
      </c>
      <c r="G570" t="e">
        <f>SUM(#REF!,#REF!)</f>
        <v>#REF!</v>
      </c>
    </row>
    <row r="571">
      <c r="B571" t="e">
        <f>SUM(#REF!,#REF!)</f>
        <v>#REF!</v>
      </c>
      <c r="C571">
        <v>0</v>
      </c>
      <c r="D571">
        <v>0</v>
      </c>
      <c r="G571" t="e">
        <f>SUM(#REF!,#REF!)</f>
        <v>#REF!</v>
      </c>
    </row>
    <row r="572">
      <c r="B572" t="e">
        <f>SUM(#REF!,#REF!)</f>
        <v>#REF!</v>
      </c>
      <c r="C572">
        <v>0</v>
      </c>
      <c r="D572">
        <v>0</v>
      </c>
      <c r="G572" t="e">
        <f>SUM(#REF!,#REF!)</f>
        <v>#REF!</v>
      </c>
    </row>
    <row r="573">
      <c r="B573" t="e">
        <f>SUM(#REF!,#REF!)</f>
        <v>#REF!</v>
      </c>
      <c r="C573">
        <v>0</v>
      </c>
      <c r="D573">
        <v>0</v>
      </c>
      <c r="G573" t="e">
        <f>SUM(#REF!,#REF!)</f>
        <v>#REF!</v>
      </c>
    </row>
    <row r="574">
      <c r="B574" t="e">
        <f>SUM(#REF!,#REF!)</f>
        <v>#REF!</v>
      </c>
      <c r="C574">
        <v>0</v>
      </c>
      <c r="D574">
        <v>0</v>
      </c>
      <c r="G574" t="e">
        <f>SUM(#REF!,#REF!)</f>
        <v>#REF!</v>
      </c>
    </row>
    <row r="575">
      <c r="B575" t="e">
        <f>SUM(#REF!,#REF!)</f>
        <v>#REF!</v>
      </c>
      <c r="C575">
        <v>0</v>
      </c>
      <c r="D575">
        <v>0</v>
      </c>
      <c r="G575" t="e">
        <f>SUM(#REF!,#REF!)</f>
        <v>#REF!</v>
      </c>
    </row>
    <row r="576">
      <c r="B576" t="e">
        <f>SUM(#REF!,#REF!)</f>
        <v>#REF!</v>
      </c>
      <c r="C576">
        <v>0</v>
      </c>
      <c r="D576">
        <v>0</v>
      </c>
      <c r="G576" t="e">
        <f>SUM(#REF!,#REF!)</f>
        <v>#REF!</v>
      </c>
    </row>
    <row r="577">
      <c r="B577" t="e">
        <f>SUM(#REF!,#REF!)</f>
        <v>#REF!</v>
      </c>
      <c r="C577">
        <v>0</v>
      </c>
      <c r="D577">
        <v>0</v>
      </c>
      <c r="G577" t="e">
        <f>SUM(#REF!,#REF!)</f>
        <v>#REF!</v>
      </c>
    </row>
    <row r="578">
      <c r="B578" t="e">
        <f>SUM(#REF!,#REF!)</f>
        <v>#REF!</v>
      </c>
      <c r="C578">
        <v>0</v>
      </c>
      <c r="D578">
        <v>0</v>
      </c>
      <c r="G578" t="e">
        <f>SUM(#REF!,#REF!)</f>
        <v>#REF!</v>
      </c>
    </row>
    <row r="579">
      <c r="A579" t="str">
        <v>Total</v>
      </c>
      <c r="B579" t="e">
        <f>SUM(#REF!)</f>
        <v>#REF!</v>
      </c>
      <c r="C579" t="e">
        <f>SUM(#REF!)</f>
        <v>#REF!</v>
      </c>
      <c r="D579" t="e">
        <f>SUM(#REF!)</f>
        <v>#REF!</v>
      </c>
      <c r="E579" t="e">
        <f>SUM(#REF!)</f>
        <v>#REF!</v>
      </c>
      <c r="F579" t="e">
        <f>SUM(#REF!)</f>
        <v>#REF!</v>
      </c>
      <c r="G579" t="e">
        <f>SUM(#REF!)</f>
        <v>#REF!</v>
      </c>
    </row>
    <row r="585">
      <c r="A585" t="str">
        <v>Ventas mensuales MARZO</v>
      </c>
    </row>
    <row r="586">
      <c r="A586" t="str">
        <v>Asesor</v>
      </c>
      <c r="B586" t="str">
        <v xml:space="preserve">Pólizas </v>
      </c>
      <c r="C586" t="str">
        <v>Vida</v>
      </c>
      <c r="D586" t="str">
        <v>Prima Pagada vida</v>
      </c>
      <c r="E586" t="str">
        <v>Gmm</v>
      </c>
      <c r="F586" t="str">
        <v>Prima Pagada gmm</v>
      </c>
      <c r="G586" t="str">
        <v>Prima total</v>
      </c>
    </row>
    <row r="587">
      <c r="A587" t="str">
        <v>MONICA ANDREA AMBRIZ GOMEZ</v>
      </c>
      <c r="B587" t="e">
        <f>SUM(#REF!,#REF!)</f>
        <v>#REF!</v>
      </c>
      <c r="C587">
        <v>4</v>
      </c>
      <c r="D587">
        <v>416278.71</v>
      </c>
      <c r="E587">
        <v>2</v>
      </c>
      <c r="F587" t="e">
        <f>_xludf.XLOOKUP(#REF!,#REF!,#REF!,0)</f>
        <v>#NAME?</v>
      </c>
      <c r="G587" t="e">
        <f>SUM(#REF!,#REF!)</f>
        <v>#REF!</v>
      </c>
      <c r="I587" t="str">
        <v>Columna1</v>
      </c>
      <c r="J587" t="str">
        <v>Columna2</v>
      </c>
      <c r="K587" t="str">
        <v>Columna3</v>
      </c>
      <c r="M587" t="str">
        <v>CAMPEONES:</v>
      </c>
    </row>
    <row r="588">
      <c r="A588" t="str">
        <v>PAULINA LIZBETH SOTO MUÐIZ</v>
      </c>
      <c r="B588" t="e">
        <f>SUM(#REF!,#REF!)</f>
        <v>#REF!</v>
      </c>
      <c r="C588">
        <v>2</v>
      </c>
      <c r="D588">
        <v>78894</v>
      </c>
      <c r="E588">
        <v>1</v>
      </c>
      <c r="F588" t="e">
        <f>_xludf.XLOOKUP(#REF!,#REF!,#REF!,0)</f>
        <v>#NAME?</v>
      </c>
      <c r="G588" t="e">
        <f>SUM(#REF!,#REF!)</f>
        <v>#REF!</v>
      </c>
      <c r="I588" t="str">
        <v>MONICA ANDREA AMBRIZ GOMEZ</v>
      </c>
      <c r="J588">
        <v>4</v>
      </c>
      <c r="K588">
        <v>164838.04</v>
      </c>
      <c r="M588" t="str">
        <v>NOVATO POLIZAS VIDA</v>
      </c>
      <c r="N588" t="str">
        <v>MONSE</v>
      </c>
    </row>
    <row r="589">
      <c r="A589" t="str">
        <v>DESIREE DE LA PEÐA OROZCO</v>
      </c>
      <c r="B589" t="e">
        <f>SUM(#REF!,#REF!)</f>
        <v>#REF!</v>
      </c>
      <c r="C589">
        <v>4</v>
      </c>
      <c r="D589">
        <v>178153.93</v>
      </c>
      <c r="E589" t="e">
        <f>_xludf.XLOOKUP(#REF!,#REF!,#REF!,0)</f>
        <v>#NAME?</v>
      </c>
      <c r="F589" t="e">
        <f>_xludf.XLOOKUP(#REF!,#REF!,#REF!,0)</f>
        <v>#NAME?</v>
      </c>
      <c r="G589" t="e">
        <f>SUM(#REF!,#REF!)</f>
        <v>#REF!</v>
      </c>
      <c r="I589" t="str">
        <v>PAULINA LIZBETH SOTO MUÐIZ</v>
      </c>
      <c r="J589">
        <v>2</v>
      </c>
      <c r="K589">
        <v>167848.32</v>
      </c>
      <c r="M589" t="str">
        <v>PRO POLIZAS VIDA</v>
      </c>
      <c r="N589" t="str">
        <v>MONI</v>
      </c>
    </row>
    <row r="590">
      <c r="A590" t="str">
        <v>RAFAEL ALBERTO SUAREZ BAQUEDANO</v>
      </c>
      <c r="B590" t="e">
        <f>SUM(#REF!,#REF!)</f>
        <v>#REF!</v>
      </c>
      <c r="C590">
        <v>1</v>
      </c>
      <c r="D590">
        <v>35452.06830318</v>
      </c>
      <c r="E590">
        <v>0.5</v>
      </c>
      <c r="F590" t="e">
        <f>_xludf.XLOOKUP(#REF!,#REF!,#REF!,0)</f>
        <v>#NAME?</v>
      </c>
      <c r="G590" t="e">
        <f>SUM(#REF!,#REF!)</f>
        <v>#REF!</v>
      </c>
      <c r="I590" t="str">
        <v>JORGE ANTONIO LUNA LARA</v>
      </c>
      <c r="J590">
        <v>1</v>
      </c>
      <c r="K590">
        <v>55666.38</v>
      </c>
      <c r="M590" t="str">
        <v>NOVATO PRIMA VIDA</v>
      </c>
      <c r="N590" t="str">
        <v>monse</v>
      </c>
    </row>
    <row r="591">
      <c r="A591" t="str">
        <v>JORGE ANTONIO LUNA LARA</v>
      </c>
      <c r="B591" t="e">
        <f>SUM(#REF!,#REF!)</f>
        <v>#REF!</v>
      </c>
      <c r="C591">
        <v>0</v>
      </c>
      <c r="D591">
        <v>0</v>
      </c>
      <c r="E591">
        <v>0.5</v>
      </c>
      <c r="F591" t="e">
        <f>_xludf.XLOOKUP(#REF!,#REF!,#REF!,0)</f>
        <v>#NAME?</v>
      </c>
      <c r="G591" t="e">
        <f>SUM(#REF!,#REF!)</f>
        <v>#REF!</v>
      </c>
      <c r="I591" t="str">
        <v>RAFAEL ALBERTO SUAREZ BAQUEDANO</v>
      </c>
      <c r="J591">
        <v>1</v>
      </c>
      <c r="K591">
        <v>25815.63</v>
      </c>
      <c r="M591" t="str">
        <v>PRO PRIMA VIDA</v>
      </c>
      <c r="N591" t="str">
        <v>moni</v>
      </c>
    </row>
    <row r="592">
      <c r="A592" t="str">
        <v>GABRIELA CASTAÐEDA SALAZAR</v>
      </c>
      <c r="B592" t="e">
        <f>SUM(#REF!,#REF!)</f>
        <v>#REF!</v>
      </c>
      <c r="C592">
        <v>1</v>
      </c>
      <c r="D592">
        <v>31943.3633652</v>
      </c>
      <c r="E592">
        <v>0.5</v>
      </c>
      <c r="F592" t="e">
        <f>_xludf.XLOOKUP(#REF!,#REF!,#REF!,0)</f>
        <v>#NAME?</v>
      </c>
      <c r="G592" t="e">
        <f>SUM(#REF!,#REF!)</f>
        <v>#REF!</v>
      </c>
      <c r="I592" t="str">
        <v>MARIA TERESA ASENCIO LOZANO</v>
      </c>
      <c r="J592">
        <v>1</v>
      </c>
      <c r="K592">
        <v>42851.91</v>
      </c>
      <c r="M592" t="str">
        <v>NOVATO POLIZAS GMM</v>
      </c>
      <c r="N592" t="str">
        <v>ana gaytan</v>
      </c>
    </row>
    <row r="593">
      <c r="A593" t="str">
        <v>MARIA TERESA ASENCIO LOZANO</v>
      </c>
      <c r="B593" t="e">
        <f>SUM(#REF!,#REF!)</f>
        <v>#REF!</v>
      </c>
      <c r="C593">
        <v>1</v>
      </c>
      <c r="D593">
        <v>2294.3384651250003</v>
      </c>
      <c r="E593">
        <v>0.5</v>
      </c>
      <c r="F593" t="e">
        <f>_xludf.XLOOKUP(#REF!,#REF!,#REF!,0)</f>
        <v>#NAME?</v>
      </c>
      <c r="G593" t="e">
        <f>SUM(#REF!,#REF!)</f>
        <v>#REF!</v>
      </c>
      <c r="I593" t="str">
        <v>DARINKA UREÐA CASILLAS</v>
      </c>
      <c r="J593">
        <v>0</v>
      </c>
      <c r="K593">
        <v>0</v>
      </c>
      <c r="M593" t="str">
        <v>PRO POLIZAS GMM</v>
      </c>
      <c r="N593" t="str">
        <v>moni</v>
      </c>
    </row>
    <row r="594">
      <c r="A594" t="str">
        <v>PAULINA RODRIGUEZ DE LA MORA</v>
      </c>
      <c r="B594" t="e">
        <f>SUM(#REF!,#REF!)</f>
        <v>#REF!</v>
      </c>
      <c r="C594">
        <v>1</v>
      </c>
      <c r="D594">
        <v>25285.29782</v>
      </c>
      <c r="E594" t="e">
        <f>_xludf.XLOOKUP(#REF!,#REF!,#REF!,0)</f>
        <v>#NAME?</v>
      </c>
      <c r="F594" t="e">
        <f>_xludf.XLOOKUP(#REF!,#REF!,#REF!,0)</f>
        <v>#NAME?</v>
      </c>
      <c r="G594" t="e">
        <f>SUM(#REF!,#REF!)</f>
        <v>#REF!</v>
      </c>
      <c r="I594" t="str">
        <v>GABRIELA CASTAÐEDA SALAZAR</v>
      </c>
      <c r="J594">
        <v>1</v>
      </c>
      <c r="K594">
        <v>18766.53</v>
      </c>
      <c r="M594" t="str">
        <v>NOVATO PRIMA GMM</v>
      </c>
      <c r="N594" t="str">
        <v>ana gaytan</v>
      </c>
    </row>
    <row r="595">
      <c r="A595" t="str">
        <v>JIMENA FLORES RUEDA</v>
      </c>
      <c r="B595" t="e">
        <f>SUM(#REF!,#REF!)</f>
        <v>#REF!</v>
      </c>
      <c r="C595">
        <v>0</v>
      </c>
      <c r="D595">
        <v>0</v>
      </c>
      <c r="E595">
        <v>0.5</v>
      </c>
      <c r="F595" t="e">
        <f>_xludf.XLOOKUP(#REF!,#REF!,#REF!,0)</f>
        <v>#NAME?</v>
      </c>
      <c r="G595" t="e">
        <f>SUM(#REF!,#REF!)</f>
        <v>#REF!</v>
      </c>
      <c r="I595" t="str">
        <v>ANA VERONICA GONZALEZ GAYTAN</v>
      </c>
      <c r="J595">
        <v>1</v>
      </c>
      <c r="K595">
        <v>14892.79</v>
      </c>
      <c r="M595" t="str">
        <v>PRO PRIMAS GMM</v>
      </c>
      <c r="N595" t="str">
        <v>pau soto</v>
      </c>
    </row>
    <row r="596">
      <c r="A596" t="str">
        <v>ANA VERONICA GONZALEZ GAYTAN</v>
      </c>
      <c r="B596" t="e">
        <f>SUM(#REF!,#REF!)</f>
        <v>#REF!</v>
      </c>
      <c r="C596">
        <v>0</v>
      </c>
      <c r="D596">
        <v>0</v>
      </c>
      <c r="E596">
        <v>0.5</v>
      </c>
      <c r="F596" t="e">
        <f>_xludf.XLOOKUP(#REF!,#REF!,#REF!,0)</f>
        <v>#NAME?</v>
      </c>
      <c r="G596" t="e">
        <f>SUM(#REF!,#REF!)</f>
        <v>#REF!</v>
      </c>
      <c r="I596" t="str">
        <v>JIMENA FLORES RUEDA</v>
      </c>
      <c r="J596">
        <v>1</v>
      </c>
      <c r="K596">
        <v>19991.56</v>
      </c>
    </row>
    <row r="597">
      <c r="A597" t="str">
        <v>ROGELIO TORRES ORTIZ</v>
      </c>
      <c r="B597" t="e">
        <f>SUM(#REF!,#REF!)</f>
        <v>#REF!</v>
      </c>
      <c r="C597">
        <v>1</v>
      </c>
      <c r="D597">
        <v>13128.07</v>
      </c>
      <c r="E597" t="e">
        <f>_xludf.XLOOKUP(#REF!,#REF!,#REF!,0)</f>
        <v>#NAME?</v>
      </c>
      <c r="F597" t="e">
        <f>_xludf.XLOOKUP(#REF!,#REF!,#REF!,0)</f>
        <v>#NAME?</v>
      </c>
      <c r="G597" t="e">
        <f>SUM(#REF!,#REF!)</f>
        <v>#REF!</v>
      </c>
    </row>
    <row r="598">
      <c r="A598" t="str">
        <v>MONSERRAT VELASCO SANTOS</v>
      </c>
      <c r="B598" t="e">
        <f>SUM(#REF!,#REF!)</f>
        <v>#REF!</v>
      </c>
      <c r="C598">
        <v>4</v>
      </c>
      <c r="D598">
        <v>10465.05</v>
      </c>
      <c r="E598" t="e">
        <f>_xludf.XLOOKUP(#REF!,#REF!,#REF!,0)</f>
        <v>#NAME?</v>
      </c>
      <c r="F598" t="e">
        <f>_xludf.XLOOKUP(#REF!,#REF!,#REF!,0)</f>
        <v>#NAME?</v>
      </c>
      <c r="G598" t="e">
        <f>SUM(#REF!,#REF!)</f>
        <v>#REF!</v>
      </c>
    </row>
    <row r="599">
      <c r="A599" t="str">
        <v>JORGE ALBERTO PRECIADO GONZALEZ</v>
      </c>
      <c r="B599" t="e">
        <f>SUM(#REF!,#REF!)</f>
        <v>#REF!</v>
      </c>
      <c r="C599">
        <v>1</v>
      </c>
      <c r="D599">
        <v>10300.87</v>
      </c>
      <c r="E599" t="e">
        <f>_xludf.XLOOKUP(#REF!,#REF!,#REF!,0)</f>
        <v>#NAME?</v>
      </c>
      <c r="F599" t="e">
        <f>_xludf.XLOOKUP(#REF!,#REF!,#REF!,0)</f>
        <v>#NAME?</v>
      </c>
      <c r="G599" t="e">
        <f>SUM(#REF!,#REF!)</f>
        <v>#REF!</v>
      </c>
    </row>
    <row r="600">
      <c r="A600" t="str">
        <v>SOFIA CAMPILLO VASCONCELOS</v>
      </c>
      <c r="B600" t="e">
        <f>SUM(#REF!,#REF!)</f>
        <v>#REF!</v>
      </c>
      <c r="C600">
        <v>3</v>
      </c>
      <c r="D600">
        <v>8797.08</v>
      </c>
      <c r="E600" t="e">
        <f>_xludf.XLOOKUP(#REF!,#REF!,#REF!,0)</f>
        <v>#NAME?</v>
      </c>
      <c r="F600" t="e">
        <f>_xludf.XLOOKUP(#REF!,#REF!,#REF!,0)</f>
        <v>#NAME?</v>
      </c>
      <c r="G600" t="e">
        <f>SUM(#REF!,#REF!)</f>
        <v>#REF!</v>
      </c>
    </row>
    <row r="601">
      <c r="A601" t="str">
        <v>MIREYA LIZETTE TORRES GARCIA</v>
      </c>
      <c r="B601" t="e">
        <f>SUM(#REF!,#REF!)</f>
        <v>#REF!</v>
      </c>
      <c r="C601">
        <v>1</v>
      </c>
      <c r="D601">
        <v>2849.9618691972005</v>
      </c>
      <c r="E601" t="e">
        <f>_xludf.XLOOKUP(#REF!,#REF!,#REF!,0)</f>
        <v>#NAME?</v>
      </c>
      <c r="F601" t="e">
        <f>_xludf.XLOOKUP(#REF!,#REF!,#REF!,0)</f>
        <v>#NAME?</v>
      </c>
      <c r="G601" t="e">
        <f>SUM(#REF!,#REF!)</f>
        <v>#REF!</v>
      </c>
    </row>
    <row r="602">
      <c r="A602" t="str">
        <v>ANAIS LUA MORENO</v>
      </c>
      <c r="B602" t="e">
        <f>SUM(#REF!,#REF!)</f>
        <v>#REF!</v>
      </c>
      <c r="C602">
        <v>1</v>
      </c>
      <c r="D602">
        <v>1854.93</v>
      </c>
      <c r="E602" t="e">
        <f>_xludf.XLOOKUP(#REF!,#REF!,#REF!,0)</f>
        <v>#NAME?</v>
      </c>
      <c r="F602" t="e">
        <f>_xludf.XLOOKUP(#REF!,#REF!,#REF!,0)</f>
        <v>#NAME?</v>
      </c>
      <c r="G602" t="e">
        <f>SUM(#REF!,#REF!)</f>
        <v>#REF!</v>
      </c>
    </row>
    <row r="603">
      <c r="A603" t="str">
        <v>HANA SOFIA LOPEZ QUIÐONEZ</v>
      </c>
      <c r="B603" t="e">
        <f>SUM(#REF!,#REF!)</f>
        <v>#REF!</v>
      </c>
      <c r="C603">
        <v>1</v>
      </c>
      <c r="D603">
        <v>1697.76</v>
      </c>
      <c r="E603" t="e">
        <f>_xludf.XLOOKUP(#REF!,#REF!,#REF!,0)</f>
        <v>#NAME?</v>
      </c>
      <c r="F603" t="e">
        <f>_xludf.XLOOKUP(#REF!,#REF!,#REF!,0)</f>
        <v>#NAME?</v>
      </c>
      <c r="G603" t="e">
        <f>SUM(#REF!,#REF!)</f>
        <v>#REF!</v>
      </c>
    </row>
    <row r="604">
      <c r="A604" t="str">
        <v>VELIA PATRICIA BERNAL RAMOS</v>
      </c>
      <c r="B604" t="e">
        <f>SUM(#REF!,#REF!)</f>
        <v>#REF!</v>
      </c>
      <c r="C604">
        <v>1</v>
      </c>
      <c r="D604">
        <v>1499.56</v>
      </c>
      <c r="E604" t="e">
        <f>_xludf.XLOOKUP(#REF!,#REF!,#REF!,0)</f>
        <v>#NAME?</v>
      </c>
      <c r="F604" t="e">
        <f>_xludf.XLOOKUP(#REF!,#REF!,#REF!,0)</f>
        <v>#NAME?</v>
      </c>
      <c r="G604" t="e">
        <f>SUM(#REF!,#REF!)</f>
        <v>#REF!</v>
      </c>
    </row>
    <row r="605">
      <c r="A605" t="str">
        <v>ORLANDA JIMENA CERVANTES NUÐEZ</v>
      </c>
      <c r="B605" t="e">
        <f>SUM(#REF!,#REF!)</f>
        <v>#REF!</v>
      </c>
      <c r="C605">
        <v>0</v>
      </c>
      <c r="D605">
        <v>0</v>
      </c>
      <c r="E605" t="e">
        <f>_xludf.XLOOKUP(#REF!,#REF!,#REF!,0)</f>
        <v>#NAME?</v>
      </c>
      <c r="F605" t="e">
        <f>_xludf.XLOOKUP(#REF!,#REF!,#REF!,0)</f>
        <v>#NAME?</v>
      </c>
      <c r="G605" t="e">
        <f>SUM(#REF!,#REF!)</f>
        <v>#REF!</v>
      </c>
    </row>
    <row r="606">
      <c r="A606" t="str">
        <v>MARIA ELIZABETH LLAMAS LOPEZ</v>
      </c>
      <c r="B606" t="e">
        <f>SUM(#REF!,#REF!)</f>
        <v>#REF!</v>
      </c>
      <c r="C606">
        <v>0</v>
      </c>
      <c r="D606">
        <v>0</v>
      </c>
      <c r="E606" t="e">
        <f>_xludf.XLOOKUP(#REF!,#REF!,#REF!,0)</f>
        <v>#NAME?</v>
      </c>
      <c r="F606" t="e">
        <f>_xludf.XLOOKUP(#REF!,#REF!,#REF!,0)</f>
        <v>#NAME?</v>
      </c>
      <c r="G606" t="e">
        <f>SUM(#REF!,#REF!)</f>
        <v>#REF!</v>
      </c>
    </row>
    <row r="607">
      <c r="A607" t="str">
        <v>DARINKA UREÐA CASILLAS</v>
      </c>
      <c r="B607" t="e">
        <f>SUM(#REF!,#REF!)</f>
        <v>#REF!</v>
      </c>
      <c r="C607">
        <v>0</v>
      </c>
      <c r="D607">
        <v>0</v>
      </c>
      <c r="E607" t="e">
        <f>_xludf.XLOOKUP(#REF!,#REF!,#REF!,0)</f>
        <v>#NAME?</v>
      </c>
      <c r="F607" t="e">
        <f>_xludf.XLOOKUP(#REF!,#REF!,#REF!,0)</f>
        <v>#NAME?</v>
      </c>
      <c r="G607" t="e">
        <f>SUM(#REF!,#REF!)</f>
        <v>#REF!</v>
      </c>
    </row>
    <row r="608">
      <c r="A608" t="str">
        <v>JOSE RENE DE ALBA MORALES</v>
      </c>
      <c r="B608" t="e">
        <f>SUM(#REF!,#REF!)</f>
        <v>#REF!</v>
      </c>
      <c r="C608">
        <v>0</v>
      </c>
      <c r="D608">
        <v>0</v>
      </c>
      <c r="E608" t="e">
        <f>_xludf.XLOOKUP(#REF!,#REF!,#REF!,0)</f>
        <v>#NAME?</v>
      </c>
      <c r="F608" t="e">
        <f>_xludf.XLOOKUP(#REF!,#REF!,#REF!,0)</f>
        <v>#NAME?</v>
      </c>
      <c r="G608" t="e">
        <f>SUM(#REF!,#REF!)</f>
        <v>#REF!</v>
      </c>
    </row>
    <row r="609">
      <c r="A609" t="str">
        <v>JULIANA RIASCOS VALENCIA</v>
      </c>
      <c r="B609" t="e">
        <f>SUM(#REF!,#REF!)</f>
        <v>#REF!</v>
      </c>
      <c r="C609">
        <v>0</v>
      </c>
      <c r="D609">
        <v>0</v>
      </c>
      <c r="E609" t="e">
        <f>_xludf.XLOOKUP(#REF!,#REF!,#REF!,0)</f>
        <v>#NAME?</v>
      </c>
      <c r="F609" t="e">
        <f>_xludf.XLOOKUP(#REF!,#REF!,#REF!,0)</f>
        <v>#NAME?</v>
      </c>
      <c r="G609" t="e">
        <f>SUM(#REF!,#REF!)</f>
        <v>#REF!</v>
      </c>
    </row>
    <row r="610">
      <c r="A610" t="str">
        <v>ADRIANA ALEJANDRA JOYA MARTINEZ</v>
      </c>
      <c r="B610" t="e">
        <f>SUM(#REF!,#REF!)</f>
        <v>#REF!</v>
      </c>
      <c r="C610">
        <v>0</v>
      </c>
      <c r="D610">
        <v>0</v>
      </c>
      <c r="E610" t="e">
        <f>_xludf.XLOOKUP(#REF!,#REF!,#REF!,0)</f>
        <v>#NAME?</v>
      </c>
      <c r="F610" t="e">
        <f>_xludf.XLOOKUP(#REF!,#REF!,#REF!,0)</f>
        <v>#NAME?</v>
      </c>
      <c r="G610" t="e">
        <f>SUM(#REF!,#REF!)</f>
        <v>#REF!</v>
      </c>
    </row>
    <row r="611">
      <c r="A611" t="str">
        <v>ROCIO YANETH OCHOA IBARRA</v>
      </c>
      <c r="B611" t="e">
        <f>SUM(#REF!,#REF!)</f>
        <v>#REF!</v>
      </c>
      <c r="C611">
        <v>0</v>
      </c>
      <c r="D611">
        <v>0</v>
      </c>
      <c r="E611" t="e">
        <f>_xludf.XLOOKUP(#REF!,#REF!,#REF!,0)</f>
        <v>#NAME?</v>
      </c>
      <c r="F611" t="e">
        <f>_xludf.XLOOKUP(#REF!,#REF!,#REF!,0)</f>
        <v>#NAME?</v>
      </c>
      <c r="G611" t="e">
        <f>SUM(#REF!,#REF!)</f>
        <v>#REF!</v>
      </c>
    </row>
    <row r="612">
      <c r="A612" t="str">
        <v>LUVIA PATRICIA FIGUEROA CASTRO</v>
      </c>
      <c r="B612" t="e">
        <f>SUM(#REF!,#REF!)</f>
        <v>#REF!</v>
      </c>
      <c r="C612">
        <v>0</v>
      </c>
      <c r="D612">
        <v>0</v>
      </c>
      <c r="E612" t="e">
        <f>_xludf.XLOOKUP(#REF!,#REF!,#REF!,0)</f>
        <v>#NAME?</v>
      </c>
      <c r="F612" t="e">
        <f>_xludf.XLOOKUP(#REF!,#REF!,#REF!,0)</f>
        <v>#NAME?</v>
      </c>
      <c r="G612" t="e">
        <f>SUM(#REF!,#REF!)</f>
        <v>#REF!</v>
      </c>
    </row>
    <row r="613">
      <c r="A613" t="str">
        <v>LILIANA IVETTE CASTILLO SANCHEZ</v>
      </c>
      <c r="B613" t="e">
        <f>SUM(#REF!,#REF!)</f>
        <v>#REF!</v>
      </c>
      <c r="C613">
        <v>0</v>
      </c>
      <c r="D613">
        <v>0</v>
      </c>
      <c r="E613" t="e">
        <f>_xludf.XLOOKUP(#REF!,#REF!,#REF!,0)</f>
        <v>#NAME?</v>
      </c>
      <c r="F613" t="e">
        <f>_xludf.XLOOKUP(#REF!,#REF!,#REF!,0)</f>
        <v>#NAME?</v>
      </c>
      <c r="G613" t="e">
        <f>SUM(#REF!,#REF!)</f>
        <v>#REF!</v>
      </c>
    </row>
    <row r="614">
      <c r="A614" t="str">
        <v>PAULA ANGELICA LOMELI CAZARES</v>
      </c>
      <c r="B614" t="e">
        <f>SUM(#REF!,#REF!)</f>
        <v>#REF!</v>
      </c>
      <c r="C614">
        <v>0</v>
      </c>
      <c r="D614">
        <v>0</v>
      </c>
      <c r="E614" t="e">
        <f>_xludf.XLOOKUP(#REF!,#REF!,#REF!,0)</f>
        <v>#NAME?</v>
      </c>
      <c r="F614" t="e">
        <f>_xludf.XLOOKUP(#REF!,#REF!,#REF!,0)</f>
        <v>#NAME?</v>
      </c>
      <c r="G614" t="e">
        <f>SUM(#REF!,#REF!)</f>
        <v>#REF!</v>
      </c>
    </row>
    <row r="615">
      <c r="A615" t="str">
        <v>ENRIQUE ADRIAN GUTIERREZ JIMENEZ</v>
      </c>
      <c r="B615" t="e">
        <f>SUM(#REF!,#REF!)</f>
        <v>#REF!</v>
      </c>
      <c r="C615">
        <v>0</v>
      </c>
      <c r="D615">
        <v>0</v>
      </c>
      <c r="E615" t="e">
        <f>_xludf.XLOOKUP(#REF!,#REF!,#REF!,0)</f>
        <v>#NAME?</v>
      </c>
      <c r="F615" t="e">
        <f>_xludf.XLOOKUP(#REF!,#REF!,#REF!,0)</f>
        <v>#NAME?</v>
      </c>
      <c r="G615" t="e">
        <f>SUM(#REF!,#REF!)</f>
        <v>#REF!</v>
      </c>
    </row>
    <row r="616">
      <c r="A616" t="str">
        <v>JOSE EDUARDO EZQUERRO BARQUERA</v>
      </c>
      <c r="B616" t="e">
        <f>SUM(#REF!,#REF!)</f>
        <v>#REF!</v>
      </c>
      <c r="C616">
        <v>0</v>
      </c>
      <c r="D616">
        <v>0</v>
      </c>
      <c r="E616" t="e">
        <f>_xludf.XLOOKUP(#REF!,#REF!,#REF!,0)</f>
        <v>#NAME?</v>
      </c>
      <c r="F616" t="e">
        <f>_xludf.XLOOKUP(#REF!,#REF!,#REF!,0)</f>
        <v>#NAME?</v>
      </c>
      <c r="G616" t="e">
        <f>SUM(#REF!,#REF!)</f>
        <v>#REF!</v>
      </c>
    </row>
    <row r="617">
      <c r="A617" t="str">
        <v>EVELYN CAROLINA VENEGAS IÐIGUEZ</v>
      </c>
      <c r="B617" t="e">
        <f>SUM(#REF!,#REF!)</f>
        <v>#REF!</v>
      </c>
      <c r="C617">
        <v>0</v>
      </c>
      <c r="D617">
        <v>0</v>
      </c>
      <c r="E617" t="e">
        <f>_xludf.XLOOKUP(#REF!,#REF!,#REF!,0)</f>
        <v>#NAME?</v>
      </c>
      <c r="F617" t="e">
        <f>_xludf.XLOOKUP(#REF!,#REF!,#REF!,0)</f>
        <v>#NAME?</v>
      </c>
      <c r="G617" t="e">
        <f>SUM(#REF!,#REF!)</f>
        <v>#REF!</v>
      </c>
    </row>
    <row r="618">
      <c r="B618" t="e">
        <f>SUM(#REF!,#REF!)</f>
        <v>#REF!</v>
      </c>
      <c r="C618">
        <v>0</v>
      </c>
      <c r="D618">
        <v>0</v>
      </c>
      <c r="E618" t="e">
        <f>_xludf.XLOOKUP(#REF!,#REF!,#REF!,0)</f>
        <v>#NAME?</v>
      </c>
      <c r="F618" t="e">
        <f>_xludf.XLOOKUP(#REF!,#REF!,#REF!,0)</f>
        <v>#NAME?</v>
      </c>
      <c r="G618" t="e">
        <f>SUM(#REF!,#REF!)</f>
        <v>#REF!</v>
      </c>
    </row>
    <row r="619">
      <c r="A619" t="str">
        <v>Total</v>
      </c>
      <c r="B619" t="e">
        <f>SUM(#REF!)</f>
        <v>#REF!</v>
      </c>
      <c r="C619" t="e">
        <f>SUM(#REF!)</f>
        <v>#REF!</v>
      </c>
      <c r="D619" t="e">
        <f>SUM(#REF!)</f>
        <v>#REF!</v>
      </c>
      <c r="E619" t="e">
        <f>SUM(#REF!)</f>
        <v>#REF!</v>
      </c>
      <c r="F619" t="e">
        <f>SUM(#REF!)</f>
        <v>#REF!</v>
      </c>
      <c r="G619" t="e">
        <f>SUM(#REF!)</f>
        <v>#REF!</v>
      </c>
    </row>
    <row r="622">
      <c r="I622" t="str">
        <v>ASESOR</v>
      </c>
      <c r="J622" t="str">
        <v>FRECUENCIA</v>
      </c>
      <c r="K622" t="str">
        <v>RAMO</v>
      </c>
      <c r="L622" t="str">
        <v>MONTO ANUAL</v>
      </c>
      <c r="M622" t="str">
        <v>MONTO REAL</v>
      </c>
    </row>
    <row r="623">
      <c r="I623" t="str">
        <v>ANA VERONICA GONZALEZ GAYTAN 115404</v>
      </c>
      <c r="J623" t="str">
        <v>SEMESTRAL</v>
      </c>
      <c r="K623" t="str">
        <v>GMM</v>
      </c>
      <c r="L623">
        <v>29785.58</v>
      </c>
      <c r="M623" t="e" cm="1">
        <f t="array" ref="M623">L623/_xludf.IFS(J623="MENSUAL",12,J623="TRIMESTRAL",4,J623="SEMESTRAL",2,J623="ANUAL",1)</f>
        <v>#NAME?</v>
      </c>
    </row>
    <row r="624">
      <c r="I624" t="str">
        <v>DESIREE DE LA PEÑA OROZCO 80122</v>
      </c>
      <c r="J624" t="str">
        <v>TRIMESTRAL</v>
      </c>
      <c r="K624" t="str">
        <v>VIDA</v>
      </c>
      <c r="L624">
        <v>25490.7797704</v>
      </c>
      <c r="M624" t="e" cm="1">
        <f t="array" ref="M624">L624/_xludf.IFS(J624="MENSUAL",12,J624="TRIMESTRAL",4,J624="SEMESTRAL",2,J624="ANUAL",1)</f>
        <v>#NAME?</v>
      </c>
    </row>
    <row r="625">
      <c r="I625" t="str">
        <v>DESIREE DE LA PEÑA OROZCO 80122</v>
      </c>
      <c r="J625" t="str">
        <v>ANUAL</v>
      </c>
      <c r="K625" t="str">
        <v>VIDA</v>
      </c>
      <c r="L625">
        <v>101131.87840000002</v>
      </c>
      <c r="M625" t="e" cm="1">
        <f t="array" ref="M625">L625/_xludf.IFS(J625="MENSUAL",12,J625="TRIMESTRAL",4,J625="SEMESTRAL",2,J625="ANUAL",1)</f>
        <v>#NAME?</v>
      </c>
    </row>
    <row r="626">
      <c r="I626" t="str">
        <v>DESIREE DE LA PEÑA OROZCO 80122</v>
      </c>
      <c r="J626" t="str">
        <v>MENSUAL</v>
      </c>
      <c r="K626" t="str">
        <v>VIDA</v>
      </c>
      <c r="L626">
        <v>30624.70569984</v>
      </c>
      <c r="M626" t="e" cm="1">
        <f t="array" ref="M626">L626/_xludf.IFS(J626="MENSUAL",12,J626="TRIMESTRAL",4,J626="SEMESTRAL",2,J626="ANUAL",1)</f>
        <v>#NAME?</v>
      </c>
    </row>
    <row r="627">
      <c r="I627" t="str">
        <v>DESIREE DE LA PEÑA OROZCO 80122</v>
      </c>
      <c r="J627" t="str">
        <v>ANUAL</v>
      </c>
      <c r="K627" t="str">
        <v>VIDA</v>
      </c>
      <c r="L627">
        <v>67923.6359716</v>
      </c>
      <c r="M627" t="e" cm="1">
        <f t="array" ref="M627">L627/_xludf.IFS(J627="MENSUAL",12,J627="TRIMESTRAL",4,J627="SEMESTRAL",2,J627="ANUAL",1)</f>
        <v>#NAME?</v>
      </c>
    </row>
    <row r="628">
      <c r="I628" t="str">
        <v>GABRIELA CASTAÑEDA SALAZAR 105696</v>
      </c>
      <c r="J628" t="str">
        <v>ANUAL</v>
      </c>
      <c r="K628" t="str">
        <v>GMM</v>
      </c>
      <c r="L628">
        <v>18766.53</v>
      </c>
      <c r="M628" t="e" cm="1">
        <f t="array" ref="M628">L628/_xludf.IFS(J628="MENSUAL",12,J628="TRIMESTRAL",4,J628="SEMESTRAL",2,J628="ANUAL",1)</f>
        <v>#NAME?</v>
      </c>
    </row>
    <row r="629">
      <c r="I629" t="str">
        <v>GABRIELA CASTAÑEDA SALAZAR 105696</v>
      </c>
      <c r="J629" t="str">
        <v>ANUAL</v>
      </c>
      <c r="K629" t="str">
        <v>VIDA</v>
      </c>
      <c r="L629">
        <v>31943.3633652</v>
      </c>
      <c r="M629" t="e" cm="1">
        <f t="array" ref="M629">L629/_xludf.IFS(J629="MENSUAL",12,J629="TRIMESTRAL",4,J629="SEMESTRAL",2,J629="ANUAL",1)</f>
        <v>#NAME?</v>
      </c>
    </row>
    <row r="630">
      <c r="I630" t="str">
        <v>JIMENA FLORES RUEDA 117678</v>
      </c>
      <c r="J630" t="str">
        <v>ANUAL</v>
      </c>
      <c r="K630" t="str">
        <v>GMM</v>
      </c>
      <c r="L630">
        <v>19991.57</v>
      </c>
      <c r="M630" t="e" cm="1">
        <f t="array" ref="M630">L630/_xludf.IFS(J630="MENSUAL",12,J630="TRIMESTRAL",4,J630="SEMESTRAL",2,J630="ANUAL",1)</f>
        <v>#NAME?</v>
      </c>
    </row>
    <row r="631">
      <c r="I631" t="str">
        <v>JORGE ALBERTO PRECIADO GONZALEZ 104343</v>
      </c>
      <c r="J631" t="str">
        <v>SEMESTRAL</v>
      </c>
      <c r="K631" t="str">
        <v>VIDA</v>
      </c>
      <c r="L631">
        <v>20593.78272844</v>
      </c>
      <c r="M631" t="e" cm="1">
        <f t="array" ref="M631">L631/_xludf.IFS(J631="MENSUAL",12,J631="TRIMESTRAL",4,J631="SEMESTRAL",2,J631="ANUAL",1)</f>
        <v>#NAME?</v>
      </c>
    </row>
    <row r="632">
      <c r="I632" t="str">
        <v>MARIA TERESA ASENCIO LOZANO 94156</v>
      </c>
      <c r="J632" t="str">
        <v>ANUAL</v>
      </c>
      <c r="K632" t="str">
        <v>GMM</v>
      </c>
      <c r="L632">
        <v>42851.91</v>
      </c>
      <c r="M632" t="e" cm="1">
        <f t="array" ref="M632">L632/_xludf.IFS(J632="MENSUAL",12,J632="TRIMESTRAL",4,J632="SEMESTRAL",2,J632="ANUAL",1)</f>
        <v>#NAME?</v>
      </c>
    </row>
    <row r="633">
      <c r="I633" t="str">
        <v>MARIA TERESA ASENCIO LOZANO 94156</v>
      </c>
      <c r="J633" t="str">
        <v>MENSUAL</v>
      </c>
      <c r="K633" t="str">
        <v>VIDA</v>
      </c>
      <c r="L633">
        <v>27532.061581500002</v>
      </c>
      <c r="M633" t="e" cm="1">
        <f t="array" ref="M633">L633/_xludf.IFS(J633="MENSUAL",12,J633="TRIMESTRAL",4,J633="SEMESTRAL",2,J633="ANUAL",1)</f>
        <v>#NAME?</v>
      </c>
    </row>
    <row r="634">
      <c r="I634" t="str">
        <v>MIREYA LIZETTE TORRES GARCIA 106018</v>
      </c>
      <c r="J634" t="str">
        <v>MENSUAL</v>
      </c>
      <c r="K634" t="str">
        <v>VIDA</v>
      </c>
      <c r="L634">
        <v>34199.542430366404</v>
      </c>
      <c r="M634" t="e" cm="1">
        <f t="array" ref="M634">L634/_xludf.IFS(J634="MENSUAL",12,J634="TRIMESTRAL",4,J634="SEMESTRAL",2,J634="ANUAL",1)</f>
        <v>#NAME?</v>
      </c>
    </row>
    <row r="635">
      <c r="I635" t="str">
        <v>MONICA ANDREA AMBRIZ GOMEZ 87538</v>
      </c>
      <c r="J635" t="str">
        <v>ANUAL</v>
      </c>
      <c r="K635" t="str">
        <v>GMM</v>
      </c>
      <c r="L635">
        <v>60645.29</v>
      </c>
      <c r="M635" t="e" cm="1">
        <f t="array" ref="M635">L635/_xludf.IFS(J635="MENSUAL",12,J635="TRIMESTRAL",4,J635="SEMESTRAL",2,J635="ANUAL",1)</f>
        <v>#NAME?</v>
      </c>
    </row>
    <row r="636">
      <c r="I636" t="str">
        <v>MONICA ANDREA AMBRIZ GOMEZ 87538</v>
      </c>
      <c r="J636" t="str">
        <v>ANUAL</v>
      </c>
      <c r="K636" t="str">
        <v>GMM</v>
      </c>
      <c r="L636">
        <v>13413.25</v>
      </c>
      <c r="M636" t="e" cm="1">
        <f t="array" ref="M636">L636/_xludf.IFS(J636="MENSUAL",12,J636="TRIMESTRAL",4,J636="SEMESTRAL",2,J636="ANUAL",1)</f>
        <v>#NAME?</v>
      </c>
    </row>
    <row r="637">
      <c r="I637" t="str">
        <v>MONICA ANDREA AMBRIZ GOMEZ 87538</v>
      </c>
      <c r="J637" t="str">
        <v>ANUAL</v>
      </c>
      <c r="K637" t="str">
        <v>GMM</v>
      </c>
      <c r="L637">
        <v>46624.15</v>
      </c>
      <c r="M637" t="e" cm="1">
        <f t="array" ref="M637">L637/_xludf.IFS(J637="MENSUAL",12,J637="TRIMESTRAL",4,J637="SEMESTRAL",2,J637="ANUAL",1)</f>
        <v>#NAME?</v>
      </c>
    </row>
    <row r="638">
      <c r="I638" t="str">
        <v>MONICA ANDREA AMBRIZ GOMEZ 87538</v>
      </c>
      <c r="J638" t="str">
        <v>ANUAL</v>
      </c>
      <c r="K638" t="str">
        <v>VIDA</v>
      </c>
      <c r="L638">
        <v>277437.7578</v>
      </c>
      <c r="M638" t="e" cm="1">
        <f t="array" ref="M638">L638/_xludf.IFS(J638="MENSUAL",12,J638="TRIMESTRAL",4,J638="SEMESTRAL",2,J638="ANUAL",1)</f>
        <v>#NAME?</v>
      </c>
    </row>
    <row r="639">
      <c r="I639" t="str">
        <v>MONICA ANDREA AMBRIZ GOMEZ 87538</v>
      </c>
      <c r="J639" t="str">
        <v>MENSUAL</v>
      </c>
      <c r="K639" t="str">
        <v>VIDA</v>
      </c>
      <c r="L639">
        <v>34776.51</v>
      </c>
      <c r="M639" t="e" cm="1">
        <f t="array" ref="M639">L639/_xludf.IFS(J639="MENSUAL",12,J639="TRIMESTRAL",4,J639="SEMESTRAL",2,J639="ANUAL",1)</f>
        <v>#NAME?</v>
      </c>
    </row>
    <row r="640">
      <c r="I640" t="str">
        <v>MONICA ANDREA AMBRIZ GOMEZ 87538</v>
      </c>
      <c r="J640" t="str">
        <v>SEMESTRAL</v>
      </c>
      <c r="K640" t="str">
        <v>VIDA</v>
      </c>
      <c r="L640">
        <v>128072.73998178</v>
      </c>
      <c r="M640" t="e" cm="1">
        <f t="array" ref="M640">L640/_xludf.IFS(J640="MENSUAL",12,J640="TRIMESTRAL",4,J640="SEMESTRAL",2,J640="ANUAL",1)</f>
        <v>#NAME?</v>
      </c>
    </row>
    <row r="641">
      <c r="I641" t="str">
        <v>MONICA ANDREA AMBRIZ GOMEZ 87538</v>
      </c>
      <c r="J641" t="str">
        <v>ANUAL</v>
      </c>
      <c r="K641" t="str">
        <v>VIDA</v>
      </c>
      <c r="L641">
        <v>71906.54234112</v>
      </c>
      <c r="M641" t="e" cm="1">
        <f t="array" ref="M641">L641/_xludf.IFS(J641="MENSUAL",12,J641="TRIMESTRAL",4,J641="SEMESTRAL",2,J641="ANUAL",1)</f>
        <v>#NAME?</v>
      </c>
    </row>
    <row r="642">
      <c r="I642" t="str">
        <v>MONICA ANDREA AMBRIZ GOMEZ 87538</v>
      </c>
      <c r="J642" t="str">
        <v>ANUAL</v>
      </c>
      <c r="K642" t="str">
        <v>GMM</v>
      </c>
      <c r="L642">
        <v>44155.35</v>
      </c>
      <c r="M642" t="e" cm="1">
        <f t="array" ref="M642">L642/_xludf.IFS(J642="MENSUAL",12,J642="TRIMESTRAL",4,J642="SEMESTRAL",2,J642="ANUAL",1)</f>
        <v>#NAME?</v>
      </c>
    </row>
    <row r="643">
      <c r="I643" t="str">
        <v>MONSERRAT VELASCO SANTOS 117440</v>
      </c>
      <c r="J643" t="str">
        <v>MENSUAL</v>
      </c>
      <c r="K643" t="str">
        <v>VIDA</v>
      </c>
      <c r="L643">
        <v>30517.37730498</v>
      </c>
      <c r="M643" t="e" cm="1">
        <f t="array" ref="M643">L643/_xludf.IFS(J643="MENSUAL",12,J643="TRIMESTRAL",4,J643="SEMESTRAL",2,J643="ANUAL",1)</f>
        <v>#NAME?</v>
      </c>
    </row>
    <row r="644">
      <c r="I644" t="str">
        <v>MONSERRAT VELASCO SANTOS 117440</v>
      </c>
      <c r="J644" t="str">
        <v>MENSUAL</v>
      </c>
      <c r="K644" t="str">
        <v>VIDA</v>
      </c>
      <c r="L644">
        <v>59299.741114152</v>
      </c>
      <c r="M644" t="e" cm="1">
        <f t="array" ref="M644">L644/_xludf.IFS(J644="MENSUAL",12,J644="TRIMESTRAL",4,J644="SEMESTRAL",2,J644="ANUAL",1)</f>
        <v>#NAME?</v>
      </c>
    </row>
    <row r="645">
      <c r="I645" t="str">
        <v>MONSERRAT VELASCO SANTOS 117440</v>
      </c>
      <c r="J645" t="str">
        <v>MENSUAL</v>
      </c>
      <c r="K645" t="str">
        <v>VIDA</v>
      </c>
      <c r="L645">
        <v>35763.44704913401</v>
      </c>
      <c r="M645" t="e" cm="1">
        <f t="array" ref="M645">L645/_xludf.IFS(J645="MENSUAL",12,J645="TRIMESTRAL",4,J645="SEMESTRAL",2,J645="ANUAL",1)</f>
        <v>#NAME?</v>
      </c>
    </row>
    <row r="646">
      <c r="I646" t="str">
        <v>PAULINA RODRIGUEZ DE LA MORA 65046</v>
      </c>
      <c r="J646" t="str">
        <v>ANUAL</v>
      </c>
      <c r="K646" t="str">
        <v>VIDA</v>
      </c>
      <c r="L646">
        <v>25285.29782</v>
      </c>
      <c r="M646" t="e" cm="1">
        <f t="array" ref="M646">L646/_xludf.IFS(J646="MENSUAL",12,J646="TRIMESTRAL",4,J646="SEMESTRAL",2,J646="ANUAL",1)</f>
        <v>#NAME?</v>
      </c>
    </row>
    <row r="647">
      <c r="I647" t="str">
        <v>RAFAEL ALBERTO SUAREZ BAQUEDANO 47116</v>
      </c>
      <c r="J647" t="str">
        <v>ANUAL</v>
      </c>
      <c r="K647" t="str">
        <v>GMM</v>
      </c>
      <c r="L647">
        <v>25815.63</v>
      </c>
      <c r="M647" t="e" cm="1">
        <f t="array" ref="M647">L647/_xludf.IFS(J647="MENSUAL",12,J647="TRIMESTRAL",4,J647="SEMESTRAL",2,J647="ANUAL",1)</f>
        <v>#NAME?</v>
      </c>
    </row>
    <row r="648">
      <c r="I648" t="str">
        <v>RAFAEL ALBERTO SUAREZ BAQUEDANO 47116</v>
      </c>
      <c r="J648" t="str">
        <v>ANUAL</v>
      </c>
      <c r="K648" t="str">
        <v>VIDA</v>
      </c>
      <c r="L648">
        <v>35452.06830318</v>
      </c>
      <c r="M648" t="e" cm="1">
        <f t="array" ref="M648">L648/_xludf.IFS(J648="MENSUAL",12,J648="TRIMESTRAL",4,J648="SEMESTRAL",2,J648="ANUAL",1)</f>
        <v>#NAME?</v>
      </c>
    </row>
    <row r="649">
      <c r="I649" t="str">
        <v>HANA SOFIA LOPEZ QUIÑONEZ 114157</v>
      </c>
      <c r="J649" t="str">
        <v>MENSUAL</v>
      </c>
      <c r="K649" t="str">
        <v>VIDA</v>
      </c>
      <c r="L649">
        <v>20289.482922</v>
      </c>
      <c r="M649" t="e" cm="1">
        <f t="array" ref="M649">L649/_xludf.IFS(J649="MENSUAL",12,J649="TRIMESTRAL",4,J649="SEMESTRAL",2,J649="ANUAL",1)</f>
        <v>#NAME?</v>
      </c>
    </row>
    <row r="650">
      <c r="I650" t="str">
        <v>JORGE ANTONIO LUNA LARA 111056</v>
      </c>
      <c r="J650" t="str">
        <v>ANUAL</v>
      </c>
      <c r="K650" t="str">
        <v>GMM</v>
      </c>
      <c r="L650">
        <v>55666.38</v>
      </c>
      <c r="M650" t="e" cm="1">
        <f t="array" ref="M650">L650/_xludf.IFS(J650="MENSUAL",12,J650="TRIMESTRAL",4,J650="SEMESTRAL",2,J650="ANUAL",1)</f>
        <v>#NAME?</v>
      </c>
    </row>
    <row r="651">
      <c r="I651" t="str">
        <v>PAULINA LIZBETH SOTO MUÑIZ 104750</v>
      </c>
      <c r="J651" t="str">
        <v>ANUAL</v>
      </c>
      <c r="K651" t="str">
        <v>GMM</v>
      </c>
      <c r="L651">
        <v>121620.22</v>
      </c>
      <c r="M651" t="e" cm="1">
        <f t="array" ref="M651">L651/_xludf.IFS(J651="MENSUAL",12,J651="TRIMESTRAL",4,J651="SEMESTRAL",2,J651="ANUAL",1)</f>
        <v>#NAME?</v>
      </c>
    </row>
    <row r="652">
      <c r="I652" t="str">
        <v>PAULINA LIZBETH SOTO MUÑIZ 104750</v>
      </c>
      <c r="J652" t="str">
        <v>ANUAL</v>
      </c>
      <c r="K652" t="str">
        <v>GMM</v>
      </c>
      <c r="L652">
        <v>46228.08</v>
      </c>
      <c r="M652" t="e" cm="1">
        <f t="array" ref="M652">L652/_xludf.IFS(J652="MENSUAL",12,J652="TRIMESTRAL",4,J652="SEMESTRAL",2,J652="ANUAL",1)</f>
        <v>#NAME?</v>
      </c>
    </row>
    <row r="653">
      <c r="I653" t="str">
        <v>PAULINA LIZBETH SOTO MUÑIZ 104750</v>
      </c>
      <c r="J653" t="str">
        <v>ANUAL</v>
      </c>
      <c r="K653" t="str">
        <v>VIDA</v>
      </c>
      <c r="L653">
        <v>28164.26880598</v>
      </c>
      <c r="M653" t="e" cm="1">
        <f t="array" ref="M653">L653/_xludf.IFS(J653="MENSUAL",12,J653="TRIMESTRAL",4,J653="SEMESTRAL",2,J653="ANUAL",1)</f>
        <v>#NAME?</v>
      </c>
    </row>
    <row r="654">
      <c r="I654" t="str">
        <v>PAULINA LIZBETH SOTO MUÑIZ 104750</v>
      </c>
      <c r="J654" t="str">
        <v>ANUAL</v>
      </c>
      <c r="K654" t="str">
        <v>VIDA</v>
      </c>
      <c r="L654">
        <v>35916.377787</v>
      </c>
      <c r="M654" t="e" cm="1">
        <f t="array" ref="M654">L654/_xludf.IFS(J654="MENSUAL",12,J654="TRIMESTRAL",4,J654="SEMESTRAL",2,J654="ANUAL",1)</f>
        <v>#NAME?</v>
      </c>
    </row>
    <row r="655">
      <c r="I655" t="str">
        <v>PAULINA LIZBETH SOTO MUÑIZ 104750</v>
      </c>
      <c r="J655" t="str">
        <v>SEMESTRAL</v>
      </c>
      <c r="K655" t="str">
        <v>VIDA</v>
      </c>
      <c r="L655">
        <v>29626.704285300002</v>
      </c>
      <c r="M655" t="e" cm="1">
        <f t="array" ref="M655">L655/_xludf.IFS(J655="MENSUAL",12,J655="TRIMESTRAL",4,J655="SEMESTRAL",2,J655="ANUAL",1)</f>
        <v>#NAME?</v>
      </c>
    </row>
    <row r="656">
      <c r="I656" t="str">
        <v>ROGELIO TORRES ORTIZ 104718</v>
      </c>
      <c r="J656" t="str">
        <v>SEMESTRAL</v>
      </c>
      <c r="K656" t="str">
        <v>VIDA</v>
      </c>
      <c r="L656">
        <v>26007.67725792</v>
      </c>
      <c r="M656" t="e" cm="1">
        <f t="array" ref="M656">L656/_xludf.IFS(J656="MENSUAL",12,J656="TRIMESTRAL",4,J656="SEMESTRAL",2,J656="ANUAL",1)</f>
        <v>#NAME?</v>
      </c>
    </row>
    <row r="667">
      <c r="A667" t="str">
        <v>Ventas mensuales ABRIL</v>
      </c>
    </row>
    <row r="668">
      <c r="A668" t="str">
        <v>Asesor</v>
      </c>
      <c r="B668" t="str">
        <v xml:space="preserve">Pólizas </v>
      </c>
      <c r="C668" t="str">
        <v>Vida</v>
      </c>
      <c r="D668" t="str">
        <v>Prima Pagada vida</v>
      </c>
      <c r="E668" t="str">
        <v>Gmm</v>
      </c>
      <c r="F668" t="str">
        <v>Prima Pagada gmm</v>
      </c>
      <c r="G668" t="str">
        <v>Prima total</v>
      </c>
    </row>
    <row r="669">
      <c r="A669" t="str">
        <v>MONICA ANDREA AMBRIZ GOMEZ</v>
      </c>
      <c r="B669" t="e">
        <f>SUM(#REF!,#REF!)</f>
        <v>#REF!</v>
      </c>
      <c r="C669">
        <v>5</v>
      </c>
      <c r="D669">
        <v>133265.66</v>
      </c>
      <c r="E669" t="e">
        <f>_xludf.XLOOKUP(#REF!,#REF!,#REF!,0)</f>
        <v>#NAME?</v>
      </c>
      <c r="F669" t="e">
        <f>_xludf.XLOOKUP(#REF!,#REF!,#REF!,0)</f>
        <v>#NAME?</v>
      </c>
      <c r="G669" t="e">
        <f>SUM(#REF!,#REF!)</f>
        <v>#REF!</v>
      </c>
      <c r="I669" t="str">
        <v>Columna1</v>
      </c>
      <c r="J669" t="str">
        <v>Columna2</v>
      </c>
      <c r="K669" t="str">
        <v>Columna3</v>
      </c>
      <c r="M669" t="str">
        <v>CAMPEONES:</v>
      </c>
    </row>
    <row r="670">
      <c r="A670" t="str">
        <v>ANAIS LUA MORENO</v>
      </c>
      <c r="B670" t="e">
        <f>SUM(#REF!,#REF!)</f>
        <v>#REF!</v>
      </c>
      <c r="C670">
        <v>3</v>
      </c>
      <c r="D670">
        <v>23658.05</v>
      </c>
      <c r="E670" t="e">
        <f>_xludf.XLOOKUP(#REF!,#REF!,#REF!,0)</f>
        <v>#NAME?</v>
      </c>
      <c r="F670" t="e">
        <f>_xludf.XLOOKUP(#REF!,#REF!,#REF!,0)</f>
        <v>#NAME?</v>
      </c>
      <c r="G670" t="e">
        <f>SUM(#REF!,#REF!)</f>
        <v>#REF!</v>
      </c>
      <c r="I670" t="str">
        <v>MONICA ANDREA AMBRIZ GOMEZ</v>
      </c>
      <c r="J670">
        <v>0.5</v>
      </c>
      <c r="K670">
        <v>56445.7</v>
      </c>
      <c r="M670" t="str">
        <v>NOVATO POLIZAS VIDA</v>
      </c>
      <c r="N670" t="str">
        <v>SOFI CAMPILLO</v>
      </c>
    </row>
    <row r="671">
      <c r="A671" t="str">
        <v>JORGE ANTONIO LUNA LARA</v>
      </c>
      <c r="B671" t="e">
        <f>SUM(#REF!,#REF!)</f>
        <v>#REF!</v>
      </c>
      <c r="C671">
        <v>1</v>
      </c>
      <c r="D671">
        <v>61919.19621501</v>
      </c>
      <c r="E671" t="e">
        <f>_xludf.XLOOKUP(#REF!,#REF!,#REF!,0)</f>
        <v>#NAME?</v>
      </c>
      <c r="F671" t="e">
        <f>_xludf.XLOOKUP(#REF!,#REF!,#REF!,0)</f>
        <v>#NAME?</v>
      </c>
      <c r="G671" t="e">
        <f>SUM(#REF!,#REF!)</f>
        <v>#REF!</v>
      </c>
      <c r="I671" t="str">
        <v>JORGE ANTONIO LUNA LARA</v>
      </c>
      <c r="J671">
        <v>0.5</v>
      </c>
      <c r="K671">
        <v>50795.32</v>
      </c>
      <c r="M671" t="str">
        <v>PRO POLIZAS VIDA</v>
      </c>
      <c r="N671" t="str">
        <v>DESI</v>
      </c>
    </row>
    <row r="672">
      <c r="A672" t="str">
        <v>SOFIA CAMPILLO VASCONCELOS</v>
      </c>
      <c r="B672" t="e">
        <f>SUM(#REF!,#REF!)</f>
        <v>#REF!</v>
      </c>
      <c r="C672">
        <v>2</v>
      </c>
      <c r="D672">
        <v>27448.4</v>
      </c>
      <c r="E672" t="e">
        <f>_xludf.XLOOKUP(#REF!,#REF!,#REF!,0)</f>
        <v>#NAME?</v>
      </c>
      <c r="F672" t="e">
        <f>_xludf.XLOOKUP(#REF!,#REF!,#REF!,0)</f>
        <v>#NAME?</v>
      </c>
      <c r="G672" t="e">
        <f>SUM(#REF!,#REF!)</f>
        <v>#REF!</v>
      </c>
      <c r="I672" t="str">
        <v>ANAIS LUA MORENO</v>
      </c>
      <c r="J672">
        <v>0.5</v>
      </c>
      <c r="K672">
        <v>54335.51</v>
      </c>
      <c r="M672" t="str">
        <v>NOVATO PRIMA VIDA</v>
      </c>
      <c r="N672" t="str">
        <v>SOFI CAMPILLO</v>
      </c>
    </row>
    <row r="673">
      <c r="A673" t="str">
        <v>MARIA TERESA ASENCIO LOZANO</v>
      </c>
      <c r="B673" t="e">
        <f>SUM(#REF!,#REF!)</f>
        <v>#REF!</v>
      </c>
      <c r="C673">
        <v>0</v>
      </c>
      <c r="D673">
        <v>0</v>
      </c>
      <c r="E673" t="e">
        <f>_xludf.XLOOKUP(#REF!,#REF!,#REF!,0)</f>
        <v>#NAME?</v>
      </c>
      <c r="F673" t="e">
        <f>_xludf.XLOOKUP(#REF!,#REF!,#REF!,0)</f>
        <v>#NAME?</v>
      </c>
      <c r="G673" t="e">
        <f>SUM(#REF!,#REF!)</f>
        <v>#REF!</v>
      </c>
      <c r="I673" t="str">
        <v>SOFIA CAMPILLO VASCONCELOS</v>
      </c>
      <c r="J673">
        <v>1</v>
      </c>
      <c r="K673">
        <v>47887.6</v>
      </c>
      <c r="M673" t="str">
        <v>PRO PRIMA VIDA</v>
      </c>
      <c r="N673" t="str">
        <v>DESI</v>
      </c>
    </row>
    <row r="674">
      <c r="A674" t="str">
        <v xml:space="preserve">HANA SOFIA LOPEZ QUIÑONEZ </v>
      </c>
      <c r="B674" t="e">
        <f>SUM(#REF!,#REF!)</f>
        <v>#REF!</v>
      </c>
      <c r="C674">
        <v>0</v>
      </c>
      <c r="D674">
        <v>0</v>
      </c>
      <c r="E674">
        <v>0.5</v>
      </c>
      <c r="F674">
        <v>28021.74</v>
      </c>
      <c r="G674" t="e">
        <f>SUM(#REF!,#REF!)</f>
        <v>#REF!</v>
      </c>
      <c r="I674" t="str">
        <v>MARIA TERESA ASENCIO LOZANO</v>
      </c>
      <c r="J674">
        <v>1</v>
      </c>
      <c r="K674">
        <v>36603.12</v>
      </c>
      <c r="M674" t="str">
        <v>NOVATO POLIZAS GMM</v>
      </c>
      <c r="N674" t="str">
        <v>SOFI CAMPILLO</v>
      </c>
    </row>
    <row r="675">
      <c r="A675" t="str">
        <v>DARINKA UREÑA CASILLAS</v>
      </c>
      <c r="B675" t="e">
        <f>SUM(#REF!,#REF!)</f>
        <v>#REF!</v>
      </c>
      <c r="C675">
        <v>5</v>
      </c>
      <c r="D675">
        <v>153629.37</v>
      </c>
      <c r="E675">
        <v>0.5</v>
      </c>
      <c r="F675">
        <v>2339.79</v>
      </c>
      <c r="G675" t="e">
        <f>SUM(#REF!,#REF!)</f>
        <v>#REF!</v>
      </c>
      <c r="I675" t="str">
        <v>HANA SOFIA LOPEZ QUIÐONEZ</v>
      </c>
      <c r="J675">
        <v>0.5</v>
      </c>
      <c r="K675">
        <v>28021.74</v>
      </c>
      <c r="M675" t="str">
        <v>PRO POLIZAS GMM</v>
      </c>
      <c r="N675" t="str">
        <v>MAYTE</v>
      </c>
    </row>
    <row r="676">
      <c r="A676" t="str">
        <v>DESIREE DE LA PEÑA OROZCO</v>
      </c>
      <c r="B676" t="e">
        <f>SUM(#REF!,#REF!)</f>
        <v>#REF!</v>
      </c>
      <c r="C676">
        <v>6</v>
      </c>
      <c r="D676">
        <v>298263.91</v>
      </c>
      <c r="E676" t="e">
        <f>_xludf.XLOOKUP(#REF!,#REF!,#REF!,0)</f>
        <v>#NAME?</v>
      </c>
      <c r="F676" t="e">
        <f>_xludf.XLOOKUP(#REF!,#REF!,#REF!,0)</f>
        <v>#NAME?</v>
      </c>
      <c r="G676" t="e">
        <f>SUM(#REF!,#REF!)</f>
        <v>#REF!</v>
      </c>
      <c r="M676" t="str">
        <v>NOVATO PRIMA GMM</v>
      </c>
      <c r="N676" t="str">
        <v>SOFI CAMPILLO</v>
      </c>
    </row>
    <row r="677">
      <c r="A677" t="str">
        <v xml:space="preserve">GABRIELA CASTAÑEDA SALAZAR </v>
      </c>
      <c r="B677" t="e">
        <f>SUM(#REF!,#REF!)</f>
        <v>#REF!</v>
      </c>
      <c r="C677">
        <v>4</v>
      </c>
      <c r="D677">
        <v>47762.78</v>
      </c>
      <c r="E677" t="e">
        <f>_xludf.XLOOKUP(#REF!,#REF!,#REF!,0)</f>
        <v>#NAME?</v>
      </c>
      <c r="F677" t="e">
        <f>_xludf.XLOOKUP(#REF!,#REF!,#REF!,0)</f>
        <v>#NAME?</v>
      </c>
      <c r="G677" t="e">
        <f>SUM(#REF!,#REF!)</f>
        <v>#REF!</v>
      </c>
      <c r="M677" t="str">
        <v>PRO PRIMAS GMM</v>
      </c>
      <c r="N677" t="str">
        <v>MONI Y CARLOS</v>
      </c>
    </row>
    <row r="678">
      <c r="A678" t="str">
        <v>PAULINA LIZBETH SOTO MUÐIZ</v>
      </c>
      <c r="B678" t="e">
        <f>SUM(#REF!,#REF!)</f>
        <v>#REF!</v>
      </c>
      <c r="C678">
        <v>2</v>
      </c>
      <c r="D678">
        <v>26687.85</v>
      </c>
      <c r="E678" t="e">
        <f>_xludf.XLOOKUP(#REF!,#REF!,#REF!,0)</f>
        <v>#NAME?</v>
      </c>
      <c r="F678" t="e">
        <f>_xludf.XLOOKUP(#REF!,#REF!,#REF!,0)</f>
        <v>#NAME?</v>
      </c>
      <c r="G678" t="e">
        <f>SUM(#REF!,#REF!)</f>
        <v>#REF!</v>
      </c>
    </row>
    <row r="679">
      <c r="A679" t="str">
        <v>RAFAEL ALBERTO SUAREZ BAQUEDANO</v>
      </c>
      <c r="B679" t="e">
        <f>SUM(#REF!,#REF!)</f>
        <v>#REF!</v>
      </c>
      <c r="C679">
        <v>2</v>
      </c>
      <c r="D679">
        <v>17585.05</v>
      </c>
      <c r="E679" t="e">
        <f>_xludf.XLOOKUP(#REF!,#REF!,#REF!,0)</f>
        <v>#NAME?</v>
      </c>
      <c r="F679" t="e">
        <f>_xludf.XLOOKUP(#REF!,#REF!,#REF!,0)</f>
        <v>#NAME?</v>
      </c>
      <c r="G679" t="e">
        <f>SUM(#REF!,#REF!)</f>
        <v>#REF!</v>
      </c>
    </row>
    <row r="680">
      <c r="A680" t="str">
        <v>MONSERRAT VELASCO SANTOS</v>
      </c>
      <c r="B680" t="e">
        <f>SUM(#REF!,#REF!)</f>
        <v>#REF!</v>
      </c>
      <c r="C680">
        <v>1</v>
      </c>
      <c r="D680">
        <v>5431.88</v>
      </c>
      <c r="E680" t="e">
        <f>_xludf.XLOOKUP(#REF!,#REF!,#REF!,0)</f>
        <v>#NAME?</v>
      </c>
      <c r="F680" t="e">
        <f>_xludf.XLOOKUP(#REF!,#REF!,#REF!,0)</f>
        <v>#NAME?</v>
      </c>
      <c r="G680" t="e">
        <f>SUM(#REF!,#REF!)</f>
        <v>#REF!</v>
      </c>
    </row>
    <row r="681">
      <c r="A681" t="str">
        <v>ANDREA CELESTE IBAÐEZ RINCON</v>
      </c>
      <c r="B681" t="e">
        <f>SUM(#REF!,#REF!)</f>
        <v>#REF!</v>
      </c>
      <c r="C681">
        <v>1</v>
      </c>
      <c r="D681">
        <v>3471.8691805572</v>
      </c>
      <c r="E681" t="e">
        <f>_xludf.XLOOKUP(#REF!,#REF!,#REF!,0)</f>
        <v>#NAME?</v>
      </c>
      <c r="F681" t="e">
        <f>_xludf.XLOOKUP(#REF!,#REF!,#REF!,0)</f>
        <v>#NAME?</v>
      </c>
      <c r="G681" t="e">
        <f>SUM(#REF!,#REF!)</f>
        <v>#REF!</v>
      </c>
    </row>
    <row r="682">
      <c r="A682" t="str">
        <v>JOSE EDUARDO EZQUERRO BARQUERA</v>
      </c>
      <c r="B682" t="e">
        <f>SUM(#REF!,#REF!)</f>
        <v>#REF!</v>
      </c>
      <c r="C682">
        <v>1</v>
      </c>
      <c r="D682">
        <v>2556.3233268254003</v>
      </c>
      <c r="E682" t="e">
        <f>_xludf.XLOOKUP(#REF!,#REF!,#REF!,0)</f>
        <v>#NAME?</v>
      </c>
      <c r="F682" t="e">
        <f>_xludf.XLOOKUP(#REF!,#REF!,#REF!,0)</f>
        <v>#NAME?</v>
      </c>
      <c r="G682" t="e">
        <f>SUM(#REF!,#REF!)</f>
        <v>#REF!</v>
      </c>
    </row>
    <row r="683">
      <c r="A683" t="str">
        <v>JORGE ALBERTO PRECIADO GONZALEZ</v>
      </c>
      <c r="B683" t="e">
        <f>SUM(#REF!,#REF!)</f>
        <v>#REF!</v>
      </c>
      <c r="C683">
        <v>1</v>
      </c>
      <c r="D683">
        <v>2485.364866218</v>
      </c>
      <c r="E683" t="e">
        <f>_xludf.XLOOKUP(#REF!,#REF!,#REF!,0)</f>
        <v>#NAME?</v>
      </c>
      <c r="F683" t="e">
        <f>_xludf.XLOOKUP(#REF!,#REF!,#REF!,0)</f>
        <v>#NAME?</v>
      </c>
      <c r="G683" t="e">
        <f>SUM(#REF!,#REF!)</f>
        <v>#REF!</v>
      </c>
    </row>
    <row r="684">
      <c r="A684" t="str">
        <v>LUIS GUILLERMO OLGUIN FERNANDEZ</v>
      </c>
      <c r="B684" t="e">
        <f>SUM(#REF!,#REF!)</f>
        <v>#REF!</v>
      </c>
      <c r="C684">
        <v>1</v>
      </c>
      <c r="D684">
        <v>1805.68</v>
      </c>
      <c r="E684" t="e">
        <f>_xludf.XLOOKUP(#REF!,#REF!,#REF!,0)</f>
        <v>#NAME?</v>
      </c>
      <c r="F684" t="e">
        <f>_xludf.XLOOKUP(#REF!,#REF!,#REF!,0)</f>
        <v>#NAME?</v>
      </c>
      <c r="G684" t="e">
        <f>SUM(#REF!,#REF!)</f>
        <v>#REF!</v>
      </c>
    </row>
    <row r="685">
      <c r="A685" t="str">
        <v>ADRIANA ALEJANDRA JOYA MARTINEZ</v>
      </c>
      <c r="B685" t="e">
        <f>SUM(#REF!,#REF!)</f>
        <v>#REF!</v>
      </c>
      <c r="C685">
        <v>0</v>
      </c>
      <c r="D685">
        <v>0</v>
      </c>
      <c r="E685" t="e">
        <f>_xludf.XLOOKUP(#REF!,#REF!,#REF!,0)</f>
        <v>#NAME?</v>
      </c>
      <c r="F685" t="e">
        <f>_xludf.XLOOKUP(#REF!,#REF!,#REF!,0)</f>
        <v>#NAME?</v>
      </c>
      <c r="G685" t="e">
        <f>SUM(#REF!,#REF!)</f>
        <v>#REF!</v>
      </c>
    </row>
    <row r="686">
      <c r="A686" t="str">
        <v>JOSE RENE DE ALBA MORALES</v>
      </c>
      <c r="B686" t="e">
        <f>SUM(#REF!,#REF!)</f>
        <v>#REF!</v>
      </c>
      <c r="C686">
        <v>0</v>
      </c>
      <c r="D686">
        <v>0</v>
      </c>
      <c r="E686" t="e">
        <f>_xludf.XLOOKUP(#REF!,#REF!,#REF!,0)</f>
        <v>#NAME?</v>
      </c>
      <c r="F686" t="e">
        <f>_xludf.XLOOKUP(#REF!,#REF!,#REF!,0)</f>
        <v>#NAME?</v>
      </c>
      <c r="G686" t="e">
        <f>SUM(#REF!,#REF!)</f>
        <v>#REF!</v>
      </c>
    </row>
    <row r="687">
      <c r="A687" t="str">
        <v>ORLANDA JIMENA CERVANTES NUÐEZ</v>
      </c>
      <c r="B687" t="e">
        <f>SUM(#REF!,#REF!)</f>
        <v>#REF!</v>
      </c>
      <c r="C687">
        <v>0</v>
      </c>
      <c r="D687">
        <v>0</v>
      </c>
      <c r="E687" t="e">
        <f>_xludf.XLOOKUP(#REF!,#REF!,#REF!,0)</f>
        <v>#NAME?</v>
      </c>
      <c r="F687" t="e">
        <f>_xludf.XLOOKUP(#REF!,#REF!,#REF!,0)</f>
        <v>#NAME?</v>
      </c>
      <c r="G687" t="e">
        <f>SUM(#REF!,#REF!)</f>
        <v>#REF!</v>
      </c>
    </row>
    <row r="688">
      <c r="A688" t="str">
        <v>LUVIA PATRICIA FIGUEROA CASTRO</v>
      </c>
      <c r="B688" t="e">
        <f>SUM(#REF!,#REF!)</f>
        <v>#REF!</v>
      </c>
      <c r="C688">
        <v>0</v>
      </c>
      <c r="D688">
        <v>0</v>
      </c>
      <c r="E688" t="e">
        <f>_xludf.XLOOKUP(#REF!,#REF!,#REF!,0)</f>
        <v>#NAME?</v>
      </c>
      <c r="F688" t="e">
        <f>_xludf.XLOOKUP(#REF!,#REF!,#REF!,0)</f>
        <v>#NAME?</v>
      </c>
      <c r="G688" t="e">
        <f>SUM(#REF!,#REF!)</f>
        <v>#REF!</v>
      </c>
    </row>
    <row r="689">
      <c r="A689" t="str">
        <v>MIREYA LIZETTE TORRES GARCIA</v>
      </c>
      <c r="B689" t="e">
        <f>SUM(#REF!,#REF!)</f>
        <v>#REF!</v>
      </c>
      <c r="C689">
        <v>0</v>
      </c>
      <c r="D689">
        <v>0</v>
      </c>
      <c r="E689" t="e">
        <f>_xludf.XLOOKUP(#REF!,#REF!,#REF!,0)</f>
        <v>#NAME?</v>
      </c>
      <c r="F689" t="e">
        <f>_xludf.XLOOKUP(#REF!,#REF!,#REF!,0)</f>
        <v>#NAME?</v>
      </c>
      <c r="G689" t="e">
        <f>SUM(#REF!,#REF!)</f>
        <v>#REF!</v>
      </c>
    </row>
    <row r="690">
      <c r="A690" t="str">
        <v>JULIANA RIASCOS VALENCIA</v>
      </c>
      <c r="B690" t="e">
        <f>SUM(#REF!,#REF!)</f>
        <v>#REF!</v>
      </c>
      <c r="C690">
        <v>0</v>
      </c>
      <c r="D690">
        <v>0</v>
      </c>
      <c r="E690" t="e">
        <f>_xludf.XLOOKUP(#REF!,#REF!,#REF!,0)</f>
        <v>#NAME?</v>
      </c>
      <c r="F690" t="e">
        <f>_xludf.XLOOKUP(#REF!,#REF!,#REF!,0)</f>
        <v>#NAME?</v>
      </c>
      <c r="G690" t="e">
        <f>SUM(#REF!,#REF!)</f>
        <v>#REF!</v>
      </c>
    </row>
    <row r="691">
      <c r="A691" t="str">
        <v>ROGELIO TORRES ORTIZ</v>
      </c>
      <c r="B691" t="e">
        <f>SUM(#REF!,#REF!)</f>
        <v>#REF!</v>
      </c>
      <c r="C691">
        <v>0</v>
      </c>
      <c r="D691">
        <v>0</v>
      </c>
      <c r="E691" t="e">
        <f>_xludf.XLOOKUP(#REF!,#REF!,#REF!,0)</f>
        <v>#NAME?</v>
      </c>
      <c r="F691" t="e">
        <f>_xludf.XLOOKUP(#REF!,#REF!,#REF!,0)</f>
        <v>#NAME?</v>
      </c>
      <c r="G691" t="e">
        <f>SUM(#REF!,#REF!)</f>
        <v>#REF!</v>
      </c>
    </row>
    <row r="692">
      <c r="A692" t="str">
        <v>ANA LAURA CONTRERAS IÐIGUEZ</v>
      </c>
      <c r="B692" t="e">
        <f>SUM(#REF!,#REF!)</f>
        <v>#REF!</v>
      </c>
      <c r="C692">
        <v>0</v>
      </c>
      <c r="D692">
        <v>0</v>
      </c>
      <c r="E692" t="e">
        <f>_xludf.XLOOKUP(#REF!,#REF!,#REF!,0)</f>
        <v>#NAME?</v>
      </c>
      <c r="F692" t="e">
        <f>_xludf.XLOOKUP(#REF!,#REF!,#REF!,0)</f>
        <v>#NAME?</v>
      </c>
      <c r="G692" t="e">
        <f>SUM(#REF!,#REF!)</f>
        <v>#REF!</v>
      </c>
    </row>
    <row r="693">
      <c r="A693" t="str">
        <v>LILIANA IVETTE CASTILLO SANCHEZ</v>
      </c>
      <c r="B693" t="e">
        <f>SUM(#REF!,#REF!)</f>
        <v>#REF!</v>
      </c>
      <c r="C693">
        <v>0</v>
      </c>
      <c r="D693">
        <v>0</v>
      </c>
      <c r="E693" t="e">
        <f>_xludf.XLOOKUP(#REF!,#REF!,#REF!,0)</f>
        <v>#NAME?</v>
      </c>
      <c r="F693" t="e">
        <f>_xludf.XLOOKUP(#REF!,#REF!,#REF!,0)</f>
        <v>#NAME?</v>
      </c>
      <c r="G693" t="e">
        <f>SUM(#REF!,#REF!)</f>
        <v>#REF!</v>
      </c>
    </row>
    <row r="694">
      <c r="A694" t="str">
        <v>MARICELA ARREOLA LOPEZ</v>
      </c>
      <c r="B694" t="e">
        <f>SUM(#REF!,#REF!)</f>
        <v>#REF!</v>
      </c>
      <c r="C694">
        <v>0</v>
      </c>
      <c r="D694">
        <v>0</v>
      </c>
      <c r="E694" t="e">
        <f>_xludf.XLOOKUP(#REF!,#REF!,#REF!,0)</f>
        <v>#NAME?</v>
      </c>
      <c r="F694" t="e">
        <f>_xludf.XLOOKUP(#REF!,#REF!,#REF!,0)</f>
        <v>#NAME?</v>
      </c>
      <c r="G694" t="e">
        <f>SUM(#REF!,#REF!)</f>
        <v>#REF!</v>
      </c>
    </row>
    <row r="695">
      <c r="A695" t="str">
        <v>ROCIO YANETH OCHOA IBARRA</v>
      </c>
      <c r="B695" t="e">
        <f>SUM(#REF!,#REF!)</f>
        <v>#REF!</v>
      </c>
      <c r="C695">
        <v>0</v>
      </c>
      <c r="D695">
        <v>0</v>
      </c>
      <c r="E695" t="e">
        <f>_xludf.XLOOKUP(#REF!,#REF!,#REF!,0)</f>
        <v>#NAME?</v>
      </c>
      <c r="F695" t="e">
        <f>_xludf.XLOOKUP(#REF!,#REF!,#REF!,0)</f>
        <v>#NAME?</v>
      </c>
      <c r="G695" t="e">
        <f>SUM(#REF!,#REF!)</f>
        <v>#REF!</v>
      </c>
    </row>
    <row r="696">
      <c r="A696" t="str">
        <v>SAMUEL NUÐO RIVERA</v>
      </c>
      <c r="B696" t="e">
        <f>SUM(#REF!,#REF!)</f>
        <v>#REF!</v>
      </c>
      <c r="C696">
        <v>0</v>
      </c>
      <c r="D696">
        <v>0</v>
      </c>
      <c r="E696" t="e">
        <f>_xludf.XLOOKUP(#REF!,#REF!,#REF!,0)</f>
        <v>#NAME?</v>
      </c>
      <c r="F696" t="e">
        <f>_xludf.XLOOKUP(#REF!,#REF!,#REF!,0)</f>
        <v>#NAME?</v>
      </c>
      <c r="G696" t="e">
        <f>SUM(#REF!,#REF!)</f>
        <v>#REF!</v>
      </c>
      <c r="M696" t="str">
        <v>=SUMAR.SI.CONJUNTO(Tabla2652[MONTO REAL],Tabla2652[ASESOR],[@Asesor],Tabla2652[RAMO],"VIDA")</v>
      </c>
    </row>
    <row r="697">
      <c r="A697" t="str">
        <v>MARIA ELIZABETH LLAMAS LOPEZ</v>
      </c>
      <c r="B697" t="e">
        <f>SUM(#REF!,#REF!)</f>
        <v>#REF!</v>
      </c>
      <c r="C697">
        <v>0</v>
      </c>
      <c r="D697">
        <v>0</v>
      </c>
      <c r="E697" t="e">
        <f>_xludf.XLOOKUP(#REF!,#REF!,#REF!,0)</f>
        <v>#NAME?</v>
      </c>
      <c r="F697" t="e">
        <f>_xludf.XLOOKUP(#REF!,#REF!,#REF!,0)</f>
        <v>#NAME?</v>
      </c>
      <c r="G697" t="e">
        <f>SUM(#REF!,#REF!)</f>
        <v>#REF!</v>
      </c>
    </row>
    <row r="698">
      <c r="A698" t="str">
        <v>VELIA PATRICIA BERNAL RAMOS</v>
      </c>
      <c r="B698" t="e">
        <f>SUM(#REF!,#REF!)</f>
        <v>#REF!</v>
      </c>
      <c r="C698">
        <v>0</v>
      </c>
      <c r="D698">
        <v>0</v>
      </c>
      <c r="E698" t="e">
        <f>_xludf.XLOOKUP(#REF!,#REF!,#REF!,0)</f>
        <v>#NAME?</v>
      </c>
      <c r="F698" t="e">
        <f>_xludf.XLOOKUP(#REF!,#REF!,#REF!,0)</f>
        <v>#NAME?</v>
      </c>
      <c r="G698" t="e">
        <f>SUM(#REF!,#REF!)</f>
        <v>#REF!</v>
      </c>
    </row>
    <row r="699">
      <c r="A699" t="str">
        <v>EVELYN CAROLINA VENEGAS IÐIGUEZ</v>
      </c>
      <c r="B699" t="e">
        <f>SUM(#REF!,#REF!)</f>
        <v>#REF!</v>
      </c>
      <c r="C699">
        <v>0</v>
      </c>
      <c r="D699">
        <v>0</v>
      </c>
      <c r="E699" t="e">
        <f>_xludf.XLOOKUP(#REF!,#REF!,#REF!,0)</f>
        <v>#NAME?</v>
      </c>
      <c r="F699" t="e">
        <f>_xludf.XLOOKUP(#REF!,#REF!,#REF!,0)</f>
        <v>#NAME?</v>
      </c>
      <c r="G699" t="e">
        <f>SUM(#REF!,#REF!)</f>
        <v>#REF!</v>
      </c>
    </row>
    <row r="700">
      <c r="A700" t="str">
        <v>ENRIQUE ADRIAN GUTIERREZ JIMENEZ</v>
      </c>
      <c r="B700" t="e">
        <f>SUM(#REF!,#REF!)</f>
        <v>#REF!</v>
      </c>
      <c r="C700">
        <v>0</v>
      </c>
      <c r="D700">
        <v>0</v>
      </c>
      <c r="E700" t="e">
        <f>_xludf.XLOOKUP(#REF!,#REF!,#REF!,0)</f>
        <v>#NAME?</v>
      </c>
      <c r="F700" t="e">
        <f>_xludf.XLOOKUP(#REF!,#REF!,#REF!,0)</f>
        <v>#NAME?</v>
      </c>
      <c r="G700" t="e">
        <f>SUM(#REF!,#REF!)</f>
        <v>#REF!</v>
      </c>
    </row>
    <row r="701">
      <c r="A701" t="str">
        <v>PAULA ANGELICA LOMELI CAZARES</v>
      </c>
      <c r="B701" t="e">
        <f>SUM(#REF!,#REF!)</f>
        <v>#REF!</v>
      </c>
      <c r="C701">
        <v>0</v>
      </c>
      <c r="D701">
        <v>0</v>
      </c>
      <c r="E701" t="e">
        <f>_xludf.XLOOKUP(#REF!,#REF!,#REF!,0)</f>
        <v>#NAME?</v>
      </c>
      <c r="F701" t="e">
        <f>_xludf.XLOOKUP(#REF!,#REF!,#REF!,0)</f>
        <v>#NAME?</v>
      </c>
      <c r="G701" t="e">
        <f>SUM(#REF!,#REF!)</f>
        <v>#REF!</v>
      </c>
    </row>
    <row r="702">
      <c r="A702" t="str">
        <v>ANA VERONICA GONZALEZ GAYTAN</v>
      </c>
      <c r="B702" t="e">
        <f>SUM(#REF!,#REF!)</f>
        <v>#REF!</v>
      </c>
      <c r="C702">
        <v>0</v>
      </c>
      <c r="D702">
        <v>0</v>
      </c>
      <c r="E702">
        <v>0</v>
      </c>
      <c r="F702" t="e">
        <f>_xludf.XLOOKUP(#REF!,#REF!,#REF!,0)</f>
        <v>#NAME?</v>
      </c>
      <c r="G702" t="e">
        <f>SUM(#REF!,#REF!)</f>
        <v>#REF!</v>
      </c>
    </row>
    <row r="703">
      <c r="A703" t="str">
        <v>Total</v>
      </c>
      <c r="B703" t="e">
        <f>SUM(#REF!)</f>
        <v>#REF!</v>
      </c>
      <c r="C703" t="e">
        <f>SUM(#REF!)</f>
        <v>#REF!</v>
      </c>
      <c r="D703" t="e">
        <f>SUM(#REF!)</f>
        <v>#REF!</v>
      </c>
      <c r="E703" t="e">
        <f>SUM(#REF!)</f>
        <v>#REF!</v>
      </c>
      <c r="F703" t="e">
        <f>SUM(#REF!)</f>
        <v>#REF!</v>
      </c>
      <c r="G703" t="e">
        <f>SUM(#REF!)</f>
        <v>#REF!</v>
      </c>
    </row>
    <row r="709">
      <c r="A709" t="str">
        <v>ASESOR</v>
      </c>
      <c r="B709" t="str">
        <v>FRECUENCIA</v>
      </c>
      <c r="C709" t="str">
        <v>RAMO</v>
      </c>
      <c r="D709" t="str">
        <v>MONTO ANUAL</v>
      </c>
      <c r="E709" t="str">
        <v>MONTO REAL</v>
      </c>
    </row>
    <row r="710">
      <c r="A710" t="str">
        <v xml:space="preserve">ANDREA CELESTE IBAÑEZ RINCON </v>
      </c>
      <c r="B710" t="str">
        <v>MENSUAL</v>
      </c>
      <c r="C710" t="str">
        <v>VIDA</v>
      </c>
      <c r="D710">
        <v>41662.4301666864</v>
      </c>
      <c r="E710" t="e" cm="1">
        <f t="array" ref="E710">D710/_xludf.IFS(B710="MENSUAL",12,B710="TRIMESTRAL",4,B710="SEMESTRAL",2,B710="ANUAL",1)</f>
        <v>#NAME?</v>
      </c>
      <c r="G710" t="e">
        <f>SUM(E711:E716)</f>
        <v>#NAME?</v>
      </c>
    </row>
    <row r="711">
      <c r="A711" t="str">
        <v>DARINKA UREÑA CASILLAS</v>
      </c>
      <c r="B711" t="str">
        <v>MENSUAL</v>
      </c>
      <c r="C711" t="str">
        <v>VIDA</v>
      </c>
      <c r="D711">
        <v>81424.76704559999</v>
      </c>
      <c r="E711" t="e" cm="1">
        <f t="array" ref="E711">D711/_xludf.IFS(B711="MENSUAL",12,B711="TRIMESTRAL",4,B711="SEMESTRAL",2,B711="ANUAL",1)</f>
        <v>#NAME?</v>
      </c>
    </row>
    <row r="712">
      <c r="A712" t="str">
        <v>DARINKA UREÑA CASILLAS</v>
      </c>
      <c r="B712" t="str">
        <v>SEMESTRAL</v>
      </c>
      <c r="C712" t="str">
        <v>VIDA</v>
      </c>
      <c r="D712">
        <v>25223.0190576</v>
      </c>
      <c r="E712" t="e" cm="1">
        <f t="array" ref="E712">D712/_xludf.IFS(B712="MENSUAL",12,B712="TRIMESTRAL",4,B712="SEMESTRAL",2,B712="ANUAL",1)</f>
        <v>#NAME?</v>
      </c>
    </row>
    <row r="713">
      <c r="A713" t="str">
        <v>DARINKA UREÑA CASILLAS</v>
      </c>
      <c r="B713" t="str">
        <v>MENSUAL</v>
      </c>
      <c r="C713" t="str">
        <v>GMM</v>
      </c>
      <c r="D713">
        <v>28077.48</v>
      </c>
      <c r="E713" t="e" cm="1">
        <f t="array" ref="E713">D713/_xludf.IFS(B713="MENSUAL",12,B713="TRIMESTRAL",4,B713="SEMESTRAL",2,B713="ANUAL",1)</f>
        <v>#NAME?</v>
      </c>
    </row>
    <row r="714">
      <c r="A714" t="str">
        <v>DARINKA UREÑA CASILLAS</v>
      </c>
      <c r="B714" t="str">
        <v>ANUAL</v>
      </c>
      <c r="C714" t="str">
        <v>VIDA</v>
      </c>
      <c r="D714">
        <v>48537.16074834</v>
      </c>
      <c r="E714" t="e" cm="1">
        <f t="array" ref="E714">D714/_xludf.IFS(B714="MENSUAL",12,B714="TRIMESTRAL",4,B714="SEMESTRAL",2,B714="ANUAL",1)</f>
        <v>#NAME?</v>
      </c>
    </row>
    <row r="715">
      <c r="A715" t="str">
        <v>DARINKA UREÑA CASILLAS</v>
      </c>
      <c r="B715" t="str">
        <v>SEMESTRAL</v>
      </c>
      <c r="C715" t="str">
        <v>VIDA</v>
      </c>
      <c r="D715">
        <v>80500.37728042001</v>
      </c>
      <c r="E715" t="e" cm="1">
        <f t="array" ref="E715">D715/_xludf.IFS(B715="MENSUAL",12,B715="TRIMESTRAL",4,B715="SEMESTRAL",2,B715="ANUAL",1)</f>
        <v>#NAME?</v>
      </c>
    </row>
    <row r="716">
      <c r="A716" t="str">
        <v>DARINKA UREÑA CASILLAS</v>
      </c>
      <c r="B716" t="str">
        <v>ANUAL</v>
      </c>
      <c r="C716" t="str">
        <v>VIDA</v>
      </c>
      <c r="D716">
        <v>45445.11869407999</v>
      </c>
      <c r="E716" t="e" cm="1">
        <f t="array" ref="E716">D716/_xludf.IFS(B716="MENSUAL",12,B716="TRIMESTRAL",4,B716="SEMESTRAL",2,B716="ANUAL",1)</f>
        <v>#NAME?</v>
      </c>
    </row>
    <row r="717">
      <c r="A717" t="str">
        <v xml:space="preserve">DESIREE DE LA PEÑA OROZCO </v>
      </c>
      <c r="B717" t="str">
        <v>ANUAL</v>
      </c>
      <c r="C717" t="str">
        <v>VIDA</v>
      </c>
      <c r="D717">
        <v>26766.657800380002</v>
      </c>
      <c r="E717" t="e" cm="1">
        <f t="array" ref="E717">D717/_xludf.IFS(B717="MENSUAL",12,B717="TRIMESTRAL",4,B717="SEMESTRAL",2,B717="ANUAL",1)</f>
        <v>#NAME?</v>
      </c>
    </row>
    <row r="718">
      <c r="A718" t="str">
        <v xml:space="preserve">DESIREE DE LA PEÑA OROZCO </v>
      </c>
      <c r="B718" t="str">
        <v>ANUAL</v>
      </c>
      <c r="C718" t="str">
        <v>VIDA</v>
      </c>
      <c r="D718">
        <v>65355.01653912</v>
      </c>
      <c r="E718" t="e" cm="1">
        <f t="array" ref="E718">D718/_xludf.IFS(B718="MENSUAL",12,B718="TRIMESTRAL",4,B718="SEMESTRAL",2,B718="ANUAL",1)</f>
        <v>#NAME?</v>
      </c>
    </row>
    <row r="719">
      <c r="A719" t="str">
        <v xml:space="preserve">DESIREE DE LA PEÑA OROZCO </v>
      </c>
      <c r="B719" t="str">
        <v>SEMESTRAL</v>
      </c>
      <c r="C719" t="str">
        <v>VIDA</v>
      </c>
      <c r="D719">
        <v>90359.71446926001</v>
      </c>
      <c r="E719" t="e" cm="1">
        <f t="array" ref="E719">D719/_xludf.IFS(B719="MENSUAL",12,B719="TRIMESTRAL",4,B719="SEMESTRAL",2,B719="ANUAL",1)</f>
        <v>#NAME?</v>
      </c>
    </row>
    <row r="720">
      <c r="A720" t="str">
        <v xml:space="preserve">DESIREE DE LA PEÑA OROZCO </v>
      </c>
      <c r="B720" t="str">
        <v>ANUAL</v>
      </c>
      <c r="C720" t="str">
        <v>VIDA</v>
      </c>
      <c r="D720">
        <v>30518.186064510002</v>
      </c>
      <c r="E720" t="e" cm="1">
        <f t="array" ref="E720">D720/_xludf.IFS(B720="MENSUAL",12,B720="TRIMESTRAL",4,B720="SEMESTRAL",2,B720="ANUAL",1)</f>
        <v>#NAME?</v>
      </c>
    </row>
    <row r="721">
      <c r="A721" t="str">
        <v xml:space="preserve">DESIREE DE LA PEÑA OROZCO </v>
      </c>
      <c r="B721" t="str">
        <v>ANUAL</v>
      </c>
      <c r="C721" t="str">
        <v>VIDA</v>
      </c>
      <c r="D721">
        <v>65219.68143122</v>
      </c>
      <c r="E721" t="e" cm="1">
        <f t="array" ref="E721">D721/_xludf.IFS(B721="MENSUAL",12,B721="TRIMESTRAL",4,B721="SEMESTRAL",2,B721="ANUAL",1)</f>
        <v>#NAME?</v>
      </c>
    </row>
    <row r="722">
      <c r="A722" t="str">
        <v xml:space="preserve">DESIREE DE LA PEÑA OROZCO </v>
      </c>
      <c r="B722" t="str">
        <v>ANUAL</v>
      </c>
      <c r="C722" t="str">
        <v>VIDA</v>
      </c>
      <c r="D722">
        <v>65224.51023367999</v>
      </c>
      <c r="E722" t="e" cm="1">
        <f t="array" ref="E722">D722/_xludf.IFS(B722="MENSUAL",12,B722="TRIMESTRAL",4,B722="SEMESTRAL",2,B722="ANUAL",1)</f>
        <v>#NAME?</v>
      </c>
    </row>
    <row r="723">
      <c r="A723" t="str">
        <v xml:space="preserve">GABRIELA CASTAÑEDA SALAZAR </v>
      </c>
      <c r="B723" t="str">
        <v>ANUAL</v>
      </c>
      <c r="C723" t="str">
        <v>VIDA</v>
      </c>
      <c r="D723">
        <v>36104.589003279994</v>
      </c>
      <c r="E723" t="e" cm="1">
        <f t="array" ref="E723">D723/_xludf.IFS(B723="MENSUAL",12,B723="TRIMESTRAL",4,B723="SEMESTRAL",2,B723="ANUAL",1)</f>
        <v>#NAME?</v>
      </c>
    </row>
    <row r="724">
      <c r="A724" t="str">
        <v xml:space="preserve">GABRIELA CASTAÑEDA SALAZAR </v>
      </c>
      <c r="B724" t="str">
        <v>MENSUAL</v>
      </c>
      <c r="C724" t="str">
        <v>VIDA</v>
      </c>
      <c r="D724">
        <v>24740.70913392</v>
      </c>
      <c r="E724" t="e" cm="1">
        <f t="array" ref="E724">D724/_xludf.IFS(B724="MENSUAL",12,B724="TRIMESTRAL",4,B724="SEMESTRAL",2,B724="ANUAL",1)</f>
        <v>#NAME?</v>
      </c>
    </row>
    <row r="725">
      <c r="A725" t="str">
        <v xml:space="preserve">GABRIELA CASTAÑEDA SALAZAR </v>
      </c>
      <c r="B725" t="str">
        <v>TRIMESTRAL</v>
      </c>
      <c r="C725" t="str">
        <v>VIDA</v>
      </c>
      <c r="D725">
        <v>30842.46371416</v>
      </c>
      <c r="E725" t="e" cm="1">
        <f t="array" ref="E725">D725/_xludf.IFS(B725="MENSUAL",12,B725="TRIMESTRAL",4,B725="SEMESTRAL",2,B725="ANUAL",1)</f>
        <v>#NAME?</v>
      </c>
    </row>
    <row r="726">
      <c r="A726" t="str">
        <v xml:space="preserve">GABRIELA CASTAÑEDA SALAZAR </v>
      </c>
      <c r="B726" t="str">
        <v>MENSUAL</v>
      </c>
      <c r="C726" t="str">
        <v>VIDA</v>
      </c>
      <c r="D726">
        <v>20004.812362799996</v>
      </c>
      <c r="E726" t="e" cm="1">
        <f t="array" ref="E726">D726/_xludf.IFS(B726="MENSUAL",12,B726="TRIMESTRAL",4,B726="SEMESTRAL",2,B726="ANUAL",1)</f>
        <v>#NAME?</v>
      </c>
    </row>
    <row r="727">
      <c r="A727" t="str">
        <v xml:space="preserve">HANA SOFIA LOPEZ QUIÑONEZ </v>
      </c>
      <c r="B727" t="str">
        <v>ANUAL</v>
      </c>
      <c r="C727" t="str">
        <v>GMM</v>
      </c>
      <c r="D727">
        <v>28021.74</v>
      </c>
      <c r="E727" t="e" cm="1">
        <f t="array" ref="E727">D727/_xludf.IFS(B727="MENSUAL",12,B727="TRIMESTRAL",4,B727="SEMESTRAL",2,B727="ANUAL",1)</f>
        <v>#NAME?</v>
      </c>
    </row>
    <row r="728">
      <c r="A728" t="str">
        <v xml:space="preserve">JORGE ALBERTO PRECIADO GONZALEZ </v>
      </c>
      <c r="B728" t="str">
        <v>MENSUAL</v>
      </c>
      <c r="C728" t="str">
        <v>VIDA</v>
      </c>
      <c r="D728">
        <v>29824.378394616</v>
      </c>
      <c r="E728" t="e" cm="1">
        <f t="array" ref="E728">D728/_xludf.IFS(B728="MENSUAL",12,B728="TRIMESTRAL",4,B728="SEMESTRAL",2,B728="ANUAL",1)</f>
        <v>#NAME?</v>
      </c>
    </row>
    <row r="729">
      <c r="A729" t="str">
        <v xml:space="preserve">JORGE ANTONIO LUNA LARA </v>
      </c>
      <c r="B729" t="str">
        <v>ANUAL</v>
      </c>
      <c r="C729" t="str">
        <v>VIDA</v>
      </c>
      <c r="D729">
        <v>61919.19621501</v>
      </c>
      <c r="E729" t="e" cm="1">
        <f t="array" ref="E729">D729/_xludf.IFS(B729="MENSUAL",12,B729="TRIMESTRAL",4,B729="SEMESTRAL",2,B729="ANUAL",1)</f>
        <v>#NAME?</v>
      </c>
    </row>
    <row r="730">
      <c r="A730" t="str">
        <v xml:space="preserve">JORGE ANTONIO LUNA LARA </v>
      </c>
      <c r="B730" t="str">
        <v>ANUAL</v>
      </c>
      <c r="C730" t="str">
        <v>GMM</v>
      </c>
      <c r="D730">
        <v>50795.32</v>
      </c>
      <c r="E730" t="e" cm="1">
        <f t="array" ref="E730">D730/_xludf.IFS(B730="MENSUAL",12,B730="TRIMESTRAL",4,B730="SEMESTRAL",2,B730="ANUAL",1)</f>
        <v>#NAME?</v>
      </c>
    </row>
    <row r="731">
      <c r="A731" t="str">
        <v xml:space="preserve">JOSE EDUARDO EZQUERRO BARQUERA </v>
      </c>
      <c r="B731" t="str">
        <v>MENSUAL</v>
      </c>
      <c r="C731" t="str">
        <v>VIDA</v>
      </c>
      <c r="D731">
        <v>30675.8799219048</v>
      </c>
      <c r="E731" t="e" cm="1">
        <f t="array" ref="E731">D731/_xludf.IFS(B731="MENSUAL",12,B731="TRIMESTRAL",4,B731="SEMESTRAL",2,B731="ANUAL",1)</f>
        <v>#NAME?</v>
      </c>
    </row>
    <row r="732">
      <c r="A732" t="str">
        <v xml:space="preserve">LUIS GUILLERMO OLGUIN FERNANDEZ </v>
      </c>
      <c r="B732" t="str">
        <v>MENSUAL</v>
      </c>
      <c r="C732" t="str">
        <v>VIDA</v>
      </c>
      <c r="D732">
        <v>21547.55658348</v>
      </c>
      <c r="E732" t="e" cm="1">
        <f t="array" ref="E732">D732/_xludf.IFS(B732="MENSUAL",12,B732="TRIMESTRAL",4,B732="SEMESTRAL",2,B732="ANUAL",1)</f>
        <v>#NAME?</v>
      </c>
    </row>
    <row r="733">
      <c r="A733" t="str">
        <v xml:space="preserve">MARIA TERESA ASENCIO LOZANO </v>
      </c>
      <c r="B733" t="str">
        <v>ANUAL</v>
      </c>
      <c r="C733" t="str">
        <v>GMM</v>
      </c>
      <c r="D733">
        <v>34775.11</v>
      </c>
      <c r="E733" t="e" cm="1">
        <f t="array" ref="E733">D733/_xludf.IFS(B733="MENSUAL",12,B733="TRIMESTRAL",4,B733="SEMESTRAL",2,B733="ANUAL",1)</f>
        <v>#NAME?</v>
      </c>
    </row>
    <row r="734">
      <c r="A734" t="str">
        <v xml:space="preserve">MARIA TERESA ASENCIO LOZANO </v>
      </c>
      <c r="B734" t="str">
        <v>MENSUAL</v>
      </c>
      <c r="C734" t="str">
        <v>GMM</v>
      </c>
      <c r="D734">
        <v>21936.12</v>
      </c>
      <c r="E734" t="e" cm="1">
        <f t="array" ref="E734">D734/_xludf.IFS(B734="MENSUAL",12,B734="TRIMESTRAL",4,B734="SEMESTRAL",2,B734="ANUAL",1)</f>
        <v>#NAME?</v>
      </c>
    </row>
    <row r="735">
      <c r="A735" t="str">
        <v xml:space="preserve">MONICA ANDREA AMBRIZ GOMEZ </v>
      </c>
      <c r="B735" t="str">
        <v>MENSUAL</v>
      </c>
      <c r="C735" t="str">
        <v>VIDA</v>
      </c>
      <c r="D735">
        <v>32271.396796183202</v>
      </c>
      <c r="E735" t="e" cm="1">
        <f t="array" ref="E735">D735/_xludf.IFS(B735="MENSUAL",12,B735="TRIMESTRAL",4,B735="SEMESTRAL",2,B735="ANUAL",1)</f>
        <v>#NAME?</v>
      </c>
    </row>
    <row r="736">
      <c r="A736" t="str">
        <v xml:space="preserve">MONICA ANDREA AMBRIZ GOMEZ </v>
      </c>
      <c r="B736" t="str">
        <v>ANUAL</v>
      </c>
      <c r="C736" t="str">
        <v>GMM</v>
      </c>
      <c r="D736">
        <v>56445.7</v>
      </c>
      <c r="E736" t="e" cm="1">
        <f t="array" ref="E736">D736/_xludf.IFS(B736="MENSUAL",12,B736="TRIMESTRAL",4,B736="SEMESTRAL",2,B736="ANUAL",1)</f>
        <v>#NAME?</v>
      </c>
    </row>
    <row r="737">
      <c r="A737" t="str">
        <v xml:space="preserve">MONICA ANDREA AMBRIZ GOMEZ </v>
      </c>
      <c r="B737" t="str">
        <v>ANUAL</v>
      </c>
      <c r="C737" t="str">
        <v>VIDA</v>
      </c>
      <c r="D737">
        <v>27805.860000000004</v>
      </c>
      <c r="E737" t="e" cm="1">
        <f t="array" ref="E737">D737/_xludf.IFS(B737="MENSUAL",12,B737="TRIMESTRAL",4,B737="SEMESTRAL",2,B737="ANUAL",1)</f>
        <v>#NAME?</v>
      </c>
    </row>
    <row r="738">
      <c r="A738" t="str">
        <v xml:space="preserve">MONICA ANDREA AMBRIZ GOMEZ </v>
      </c>
      <c r="B738" t="str">
        <v>ANUAL</v>
      </c>
      <c r="C738" t="str">
        <v>VIDA</v>
      </c>
      <c r="D738">
        <v>23845.16162405</v>
      </c>
      <c r="E738" t="e" cm="1">
        <f t="array" ref="E738">D738/_xludf.IFS(B738="MENSUAL",12,B738="TRIMESTRAL",4,B738="SEMESTRAL",2,B738="ANUAL",1)</f>
        <v>#NAME?</v>
      </c>
    </row>
    <row r="739">
      <c r="A739" t="str">
        <v xml:space="preserve">MONICA ANDREA AMBRIZ GOMEZ </v>
      </c>
      <c r="B739" t="str">
        <v>MENSUAL</v>
      </c>
      <c r="C739" t="str">
        <v>VIDA</v>
      </c>
      <c r="D739">
        <v>32346.691264752</v>
      </c>
      <c r="E739" t="e" cm="1">
        <f t="array" ref="E739">D739/_xludf.IFS(B739="MENSUAL",12,B739="TRIMESTRAL",4,B739="SEMESTRAL",2,B739="ANUAL",1)</f>
        <v>#NAME?</v>
      </c>
    </row>
    <row r="740">
      <c r="A740" t="str">
        <v xml:space="preserve">MONICA ANDREA AMBRIZ GOMEZ </v>
      </c>
      <c r="B740" t="str">
        <v>ANUAL</v>
      </c>
      <c r="C740" t="str">
        <v>VIDA</v>
      </c>
      <c r="D740">
        <v>76229.79635334</v>
      </c>
      <c r="E740" t="e" cm="1">
        <f t="array" ref="E740">D740/_xludf.IFS(B740="MENSUAL",12,B740="TRIMESTRAL",4,B740="SEMESTRAL",2,B740="ANUAL",1)</f>
        <v>#NAME?</v>
      </c>
    </row>
    <row r="741">
      <c r="A741" t="str">
        <v>MONSERRAT VELASCO SANTOS</v>
      </c>
      <c r="B741" t="str">
        <v>MENSUAL</v>
      </c>
      <c r="C741" t="str">
        <v>VIDA</v>
      </c>
      <c r="D741">
        <v>65152.58270940001</v>
      </c>
      <c r="E741" t="e" cm="1">
        <f t="array" ref="E741">D741/_xludf.IFS(B741="MENSUAL",12,B741="TRIMESTRAL",4,B741="SEMESTRAL",2,B741="ANUAL",1)</f>
        <v>#NAME?</v>
      </c>
    </row>
    <row r="742">
      <c r="A742" t="str">
        <v xml:space="preserve">PAULINA LIZBETH SOTO MUÑIZ </v>
      </c>
      <c r="B742" t="str">
        <v>SEMESTRAL</v>
      </c>
      <c r="C742" t="str">
        <v>VIDA</v>
      </c>
      <c r="D742">
        <v>22267.441423199998</v>
      </c>
      <c r="E742" t="e" cm="1">
        <f t="array" ref="E742">D742/_xludf.IFS(B742="MENSUAL",12,B742="TRIMESTRAL",4,B742="SEMESTRAL",2,B742="ANUAL",1)</f>
        <v>#NAME?</v>
      </c>
    </row>
    <row r="743">
      <c r="A743" t="str">
        <v xml:space="preserve">RAFAEL ALBERTO SUAREZ BAQUEDANO </v>
      </c>
      <c r="B743" t="str">
        <v>SEMESTRAL</v>
      </c>
      <c r="C743" t="str">
        <v>VIDA</v>
      </c>
      <c r="D743">
        <v>31640.81000832</v>
      </c>
      <c r="E743" t="e" cm="1">
        <f t="array" ref="E743">D743/_xludf.IFS(B743="MENSUAL",12,B743="TRIMESTRAL",4,B743="SEMESTRAL",2,B743="ANUAL",1)</f>
        <v>#NAME?</v>
      </c>
    </row>
    <row r="744">
      <c r="A744" t="str">
        <v xml:space="preserve">RAFAEL ALBERTO SUAREZ BAQUEDANO </v>
      </c>
      <c r="B744" t="str">
        <v>MENSUAL</v>
      </c>
      <c r="C744" t="str">
        <v>VIDA</v>
      </c>
      <c r="D744">
        <v>20884.28691336</v>
      </c>
      <c r="E744" t="e" cm="1">
        <f t="array" ref="E744">D744/_xludf.IFS(B744="MENSUAL",12,B744="TRIMESTRAL",4,B744="SEMESTRAL",2,B744="ANUAL",1)</f>
        <v>#NAME?</v>
      </c>
    </row>
    <row r="752">
      <c r="A752" t="str">
        <v>Ventas mensuales MAYO</v>
      </c>
    </row>
    <row r="753">
      <c r="A753" t="str">
        <v>Asesor</v>
      </c>
      <c r="B753" t="str">
        <v xml:space="preserve">Pólizas </v>
      </c>
      <c r="C753" t="str">
        <v>Vida</v>
      </c>
      <c r="D753" t="str">
        <v>Prima Pagada vida</v>
      </c>
      <c r="E753" t="str">
        <v>Gmm</v>
      </c>
      <c r="F753" t="str">
        <v>Prima Pagada gmm</v>
      </c>
      <c r="G753" t="str">
        <v>Prima total</v>
      </c>
    </row>
    <row r="754">
      <c r="A754" t="str">
        <v>DARINKA UREÐA CASILLAS</v>
      </c>
      <c r="B754" t="e">
        <f>SUM(#REF!,#REF!)</f>
        <v>#REF!</v>
      </c>
      <c r="C754">
        <v>4</v>
      </c>
      <c r="D754">
        <v>41370.92</v>
      </c>
      <c r="E754" t="e">
        <f>_xludf.XLOOKUP(#REF!,#REF!,#REF!,0)</f>
        <v>#NAME?</v>
      </c>
      <c r="F754" t="e">
        <f>_xludf.XLOOKUP(#REF!,#REF!,#REF!,0)</f>
        <v>#NAME?</v>
      </c>
      <c r="G754" t="e">
        <f>SUM(#REF!,#REF!)</f>
        <v>#REF!</v>
      </c>
      <c r="I754" t="str">
        <v>Columna1</v>
      </c>
      <c r="J754" t="str">
        <v>Columna12</v>
      </c>
      <c r="K754" t="str">
        <v>Columna2</v>
      </c>
      <c r="L754" t="str">
        <v>Columna3</v>
      </c>
      <c r="N754" t="str">
        <v>CAMPEONES:</v>
      </c>
    </row>
    <row r="755">
      <c r="A755" t="str">
        <v>DESIREE DE LA PEÐA OROZCO</v>
      </c>
      <c r="B755" t="e">
        <f>SUM(#REF!,#REF!)</f>
        <v>#REF!</v>
      </c>
      <c r="C755">
        <v>2</v>
      </c>
      <c r="D755">
        <v>24572.42</v>
      </c>
      <c r="E755" t="e">
        <f>_xludf.XLOOKUP(#REF!,#REF!,#REF!,0)</f>
        <v>#NAME?</v>
      </c>
      <c r="F755" t="e">
        <f>_xludf.XLOOKUP(#REF!,#REF!,#REF!,0)</f>
        <v>#NAME?</v>
      </c>
      <c r="G755" t="e">
        <f>SUM(#REF!,#REF!)</f>
        <v>#REF!</v>
      </c>
      <c r="I755" t="str">
        <v>MARIA FERNANDA RIOS BERNAL</v>
      </c>
      <c r="J755" t="e">
        <f>#REF!/2</f>
        <v>#REF!</v>
      </c>
      <c r="K755">
        <v>3</v>
      </c>
      <c r="L755">
        <v>70335.92</v>
      </c>
      <c r="N755" t="str">
        <v>NOVATO POLIZAS VIDA</v>
      </c>
    </row>
    <row r="756">
      <c r="A756" t="str">
        <v>ANA LAURA CONTRERAS IÐIGUEZ</v>
      </c>
      <c r="B756" t="e">
        <f>SUM(#REF!,#REF!)</f>
        <v>#REF!</v>
      </c>
      <c r="C756">
        <v>1</v>
      </c>
      <c r="D756">
        <v>5250.63</v>
      </c>
      <c r="E756" t="e">
        <f>_xludf.XLOOKUP(#REF!,#REF!,#REF!,0)</f>
        <v>#NAME?</v>
      </c>
      <c r="F756" t="e">
        <f>_xludf.XLOOKUP(#REF!,#REF!,#REF!,0)</f>
        <v>#NAME?</v>
      </c>
      <c r="G756" t="e">
        <f>SUM(#REF!,#REF!)</f>
        <v>#REF!</v>
      </c>
      <c r="I756" t="str">
        <v>PAULINA LIZBETH SOTO MUÐIZ</v>
      </c>
      <c r="J756" t="e">
        <f>#REF!/2</f>
        <v>#REF!</v>
      </c>
      <c r="K756">
        <v>1</v>
      </c>
      <c r="L756">
        <v>56328.79</v>
      </c>
      <c r="N756" t="str">
        <v>PRO POLIZAS VIDA</v>
      </c>
    </row>
    <row r="757">
      <c r="A757" t="str">
        <v>MONICA ANDREA AMBRIZ GOMEZ</v>
      </c>
      <c r="B757" t="e">
        <f>SUM(#REF!,#REF!)</f>
        <v>#REF!</v>
      </c>
      <c r="C757">
        <v>0</v>
      </c>
      <c r="D757">
        <v>0</v>
      </c>
      <c r="E757" t="e">
        <f>_xludf.XLOOKUP(#REF!,#REF!,#REF!,0)</f>
        <v>#NAME?</v>
      </c>
      <c r="F757" t="e">
        <f>_xludf.XLOOKUP(#REF!,#REF!,#REF!,0)</f>
        <v>#NAME?</v>
      </c>
      <c r="G757" t="e">
        <f>SUM(#REF!,#REF!)</f>
        <v>#REF!</v>
      </c>
      <c r="I757" t="str">
        <v>RAFAEL ALBERTO SUAREZ BAQUEDANO</v>
      </c>
      <c r="J757" t="e">
        <f>#REF!/2</f>
        <v>#REF!</v>
      </c>
      <c r="K757">
        <v>1</v>
      </c>
      <c r="L757">
        <v>14673.25</v>
      </c>
      <c r="N757" t="str">
        <v>NOVATO PRIMA VIDA</v>
      </c>
    </row>
    <row r="758">
      <c r="A758" t="str">
        <v>RAFAEL ALBERTO SUAREZ BAQUEDANO</v>
      </c>
      <c r="B758" t="e">
        <f>SUM(#REF!,#REF!)</f>
        <v>#REF!</v>
      </c>
      <c r="C758">
        <v>2</v>
      </c>
      <c r="D758">
        <v>32273.98</v>
      </c>
      <c r="E758" t="e">
        <f>_xludf.XLOOKUP(#REF!,#REF!,#REF!,0)</f>
        <v>#NAME?</v>
      </c>
      <c r="F758" t="e">
        <f>_xludf.XLOOKUP(#REF!,#REF!,#REF!,0)</f>
        <v>#NAME?</v>
      </c>
      <c r="G758" t="e">
        <f>SUM(#REF!,#REF!)</f>
        <v>#REF!</v>
      </c>
      <c r="I758" t="str">
        <v>PAULINA RODRIGUEZ DE LA MORA</v>
      </c>
      <c r="J758" t="e">
        <f>#REF!/2</f>
        <v>#REF!</v>
      </c>
      <c r="K758">
        <v>1</v>
      </c>
      <c r="L758">
        <v>19825.63</v>
      </c>
      <c r="N758" t="str">
        <v>PRO PRIMA VIDA</v>
      </c>
    </row>
    <row r="759">
      <c r="A759" t="str">
        <v>ANAIS LUA MORENO</v>
      </c>
      <c r="B759" t="e">
        <f>SUM(#REF!,#REF!)</f>
        <v>#REF!</v>
      </c>
      <c r="C759">
        <v>1</v>
      </c>
      <c r="D759">
        <v>1603.01</v>
      </c>
      <c r="E759" t="e">
        <f>_xludf.XLOOKUP(#REF!,#REF!,#REF!,0)</f>
        <v>#NAME?</v>
      </c>
      <c r="F759" t="e">
        <f>_xludf.XLOOKUP(#REF!,#REF!,#REF!,0)</f>
        <v>#NAME?</v>
      </c>
      <c r="G759" t="e">
        <f>SUM(#REF!,#REF!)</f>
        <v>#REF!</v>
      </c>
      <c r="I759" t="str">
        <v>ANAIS LUA MORENO</v>
      </c>
      <c r="J759" t="e">
        <f>#REF!/2</f>
        <v>#REF!</v>
      </c>
      <c r="K759">
        <v>0</v>
      </c>
      <c r="L759">
        <v>0</v>
      </c>
      <c r="N759" t="str">
        <v>NOVATO POLIZAS GMM</v>
      </c>
    </row>
    <row r="760">
      <c r="A760" t="str">
        <v>MONSERRAT VELASCO SANTOS</v>
      </c>
      <c r="B760" t="e">
        <f>SUM(#REF!,#REF!)</f>
        <v>#REF!</v>
      </c>
      <c r="C760">
        <v>1</v>
      </c>
      <c r="D760">
        <v>1645.53</v>
      </c>
      <c r="E760" t="e">
        <f>_xludf.XLOOKUP(#REF!,#REF!,#REF!,0)</f>
        <v>#NAME?</v>
      </c>
      <c r="F760" t="e">
        <f>_xludf.XLOOKUP(#REF!,#REF!,#REF!,0)</f>
        <v>#NAME?</v>
      </c>
      <c r="G760" t="e">
        <f>SUM(#REF!,#REF!)</f>
        <v>#REF!</v>
      </c>
      <c r="I760" t="str">
        <v>JOCELYN URIBE VARGAS</v>
      </c>
      <c r="J760" t="e">
        <f>#REF!/2</f>
        <v>#REF!</v>
      </c>
      <c r="K760">
        <v>1</v>
      </c>
      <c r="L760">
        <v>6304.46</v>
      </c>
      <c r="N760" t="str">
        <v>PRO POLIZAS GMM</v>
      </c>
    </row>
    <row r="761">
      <c r="A761" t="str">
        <v>MARIO IVAN ROMERO GONZALEZ</v>
      </c>
      <c r="B761" t="e">
        <f>SUM(#REF!,#REF!)</f>
        <v>#REF!</v>
      </c>
      <c r="C761">
        <v>3</v>
      </c>
      <c r="D761">
        <v>4872.94</v>
      </c>
      <c r="E761" t="e">
        <f>_xludf.XLOOKUP(#REF!,#REF!,#REF!,0)</f>
        <v>#NAME?</v>
      </c>
      <c r="F761" t="e">
        <f>_xludf.XLOOKUP(#REF!,#REF!,#REF!,0)</f>
        <v>#NAME?</v>
      </c>
      <c r="G761" t="e">
        <f>SUM(#REF!,#REF!)</f>
        <v>#REF!</v>
      </c>
      <c r="I761" t="str">
        <v>JULIANA RIASCOS VALENCIA</v>
      </c>
      <c r="J761" t="e">
        <f>#REF!/2</f>
        <v>#REF!</v>
      </c>
      <c r="K761">
        <v>0</v>
      </c>
      <c r="L761">
        <v>0</v>
      </c>
      <c r="N761" t="str">
        <v>NOVATO PRIMA GMM</v>
      </c>
    </row>
    <row r="762">
      <c r="A762" t="str">
        <v>GABRIELA CASTAÐEDA SALAZAR</v>
      </c>
      <c r="B762" t="e">
        <f>SUM(#REF!,#REF!)</f>
        <v>#REF!</v>
      </c>
      <c r="C762">
        <v>2</v>
      </c>
      <c r="D762">
        <v>36647.08</v>
      </c>
      <c r="E762" t="e">
        <f>_xludf.XLOOKUP(#REF!,#REF!,#REF!,0)</f>
        <v>#NAME?</v>
      </c>
      <c r="F762" t="e">
        <f>_xludf.XLOOKUP(#REF!,#REF!,#REF!,0)</f>
        <v>#NAME?</v>
      </c>
      <c r="G762" t="e">
        <f>SUM(#REF!,#REF!)</f>
        <v>#REF!</v>
      </c>
      <c r="I762" t="str">
        <v>MONICA ANDREA AMBRIZ GOMEZ</v>
      </c>
      <c r="J762" t="e">
        <f>#REF!/2</f>
        <v>#REF!</v>
      </c>
      <c r="K762">
        <v>0</v>
      </c>
      <c r="L762">
        <v>0</v>
      </c>
      <c r="N762" t="str">
        <v>PRO PRIMAS GMM</v>
      </c>
    </row>
    <row r="763">
      <c r="A763" t="str">
        <v>VELIA PATRICIA BERNAL RAMOS</v>
      </c>
      <c r="B763" t="e">
        <f>SUM(#REF!,#REF!)</f>
        <v>#REF!</v>
      </c>
      <c r="C763">
        <v>1</v>
      </c>
      <c r="D763">
        <v>30547.31</v>
      </c>
      <c r="E763" t="e">
        <f>_xludf.XLOOKUP(#REF!,#REF!,#REF!,0)</f>
        <v>#NAME?</v>
      </c>
      <c r="F763" t="e">
        <f>_xludf.XLOOKUP(#REF!,#REF!,#REF!,0)</f>
        <v>#NAME?</v>
      </c>
      <c r="G763" t="e">
        <f>SUM(#REF!,#REF!)</f>
        <v>#REF!</v>
      </c>
      <c r="I763" t="str">
        <v>MARIA FERNANDA CARLOS VAZQUEZ</v>
      </c>
      <c r="J763" t="e">
        <f>#REF!/2</f>
        <v>#REF!</v>
      </c>
      <c r="K763">
        <v>0</v>
      </c>
      <c r="L763">
        <v>0</v>
      </c>
    </row>
    <row r="764">
      <c r="A764" t="str">
        <v>MARIA FERNANDA RIOS BERNAL</v>
      </c>
      <c r="B764" t="e">
        <f>SUM(#REF!,#REF!)</f>
        <v>#REF!</v>
      </c>
      <c r="C764">
        <v>3</v>
      </c>
      <c r="D764">
        <v>7065.59</v>
      </c>
      <c r="E764" t="e">
        <f>_xludf.XLOOKUP(#REF!,#REF!,#REF!,0)</f>
        <v>#NAME?</v>
      </c>
      <c r="F764" t="e">
        <f>_xludf.XLOOKUP(#REF!,#REF!,#REF!,0)</f>
        <v>#NAME?</v>
      </c>
      <c r="G764" t="e">
        <f>SUM(#REF!,#REF!)</f>
        <v>#REF!</v>
      </c>
      <c r="I764" t="str">
        <v>JORGE ANTONIO LUNA LARA</v>
      </c>
      <c r="J764" t="e">
        <f>#REF!/2</f>
        <v>#REF!</v>
      </c>
      <c r="K764">
        <v>0</v>
      </c>
      <c r="L764">
        <v>0</v>
      </c>
    </row>
    <row r="765">
      <c r="A765" t="str">
        <v>ROGELIO TORRES ORTIZ</v>
      </c>
      <c r="B765" t="e">
        <f>SUM(#REF!,#REF!)</f>
        <v>#REF!</v>
      </c>
      <c r="C765">
        <v>1</v>
      </c>
      <c r="D765">
        <v>1633.77</v>
      </c>
      <c r="E765" t="e">
        <f>_xludf.XLOOKUP(#REF!,#REF!,#REF!,0)</f>
        <v>#NAME?</v>
      </c>
      <c r="F765" t="e">
        <f>_xludf.XLOOKUP(#REF!,#REF!,#REF!,0)</f>
        <v>#NAME?</v>
      </c>
      <c r="G765" t="e">
        <f>SUM(#REF!,#REF!)</f>
        <v>#REF!</v>
      </c>
      <c r="I765" t="str">
        <v>ANA VERONICA GONZALEZ GAYTAN</v>
      </c>
      <c r="J765" t="e">
        <f>#REF!/2</f>
        <v>#REF!</v>
      </c>
      <c r="K765">
        <v>0</v>
      </c>
      <c r="L765">
        <v>0</v>
      </c>
    </row>
    <row r="766">
      <c r="A766" t="str">
        <v>SOFIA CAMPILLO VASCONCELOS</v>
      </c>
      <c r="B766" t="e">
        <f>SUM(#REF!,#REF!)</f>
        <v>#REF!</v>
      </c>
      <c r="C766">
        <v>2</v>
      </c>
      <c r="D766">
        <v>29345.32</v>
      </c>
      <c r="E766" t="e">
        <f>_xludf.XLOOKUP(#REF!,#REF!,#REF!,0)</f>
        <v>#NAME?</v>
      </c>
      <c r="F766" t="e">
        <f>_xludf.XLOOKUP(#REF!,#REF!,#REF!,0)</f>
        <v>#NAME?</v>
      </c>
      <c r="G766" t="e">
        <f>SUM(#REF!,#REF!)</f>
        <v>#REF!</v>
      </c>
      <c r="I766" t="str">
        <v>VELIA PATRICIA BERNAL RAMOS</v>
      </c>
      <c r="J766" t="e">
        <f>#REF!/2</f>
        <v>#REF!</v>
      </c>
      <c r="K766">
        <v>0</v>
      </c>
      <c r="L766">
        <v>0</v>
      </c>
    </row>
    <row r="767">
      <c r="A767" t="str">
        <v>JULIANA RIASCOS VALENCIA</v>
      </c>
      <c r="B767" t="e">
        <f>SUM(#REF!,#REF!)</f>
        <v>#REF!</v>
      </c>
      <c r="C767">
        <v>1</v>
      </c>
      <c r="D767">
        <v>-9562.12</v>
      </c>
      <c r="E767" t="e">
        <f>_xludf.XLOOKUP(#REF!,#REF!,#REF!,0)</f>
        <v>#NAME?</v>
      </c>
      <c r="F767" t="e">
        <f>_xludf.XLOOKUP(#REF!,#REF!,#REF!,0)</f>
        <v>#NAME?</v>
      </c>
      <c r="G767" t="e">
        <f>SUM(#REF!,#REF!)</f>
        <v>#REF!</v>
      </c>
      <c r="I767" t="str">
        <v>JOSE EDUARDO EZQUERRO BARQUERA</v>
      </c>
      <c r="J767" t="e">
        <f>#REF!/2</f>
        <v>#REF!</v>
      </c>
      <c r="K767">
        <v>0</v>
      </c>
      <c r="L767">
        <v>0</v>
      </c>
    </row>
    <row r="768">
      <c r="A768" t="str">
        <v>MARICELA ARREOLA LOPEZ</v>
      </c>
      <c r="B768" t="e">
        <f>SUM(#REF!,#REF!)</f>
        <v>#REF!</v>
      </c>
      <c r="C768">
        <v>1</v>
      </c>
      <c r="D768">
        <v>22710.08</v>
      </c>
      <c r="E768" t="e">
        <f>_xludf.XLOOKUP(#REF!,#REF!,#REF!,0)</f>
        <v>#NAME?</v>
      </c>
      <c r="F768" t="e">
        <f>_xludf.XLOOKUP(#REF!,#REF!,#REF!,0)</f>
        <v>#NAME?</v>
      </c>
      <c r="G768" t="e">
        <f>SUM(#REF!,#REF!)</f>
        <v>#REF!</v>
      </c>
      <c r="I768" t="str">
        <v>ANA LAURA CONTRERAS IÐIGUEZ</v>
      </c>
      <c r="J768" t="e">
        <f>#REF!/2</f>
        <v>#REF!</v>
      </c>
      <c r="K768">
        <v>1</v>
      </c>
      <c r="L768">
        <v>2724.89</v>
      </c>
    </row>
    <row r="769">
      <c r="A769" t="str">
        <v>ADRIANA ALEJANDRA JOYA MARTINEZ</v>
      </c>
      <c r="B769" t="e">
        <f>SUM(#REF!,#REF!)</f>
        <v>#REF!</v>
      </c>
      <c r="C769">
        <v>1</v>
      </c>
      <c r="D769">
        <v>2456.67</v>
      </c>
      <c r="E769" t="e">
        <f>_xludf.XLOOKUP(#REF!,#REF!,#REF!,0)</f>
        <v>#NAME?</v>
      </c>
      <c r="F769" t="e">
        <f>_xludf.XLOOKUP(#REF!,#REF!,#REF!,0)</f>
        <v>#NAME?</v>
      </c>
      <c r="G769" t="e">
        <f>SUM(#REF!,#REF!)</f>
        <v>#REF!</v>
      </c>
      <c r="I769" t="str">
        <v>DARINKA UREÐA CASILLAS</v>
      </c>
      <c r="J769" t="e">
        <f>#REF!/2</f>
        <v>#REF!</v>
      </c>
      <c r="K769">
        <v>1</v>
      </c>
      <c r="L769">
        <v>2339.79</v>
      </c>
    </row>
    <row r="770">
      <c r="A770" t="str">
        <v>JOSE EDUARDO EZQUERRO BARQUERA</v>
      </c>
      <c r="B770" t="e">
        <f>SUM(#REF!,#REF!)</f>
        <v>#REF!</v>
      </c>
      <c r="C770">
        <v>2</v>
      </c>
      <c r="D770">
        <v>2990.53</v>
      </c>
      <c r="E770" t="e">
        <f>_xludf.XLOOKUP(#REF!,#REF!,#REF!,0)</f>
        <v>#NAME?</v>
      </c>
      <c r="F770" t="e">
        <f>_xludf.XLOOKUP(#REF!,#REF!,#REF!,0)</f>
        <v>#NAME?</v>
      </c>
      <c r="G770" t="e">
        <f>SUM(#REF!,#REF!)</f>
        <v>#REF!</v>
      </c>
      <c r="I770" t="str">
        <v>JORGE ALBERTO PRECIADO GONZALEZ</v>
      </c>
      <c r="J770" t="e">
        <f>#REF!/2</f>
        <v>#REF!</v>
      </c>
      <c r="K770">
        <v>0</v>
      </c>
      <c r="L770">
        <v>0</v>
      </c>
    </row>
    <row r="771">
      <c r="A771" t="str">
        <v>PAULINA LIZBETH SOTO MUÐIZ</v>
      </c>
      <c r="B771" t="e">
        <f>SUM(#REF!,#REF!)</f>
        <v>#REF!</v>
      </c>
      <c r="C771">
        <v>1</v>
      </c>
      <c r="D771">
        <v>1562.88</v>
      </c>
      <c r="E771" t="e">
        <f>_xludf.XLOOKUP(#REF!,#REF!,#REF!,0)</f>
        <v>#NAME?</v>
      </c>
      <c r="F771" t="e">
        <f>_xludf.XLOOKUP(#REF!,#REF!,#REF!,0)</f>
        <v>#NAME?</v>
      </c>
      <c r="G771" t="e">
        <f>SUM(#REF!,#REF!)</f>
        <v>#REF!</v>
      </c>
      <c r="I771" t="str">
        <v>ORLANDA JIMENA CERVANTES NUÐEZ</v>
      </c>
      <c r="J771" t="e">
        <f>#REF!/2</f>
        <v>#REF!</v>
      </c>
      <c r="K771">
        <v>0</v>
      </c>
      <c r="L771">
        <v>0</v>
      </c>
    </row>
    <row r="772">
      <c r="A772" t="str">
        <v>PAULA ANGELICA LOMELI CAZARES</v>
      </c>
      <c r="B772" t="e">
        <f>SUM(#REF!,#REF!)</f>
        <v>#REF!</v>
      </c>
      <c r="C772">
        <v>2</v>
      </c>
      <c r="D772">
        <v>20920.49</v>
      </c>
      <c r="E772" t="e">
        <f>_xludf.XLOOKUP(#REF!,#REF!,#REF!,0)</f>
        <v>#NAME?</v>
      </c>
      <c r="F772" t="e">
        <f>_xludf.XLOOKUP(#REF!,#REF!,#REF!,0)</f>
        <v>#NAME?</v>
      </c>
      <c r="G772" t="e">
        <f>SUM(#REF!,#REF!)</f>
        <v>#REF!</v>
      </c>
      <c r="I772" t="str">
        <v>MARIA TERESA ASENCIO LOZANO</v>
      </c>
      <c r="J772" t="e">
        <f>#REF!/2</f>
        <v>#REF!</v>
      </c>
      <c r="K772">
        <v>0</v>
      </c>
      <c r="L772">
        <v>0</v>
      </c>
    </row>
    <row r="773">
      <c r="A773" t="str">
        <v>ORLANDA JIMENA CERVANTES NUÐEZ</v>
      </c>
      <c r="B773" t="e">
        <f>SUM(#REF!,#REF!)</f>
        <v>#REF!</v>
      </c>
      <c r="C773">
        <v>0</v>
      </c>
      <c r="D773">
        <v>0</v>
      </c>
      <c r="E773" t="e">
        <f>_xludf.XLOOKUP(#REF!,#REF!,#REF!,0)</f>
        <v>#NAME?</v>
      </c>
      <c r="F773" t="e">
        <f>_xludf.XLOOKUP(#REF!,#REF!,#REF!,0)</f>
        <v>#NAME?</v>
      </c>
      <c r="G773" t="e">
        <f>SUM(#REF!,#REF!)</f>
        <v>#REF!</v>
      </c>
      <c r="I773" t="str">
        <v>ENRIQUE ADRIAN GUTIERREZ JIMENEZ</v>
      </c>
      <c r="J773" t="e">
        <f>#REF!/2</f>
        <v>#REF!</v>
      </c>
      <c r="K773">
        <v>0</v>
      </c>
      <c r="L773">
        <v>0</v>
      </c>
    </row>
    <row r="774">
      <c r="A774" t="str">
        <v>JOSE ANTEMIO OLIVA SANTOS</v>
      </c>
      <c r="B774" t="e">
        <f>SUM(#REF!,#REF!)</f>
        <v>#REF!</v>
      </c>
      <c r="C774">
        <v>1</v>
      </c>
      <c r="D774">
        <v>19025.79</v>
      </c>
      <c r="E774" t="e">
        <f>_xludf.XLOOKUP(#REF!,#REF!,#REF!,0)</f>
        <v>#NAME?</v>
      </c>
      <c r="F774" t="e">
        <f>_xludf.XLOOKUP(#REF!,#REF!,#REF!,0)</f>
        <v>#NAME?</v>
      </c>
      <c r="G774" t="e">
        <f>SUM(#REF!,#REF!)</f>
        <v>#REF!</v>
      </c>
      <c r="I774" t="str">
        <v>ISAI ANTONIO ROJAS MARTINEZ</v>
      </c>
      <c r="J774" t="e">
        <f>#REF!/2</f>
        <v>#REF!</v>
      </c>
      <c r="K774">
        <v>0</v>
      </c>
      <c r="L774">
        <v>0</v>
      </c>
    </row>
    <row r="775">
      <c r="A775" t="str">
        <v>ALEJANDRA IVETTE PEDROZA MACIAS</v>
      </c>
      <c r="B775" t="e">
        <f>SUM(#REF!,#REF!)</f>
        <v>#REF!</v>
      </c>
      <c r="C775">
        <v>0</v>
      </c>
      <c r="D775">
        <v>0</v>
      </c>
      <c r="E775" t="e">
        <f>_xludf.XLOOKUP(#REF!,#REF!,#REF!,0)</f>
        <v>#NAME?</v>
      </c>
      <c r="F775" t="e">
        <f>_xludf.XLOOKUP(#REF!,#REF!,#REF!,0)</f>
        <v>#NAME?</v>
      </c>
      <c r="G775" t="e">
        <f>SUM(#REF!,#REF!)</f>
        <v>#REF!</v>
      </c>
      <c r="I775" t="str">
        <v>GABRIELA CASTAÐEDA SALAZAR</v>
      </c>
      <c r="J775" t="e">
        <f>#REF!/2</f>
        <v>#REF!</v>
      </c>
      <c r="K775">
        <v>0</v>
      </c>
      <c r="L775">
        <v>0</v>
      </c>
    </row>
    <row r="776">
      <c r="A776" t="str">
        <v>JORGE ALBERTO PRECIADO GONZALEZ</v>
      </c>
      <c r="B776" t="e">
        <f>SUM(#REF!,#REF!)</f>
        <v>#REF!</v>
      </c>
      <c r="C776">
        <v>0</v>
      </c>
      <c r="D776">
        <v>0</v>
      </c>
      <c r="E776" t="e">
        <f>_xludf.XLOOKUP(#REF!,#REF!,#REF!,0)</f>
        <v>#NAME?</v>
      </c>
      <c r="F776" t="e">
        <f>_xludf.XLOOKUP(#REF!,#REF!,#REF!,0)</f>
        <v>#NAME?</v>
      </c>
      <c r="G776" t="e">
        <f>SUM(#REF!,#REF!)</f>
        <v>#REF!</v>
      </c>
      <c r="I776" t="str">
        <v>SAMUEL NUÐO RIVERA</v>
      </c>
      <c r="J776" t="e">
        <f>#REF!/2</f>
        <v>#REF!</v>
      </c>
      <c r="K776">
        <v>0</v>
      </c>
      <c r="L776">
        <v>0</v>
      </c>
    </row>
    <row r="777">
      <c r="A777" t="str">
        <v>MIREYA LIZETTE TORRES GARCIA</v>
      </c>
      <c r="B777" t="e">
        <f>SUM(#REF!,#REF!)</f>
        <v>#REF!</v>
      </c>
      <c r="C777">
        <v>0</v>
      </c>
      <c r="D777">
        <v>0</v>
      </c>
      <c r="E777" t="e">
        <f>_xludf.XLOOKUP(#REF!,#REF!,#REF!,0)</f>
        <v>#NAME?</v>
      </c>
      <c r="F777" t="e">
        <f>_xludf.XLOOKUP(#REF!,#REF!,#REF!,0)</f>
        <v>#NAME?</v>
      </c>
      <c r="G777" t="e">
        <f>SUM(#REF!,#REF!)</f>
        <v>#REF!</v>
      </c>
      <c r="I777" t="str">
        <v>ROGELIO TORRES ORTIZ</v>
      </c>
      <c r="J777" t="e">
        <f>#REF!/2</f>
        <v>#REF!</v>
      </c>
      <c r="K777">
        <v>0</v>
      </c>
      <c r="L777">
        <v>0</v>
      </c>
    </row>
    <row r="778">
      <c r="A778" t="str">
        <v>SAMUEL NUÐO RIVERA</v>
      </c>
      <c r="B778" t="e">
        <f>SUM(#REF!,#REF!)</f>
        <v>#REF!</v>
      </c>
      <c r="C778">
        <v>0</v>
      </c>
      <c r="D778">
        <v>0</v>
      </c>
      <c r="E778" t="e">
        <f>_xludf.XLOOKUP(#REF!,#REF!,#REF!,0)</f>
        <v>#NAME?</v>
      </c>
      <c r="F778" t="e">
        <f>_xludf.XLOOKUP(#REF!,#REF!,#REF!,0)</f>
        <v>#NAME?</v>
      </c>
      <c r="G778" t="e">
        <f>SUM(#REF!,#REF!)</f>
        <v>#REF!</v>
      </c>
      <c r="J778" t="e">
        <f>#REF!/2</f>
        <v>#REF!</v>
      </c>
    </row>
    <row r="779">
      <c r="A779" t="str">
        <v>LUVIA PATRICIA FIGUEROA CASTRO</v>
      </c>
      <c r="B779" t="e">
        <f>SUM(#REF!,#REF!)</f>
        <v>#REF!</v>
      </c>
      <c r="C779">
        <v>0</v>
      </c>
      <c r="D779">
        <v>0</v>
      </c>
      <c r="E779" t="e">
        <f>_xludf.XLOOKUP(#REF!,#REF!,#REF!,0)</f>
        <v>#NAME?</v>
      </c>
      <c r="F779" t="e">
        <f>_xludf.XLOOKUP(#REF!,#REF!,#REF!,0)</f>
        <v>#NAME?</v>
      </c>
      <c r="G779" t="e">
        <f>SUM(#REF!,#REF!)</f>
        <v>#REF!</v>
      </c>
      <c r="J779" t="e">
        <f>#REF!/2</f>
        <v>#REF!</v>
      </c>
    </row>
    <row r="780">
      <c r="A780" t="str">
        <v>HANA SOFIA LOPEZ QUIÐONEZ</v>
      </c>
      <c r="B780" t="e">
        <f>SUM(#REF!,#REF!)</f>
        <v>#REF!</v>
      </c>
      <c r="C780">
        <v>0</v>
      </c>
      <c r="D780">
        <v>0</v>
      </c>
      <c r="E780" t="e">
        <f>_xludf.XLOOKUP(#REF!,#REF!,#REF!,0)</f>
        <v>#NAME?</v>
      </c>
      <c r="F780" t="e">
        <f>_xludf.XLOOKUP(#REF!,#REF!,#REF!,0)</f>
        <v>#NAME?</v>
      </c>
      <c r="G780" t="e">
        <f>SUM(#REF!,#REF!)</f>
        <v>#REF!</v>
      </c>
    </row>
    <row r="781">
      <c r="A781" t="str">
        <v>ANDREA CELESTE IBAÐEZ RINCON</v>
      </c>
      <c r="B781" t="e">
        <f>SUM(#REF!,#REF!)</f>
        <v>#REF!</v>
      </c>
      <c r="C781">
        <v>0</v>
      </c>
      <c r="D781">
        <v>0</v>
      </c>
      <c r="E781" t="e">
        <f>_xludf.XLOOKUP(#REF!,#REF!,#REF!,0)</f>
        <v>#NAME?</v>
      </c>
      <c r="F781" t="e">
        <f>_xludf.XLOOKUP(#REF!,#REF!,#REF!,0)</f>
        <v>#NAME?</v>
      </c>
      <c r="G781" t="e">
        <f>SUM(#REF!,#REF!)</f>
        <v>#REF!</v>
      </c>
      <c r="M781" t="str">
        <v>=SUMAR.SI.CONJUNTO(Tabla2652[MONTO REAL],Tabla2652[ASESOR],[@Asesor],Tabla2652[RAMO],"VIDA")</v>
      </c>
    </row>
    <row r="782">
      <c r="A782" t="str">
        <v>ROCIO YANETH OCHOA IBARRA</v>
      </c>
      <c r="B782" t="e">
        <f>SUM(#REF!,#REF!)</f>
        <v>#REF!</v>
      </c>
      <c r="C782">
        <v>0</v>
      </c>
      <c r="D782">
        <v>0</v>
      </c>
      <c r="E782" t="e">
        <f>_xludf.XLOOKUP(#REF!,#REF!,#REF!,0)</f>
        <v>#NAME?</v>
      </c>
      <c r="F782" t="e">
        <f>_xludf.XLOOKUP(#REF!,#REF!,#REF!,0)</f>
        <v>#NAME?</v>
      </c>
      <c r="G782" t="e">
        <f>SUM(#REF!,#REF!)</f>
        <v>#REF!</v>
      </c>
    </row>
    <row r="783">
      <c r="A783" t="str">
        <v>ISAI ANTONIO ROJAS MARTINEZ</v>
      </c>
      <c r="B783" t="e">
        <f>SUM(#REF!,#REF!)</f>
        <v>#REF!</v>
      </c>
      <c r="C783">
        <v>0</v>
      </c>
      <c r="D783">
        <v>0</v>
      </c>
      <c r="E783" t="e">
        <f>_xludf.XLOOKUP(#REF!,#REF!,#REF!,0)</f>
        <v>#NAME?</v>
      </c>
      <c r="F783" t="e">
        <f>_xludf.XLOOKUP(#REF!,#REF!,#REF!,0)</f>
        <v>#NAME?</v>
      </c>
      <c r="G783" t="e">
        <f>SUM(#REF!,#REF!)</f>
        <v>#REF!</v>
      </c>
    </row>
    <row r="784">
      <c r="A784" t="str">
        <v>LILIANA IVETTE CASTILLO SANCHEZ</v>
      </c>
      <c r="B784" t="e">
        <f>SUM(#REF!,#REF!)</f>
        <v>#REF!</v>
      </c>
      <c r="C784">
        <v>0</v>
      </c>
      <c r="D784">
        <v>0</v>
      </c>
      <c r="E784" t="e">
        <f>_xludf.XLOOKUP(#REF!,#REF!,#REF!,0)</f>
        <v>#NAME?</v>
      </c>
      <c r="F784" t="e">
        <f>_xludf.XLOOKUP(#REF!,#REF!,#REF!,0)</f>
        <v>#NAME?</v>
      </c>
      <c r="G784" t="e">
        <f>SUM(#REF!,#REF!)</f>
        <v>#REF!</v>
      </c>
    </row>
    <row r="785">
      <c r="A785" t="str">
        <v>MARIA ELIZABETH LLAMAS LOPEZ</v>
      </c>
      <c r="B785" t="e">
        <f>SUM(#REF!,#REF!)</f>
        <v>#REF!</v>
      </c>
      <c r="C785">
        <v>0</v>
      </c>
      <c r="D785">
        <v>0</v>
      </c>
      <c r="E785" t="e">
        <f>_xludf.XLOOKUP(#REF!,#REF!,#REF!,0)</f>
        <v>#NAME?</v>
      </c>
      <c r="F785" t="e">
        <f>_xludf.XLOOKUP(#REF!,#REF!,#REF!,0)</f>
        <v>#NAME?</v>
      </c>
      <c r="G785" t="e">
        <f>SUM(#REF!,#REF!)</f>
        <v>#REF!</v>
      </c>
    </row>
    <row r="786">
      <c r="A786" t="str">
        <v>BRUNO BRAULIO MACIAS ALVAREZ</v>
      </c>
      <c r="B786" t="e">
        <f>SUM(#REF!,#REF!)</f>
        <v>#REF!</v>
      </c>
      <c r="C786">
        <v>0</v>
      </c>
      <c r="D786">
        <v>0</v>
      </c>
      <c r="E786" t="e">
        <f>_xludf.XLOOKUP(#REF!,#REF!,#REF!,0)</f>
        <v>#NAME?</v>
      </c>
      <c r="F786" t="e">
        <f>_xludf.XLOOKUP(#REF!,#REF!,#REF!,0)</f>
        <v>#NAME?</v>
      </c>
      <c r="G786" t="e">
        <f>SUM(#REF!,#REF!)</f>
        <v>#REF!</v>
      </c>
    </row>
    <row r="787">
      <c r="A787" t="str">
        <v>ENRIQUE ADRIAN GUTIERREZ JIMENEZ</v>
      </c>
      <c r="B787" t="e">
        <f>SUM(#REF!,#REF!)</f>
        <v>#REF!</v>
      </c>
      <c r="C787">
        <v>0</v>
      </c>
      <c r="D787">
        <v>0</v>
      </c>
      <c r="E787" t="e">
        <f>_xludf.XLOOKUP(#REF!,#REF!,#REF!,0)</f>
        <v>#NAME?</v>
      </c>
      <c r="F787" t="e">
        <f>_xludf.XLOOKUP(#REF!,#REF!,#REF!,0)</f>
        <v>#NAME?</v>
      </c>
      <c r="G787" t="e">
        <f>SUM(#REF!,#REF!)</f>
        <v>#REF!</v>
      </c>
    </row>
    <row r="788">
      <c r="A788" t="str">
        <v>MARIA FERNANDA CARLOS VAZQUEZ</v>
      </c>
      <c r="B788" t="e">
        <f>SUM(#REF!,#REF!)</f>
        <v>#REF!</v>
      </c>
      <c r="C788">
        <v>0</v>
      </c>
      <c r="D788">
        <v>0</v>
      </c>
      <c r="E788" t="e">
        <f>_xludf.XLOOKUP(#REF!,#REF!,#REF!,0)</f>
        <v>#NAME?</v>
      </c>
      <c r="F788" t="e">
        <f>_xludf.XLOOKUP(#REF!,#REF!,#REF!,0)</f>
        <v>#NAME?</v>
      </c>
      <c r="G788" t="e">
        <f>SUM(#REF!,#REF!)</f>
        <v>#REF!</v>
      </c>
    </row>
    <row r="789">
      <c r="A789" t="str">
        <v>MARIA JOSE GUZMAN ZAMORA</v>
      </c>
      <c r="B789" t="e">
        <f>SUM(#REF!,#REF!)</f>
        <v>#REF!</v>
      </c>
      <c r="C789">
        <v>0</v>
      </c>
      <c r="D789">
        <v>0</v>
      </c>
      <c r="E789" t="e">
        <f>_xludf.XLOOKUP(#REF!,#REF!,#REF!,0)</f>
        <v>#NAME?</v>
      </c>
      <c r="F789" t="e">
        <f>_xludf.XLOOKUP(#REF!,#REF!,#REF!,0)</f>
        <v>#NAME?</v>
      </c>
      <c r="G789" t="e">
        <f>SUM(#REF!,#REF!)</f>
        <v>#REF!</v>
      </c>
    </row>
    <row r="790">
      <c r="A790" t="str">
        <v>EVELYN CAROLINA VENEGAS IÐIGUEZ</v>
      </c>
      <c r="B790" t="e">
        <f>SUM(#REF!,#REF!)</f>
        <v>#REF!</v>
      </c>
      <c r="C790">
        <v>0</v>
      </c>
      <c r="D790">
        <v>0</v>
      </c>
      <c r="E790" t="e">
        <f>_xludf.XLOOKUP(#REF!,#REF!,#REF!,0)</f>
        <v>#NAME?</v>
      </c>
      <c r="F790" t="e">
        <f>_xludf.XLOOKUP(#REF!,#REF!,#REF!,0)</f>
        <v>#NAME?</v>
      </c>
      <c r="G790" t="e">
        <f>SUM(#REF!,#REF!)</f>
        <v>#REF!</v>
      </c>
    </row>
    <row r="791">
      <c r="A791" t="str">
        <v>PAULINA RODRIGUEZ DE LA MORA</v>
      </c>
      <c r="B791" t="e">
        <f>SUM(#REF!,#REF!)</f>
        <v>#REF!</v>
      </c>
      <c r="C791">
        <v>0</v>
      </c>
      <c r="D791">
        <v>0</v>
      </c>
      <c r="E791" t="e">
        <f>_xludf.XLOOKUP(#REF!,#REF!,#REF!,0)</f>
        <v>#NAME?</v>
      </c>
      <c r="F791" t="e">
        <f>_xludf.XLOOKUP(#REF!,#REF!,#REF!,0)</f>
        <v>#NAME?</v>
      </c>
      <c r="G791" t="e">
        <f>SUM(#REF!,#REF!)</f>
        <v>#REF!</v>
      </c>
    </row>
    <row r="792">
      <c r="A792" t="str">
        <v>ANA VERONICA GONZALEZ GAYTAN</v>
      </c>
      <c r="B792" t="e">
        <f>SUM(#REF!,#REF!)</f>
        <v>#REF!</v>
      </c>
      <c r="C792">
        <v>0</v>
      </c>
      <c r="D792">
        <v>0</v>
      </c>
      <c r="E792" t="e">
        <f>_xludf.XLOOKUP(#REF!,#REF!,#REF!,0)</f>
        <v>#NAME?</v>
      </c>
      <c r="F792" t="e">
        <f>_xludf.XLOOKUP(#REF!,#REF!,#REF!,0)</f>
        <v>#NAME?</v>
      </c>
      <c r="G792" t="e">
        <f>SUM(#REF!,#REF!)</f>
        <v>#REF!</v>
      </c>
    </row>
    <row r="793">
      <c r="A793" t="str">
        <v>MARIA TERESA ASENCIO LOZANO</v>
      </c>
      <c r="B793" t="e">
        <f>SUM(#REF!,#REF!)</f>
        <v>#REF!</v>
      </c>
      <c r="C793">
        <v>0</v>
      </c>
      <c r="D793">
        <v>0</v>
      </c>
      <c r="E793" t="e">
        <f>_xludf.XLOOKUP(#REF!,#REF!,#REF!,0)</f>
        <v>#NAME?</v>
      </c>
      <c r="F793" t="e">
        <f>_xludf.XLOOKUP(#REF!,#REF!,#REF!,0)</f>
        <v>#NAME?</v>
      </c>
      <c r="G793" t="e">
        <f>SUM(#REF!,#REF!)</f>
        <v>#REF!</v>
      </c>
    </row>
    <row r="794">
      <c r="A794" t="str">
        <v>LUIS GUILLERMO OLGUIN FERNANDEZ</v>
      </c>
      <c r="B794" t="e">
        <f>SUM(#REF!,#REF!)</f>
        <v>#REF!</v>
      </c>
      <c r="C794">
        <v>0</v>
      </c>
      <c r="D794">
        <v>0</v>
      </c>
      <c r="E794" t="e">
        <f>_xludf.XLOOKUP(#REF!,#REF!,#REF!,0)</f>
        <v>#NAME?</v>
      </c>
      <c r="F794" t="e">
        <f>_xludf.XLOOKUP(#REF!,#REF!,#REF!,0)</f>
        <v>#NAME?</v>
      </c>
      <c r="G794" t="e">
        <f>SUM(#REF!,#REF!)</f>
        <v>#REF!</v>
      </c>
    </row>
    <row r="795">
      <c r="A795" t="str">
        <v>LAURA DOLORES MONTAÐO MONTAÐO</v>
      </c>
      <c r="B795" t="e">
        <f>SUM(#REF!,#REF!)</f>
        <v>#REF!</v>
      </c>
      <c r="C795">
        <v>0</v>
      </c>
      <c r="D795">
        <v>0</v>
      </c>
      <c r="E795" t="e">
        <f>_xludf.XLOOKUP(#REF!,#REF!,#REF!,0)</f>
        <v>#NAME?</v>
      </c>
      <c r="F795" t="e">
        <f>_xludf.XLOOKUP(#REF!,#REF!,#REF!,0)</f>
        <v>#NAME?</v>
      </c>
      <c r="G795" t="e">
        <f>SUM(#REF!,#REF!)</f>
        <v>#REF!</v>
      </c>
    </row>
    <row r="796">
      <c r="A796" t="str">
        <v>GERARDO DANIEL BARAJAS TORRES</v>
      </c>
      <c r="B796" t="e">
        <f>SUM(#REF!,#REF!)</f>
        <v>#REF!</v>
      </c>
      <c r="C796">
        <v>0</v>
      </c>
      <c r="D796">
        <v>0</v>
      </c>
      <c r="E796" t="e">
        <f>_xludf.XLOOKUP(#REF!,#REF!,#REF!,0)</f>
        <v>#NAME?</v>
      </c>
      <c r="F796" t="e">
        <f>_xludf.XLOOKUP(#REF!,#REF!,#REF!,0)</f>
        <v>#NAME?</v>
      </c>
      <c r="G796" t="e">
        <f>SUM(#REF!,#REF!)</f>
        <v>#REF!</v>
      </c>
    </row>
    <row r="797">
      <c r="A797" t="str">
        <v>JORGE ANTONIO LUNA LARA</v>
      </c>
      <c r="B797" t="e">
        <f>SUM(#REF!,#REF!)</f>
        <v>#REF!</v>
      </c>
      <c r="C797">
        <v>0</v>
      </c>
      <c r="D797">
        <v>0</v>
      </c>
      <c r="E797" t="e">
        <f>_xludf.XLOOKUP(#REF!,#REF!,#REF!,0)</f>
        <v>#NAME?</v>
      </c>
      <c r="F797" t="e">
        <f>_xludf.XLOOKUP(#REF!,#REF!,#REF!,0)</f>
        <v>#NAME?</v>
      </c>
      <c r="G797" t="e">
        <f>SUM(#REF!,#REF!)</f>
        <v>#REF!</v>
      </c>
    </row>
    <row r="798">
      <c r="A798" t="str">
        <v>JOSE RENE DE ALBA MORALES</v>
      </c>
      <c r="B798" t="e">
        <f>SUM(#REF!,#REF!)</f>
        <v>#REF!</v>
      </c>
      <c r="C798">
        <v>0</v>
      </c>
      <c r="D798">
        <v>0</v>
      </c>
      <c r="E798" t="e">
        <f>_xludf.XLOOKUP(#REF!,#REF!,#REF!,0)</f>
        <v>#NAME?</v>
      </c>
      <c r="F798" t="e">
        <f>_xludf.XLOOKUP(#REF!,#REF!,#REF!,0)</f>
        <v>#NAME?</v>
      </c>
      <c r="G798" t="e">
        <f>SUM(#REF!,#REF!)</f>
        <v>#REF!</v>
      </c>
    </row>
    <row r="799">
      <c r="A799" t="str">
        <v>JOCELYN URIBE VARGAS</v>
      </c>
      <c r="B799" t="e">
        <f>SUM(#REF!,#REF!)</f>
        <v>#REF!</v>
      </c>
      <c r="E799" t="e">
        <f>_xludf.XLOOKUP(#REF!,#REF!,#REF!,0)</f>
        <v>#NAME?</v>
      </c>
      <c r="F799" t="e">
        <f>_xludf.XLOOKUP(#REF!,#REF!,#REF!,0)</f>
        <v>#NAME?</v>
      </c>
      <c r="G799" t="e">
        <f>SUM(#REF!,#REF!)</f>
        <v>#REF!</v>
      </c>
    </row>
    <row r="800">
      <c r="A800" t="str">
        <v>Total</v>
      </c>
      <c r="B800" t="e">
        <f>SUM(#REF!)</f>
        <v>#REF!</v>
      </c>
      <c r="C800" t="e">
        <f>SUM(#REF!)</f>
        <v>#REF!</v>
      </c>
      <c r="D800" t="e">
        <f>SUM(#REF!)</f>
        <v>#REF!</v>
      </c>
      <c r="E800" t="e">
        <f>SUM(#REF!)</f>
        <v>#REF!</v>
      </c>
      <c r="F800" t="e">
        <f>SUM(#REF!)</f>
        <v>#REF!</v>
      </c>
      <c r="G800" t="e">
        <f>SUM(#REF!)</f>
        <v>#REF!</v>
      </c>
    </row>
    <row r="806">
      <c r="A806" t="str">
        <v>ASESOR</v>
      </c>
      <c r="B806" t="str">
        <v>FRECUENCIA</v>
      </c>
      <c r="C806" t="str">
        <v>RAMO</v>
      </c>
      <c r="D806" t="str">
        <v>MONTO ANUAL</v>
      </c>
      <c r="E806" t="str">
        <v>MONTO REAL</v>
      </c>
      <c r="G806" t="str">
        <v>ASESOR</v>
      </c>
      <c r="H806" t="str">
        <v>FRECUENCIA</v>
      </c>
      <c r="I806" t="str">
        <v>RAMO</v>
      </c>
      <c r="J806" t="str">
        <v>MONTO ANUAL</v>
      </c>
      <c r="K806" t="str">
        <v>MONTO REAL</v>
      </c>
    </row>
    <row r="807">
      <c r="A807" t="str">
        <v>ANA LAURA CONTRERAS IÑIGUEZ 113450</v>
      </c>
      <c r="B807" t="str">
        <v>TRIMESTRAL</v>
      </c>
      <c r="C807" t="str">
        <v>VIDA</v>
      </c>
      <c r="D807">
        <v>90665.65769852999</v>
      </c>
      <c r="E807" t="e" cm="1">
        <f t="array" ref="E807">D807/_xludf.IFS(B807="MENSUAL",12,B807="TRIMESTRAL",4,B807="SEMESTRAL",2,B807="ANUAL",1)</f>
        <v>#NAME?</v>
      </c>
      <c r="G807" t="str">
        <v>DARINKA UREÑA CASILLAS 90355</v>
      </c>
      <c r="H807" t="str">
        <v>ANUAL</v>
      </c>
      <c r="I807" t="str">
        <v>GMM</v>
      </c>
      <c r="J807">
        <v>31379.52454658</v>
      </c>
      <c r="K807">
        <v>31379.52454658</v>
      </c>
    </row>
    <row r="808">
      <c r="A808" t="str">
        <v>ANA LAURA CONTRERAS IÑIGUEZ 113450</v>
      </c>
      <c r="B808" t="str">
        <v>MENSUAL</v>
      </c>
      <c r="C808" t="str">
        <v>GMM</v>
      </c>
      <c r="D808">
        <v>32698.68</v>
      </c>
      <c r="E808" t="e" cm="1">
        <f t="array" ref="E808">D808/_xludf.IFS(B808="MENSUAL",12,B808="TRIMESTRAL",4,B808="SEMESTRAL",2,B808="ANUAL",1)</f>
        <v>#NAME?</v>
      </c>
      <c r="G808" t="str">
        <v>MARIA FERNANDA RIOS BERNAL 103982</v>
      </c>
      <c r="H808" t="str">
        <v>ANUAL</v>
      </c>
      <c r="I808" t="str">
        <v>GMM</v>
      </c>
      <c r="J808">
        <v>31691.71</v>
      </c>
      <c r="K808">
        <v>31691.71</v>
      </c>
    </row>
    <row r="809">
      <c r="A809" t="str">
        <v>DARINKA UREÑA CASILLAS 90355</v>
      </c>
      <c r="B809" t="str">
        <v>SEMESTRAL</v>
      </c>
      <c r="C809" t="str">
        <v>VIDA</v>
      </c>
      <c r="D809">
        <v>67289.54936454</v>
      </c>
      <c r="E809" t="e" cm="1">
        <f t="array" ref="E809">D809/_xludf.IFS(B809="MENSUAL",12,B809="TRIMESTRAL",4,B809="SEMESTRAL",2,B809="ANUAL",1)</f>
        <v>#NAME?</v>
      </c>
      <c r="G809" t="str">
        <v>MARICELA ARREOLA LOPEZ 80925</v>
      </c>
      <c r="H809" t="str">
        <v>ANUAL</v>
      </c>
      <c r="I809" t="str">
        <v>GMM</v>
      </c>
      <c r="J809">
        <v>22712.349998100002</v>
      </c>
      <c r="K809">
        <v>22712.349998100002</v>
      </c>
    </row>
    <row r="810">
      <c r="A810" t="str">
        <v>DARINKA UREÑA CASILLAS 90355</v>
      </c>
      <c r="B810" t="str">
        <v>ANUAL</v>
      </c>
      <c r="C810" t="str">
        <v>VIDA</v>
      </c>
      <c r="D810">
        <v>31379.52454658</v>
      </c>
      <c r="E810" t="e" cm="1">
        <f t="array" ref="E810">D810/_xludf.IFS(B810="MENSUAL",12,B810="TRIMESTRAL",4,B810="SEMESTRAL",2,B810="ANUAL",1)</f>
        <v>#NAME?</v>
      </c>
      <c r="G810" t="str">
        <v>PAULINA LIZBETH SOTO MUÑIZ 104750</v>
      </c>
      <c r="H810" t="str">
        <v>ANUAL</v>
      </c>
      <c r="I810" t="str">
        <v>GMM</v>
      </c>
      <c r="J810">
        <v>56328.79</v>
      </c>
      <c r="K810">
        <v>56328.79</v>
      </c>
    </row>
    <row r="811">
      <c r="A811" t="str">
        <v>DARINKA UREÑA CASILLAS 90355</v>
      </c>
      <c r="B811" t="str">
        <v>ANUAL</v>
      </c>
      <c r="C811" t="str">
        <v>VIDA</v>
      </c>
      <c r="D811">
        <v>70991.24742639</v>
      </c>
      <c r="E811" t="e" cm="1">
        <f t="array" ref="E811">D811/_xludf.IFS(B811="MENSUAL",12,B811="TRIMESTRAL",4,B811="SEMESTRAL",2,B811="ANUAL",1)</f>
        <v>#NAME?</v>
      </c>
      <c r="G811" t="str">
        <v>PAULINA LIZBETH SOTO MUÑIZ 104750</v>
      </c>
      <c r="H811" t="str">
        <v>SEMESTRAL</v>
      </c>
      <c r="I811" t="str">
        <v>GMM</v>
      </c>
      <c r="J811">
        <v>22474.10284728</v>
      </c>
      <c r="K811">
        <v>11237.05142364</v>
      </c>
    </row>
    <row r="812">
      <c r="A812" t="str">
        <v>DARINKA UREÑA CASILLAS 90355</v>
      </c>
      <c r="B812" t="str">
        <v>ANUAL</v>
      </c>
      <c r="C812" t="str">
        <v>VIDA</v>
      </c>
      <c r="D812">
        <v>38453.740114980006</v>
      </c>
      <c r="E812" t="e" cm="1">
        <f t="array" ref="E812">D812/_xludf.IFS(B812="MENSUAL",12,B812="TRIMESTRAL",4,B812="SEMESTRAL",2,B812="ANUAL",1)</f>
        <v>#NAME?</v>
      </c>
      <c r="G812" t="str">
        <v>RAFAEL ALBERTO SUAREZ BAQUEDANO 47116</v>
      </c>
      <c r="H812" t="str">
        <v>ANUAL</v>
      </c>
      <c r="I812" t="str">
        <v>GMM</v>
      </c>
      <c r="J812">
        <v>14673.25</v>
      </c>
      <c r="K812">
        <v>14673.25</v>
      </c>
    </row>
    <row r="813">
      <c r="A813" t="str">
        <v>DESIREE DE LA PEÑA OROZCO 80122</v>
      </c>
      <c r="B813" t="str">
        <v>ANUAL</v>
      </c>
      <c r="C813" t="str">
        <v>VIDA</v>
      </c>
      <c r="D813">
        <v>48509.0389845</v>
      </c>
      <c r="E813" t="e" cm="1">
        <f t="array" ref="E813">D813/_xludf.IFS(B813="MENSUAL",12,B813="TRIMESTRAL",4,B813="SEMESTRAL",2,B813="ANUAL",1)</f>
        <v>#NAME?</v>
      </c>
    </row>
    <row r="814">
      <c r="A814" t="str">
        <v>DESIREE DE LA PEÑA OROZCO 80122</v>
      </c>
      <c r="B814" t="str">
        <v>ANUAL</v>
      </c>
      <c r="C814" t="str">
        <v>VIDA</v>
      </c>
      <c r="D814">
        <v>22599.2049394</v>
      </c>
      <c r="E814" t="e" cm="1">
        <f t="array" ref="E814">D814/_xludf.IFS(B814="MENSUAL",12,B814="TRIMESTRAL",4,B814="SEMESTRAL",2,B814="ANUAL",1)</f>
        <v>#NAME?</v>
      </c>
    </row>
    <row r="815">
      <c r="A815" t="str">
        <v>GABRIELA CASTAÑEDA SALAZAR 105696</v>
      </c>
      <c r="B815" t="str">
        <v>ANUAL</v>
      </c>
      <c r="C815" t="str">
        <v>VIDA</v>
      </c>
      <c r="D815">
        <v>24320.317863540004</v>
      </c>
      <c r="E815" t="e" cm="1">
        <f t="array" ref="E815">D815/_xludf.IFS(B815="MENSUAL",12,B815="TRIMESTRAL",4,B815="SEMESTRAL",2,B815="ANUAL",1)</f>
        <v>#NAME?</v>
      </c>
    </row>
    <row r="816">
      <c r="A816" t="str">
        <v>GABRIELA CASTAÑEDA SALAZAR 105696</v>
      </c>
      <c r="B816" t="str">
        <v>SEMESTRAL</v>
      </c>
      <c r="C816" t="str">
        <v>VIDA</v>
      </c>
      <c r="D816">
        <v>24684.439499999997</v>
      </c>
      <c r="E816" t="e" cm="1">
        <f t="array" ref="E816">D816/_xludf.IFS(B816="MENSUAL",12,B816="TRIMESTRAL",4,B816="SEMESTRAL",2,B816="ANUAL",1)</f>
        <v>#NAME?</v>
      </c>
    </row>
    <row r="817">
      <c r="A817" t="str">
        <v>JOCELYN URIBE VARGAS 90177</v>
      </c>
      <c r="B817" t="str">
        <v>MENSUAL</v>
      </c>
      <c r="C817" t="str">
        <v>GMM</v>
      </c>
      <c r="D817">
        <v>75653.52</v>
      </c>
      <c r="E817" t="e" cm="1">
        <f t="array" ref="E817">D817/_xludf.IFS(B817="MENSUAL",12,B817="TRIMESTRAL",4,B817="SEMESTRAL",2,B817="ANUAL",1)</f>
        <v>#NAME?</v>
      </c>
    </row>
    <row r="818">
      <c r="A818" t="str">
        <v>JOSE ANTEMIO OLIVA SANTOS 118246</v>
      </c>
      <c r="B818" t="str">
        <v>ANUAL</v>
      </c>
      <c r="C818" t="str">
        <v>VIDA</v>
      </c>
      <c r="D818">
        <v>19035.93761868</v>
      </c>
      <c r="E818" t="e" cm="1">
        <f t="array" ref="E818">D818/_xludf.IFS(B818="MENSUAL",12,B818="TRIMESTRAL",4,B818="SEMESTRAL",2,B818="ANUAL",1)</f>
        <v>#NAME?</v>
      </c>
    </row>
    <row r="819">
      <c r="A819" t="str">
        <v>JOSE EDUARDO EZQUERRO BARQUERA 102825</v>
      </c>
      <c r="B819" t="str">
        <v>MENSUAL</v>
      </c>
      <c r="C819" t="str">
        <v>VIDA</v>
      </c>
      <c r="D819">
        <v>30271.3578590472</v>
      </c>
      <c r="E819" t="e" cm="1">
        <f t="array" ref="E819">D819/_xludf.IFS(B819="MENSUAL",12,B819="TRIMESTRAL",4,B819="SEMESTRAL",2,B819="ANUAL",1)</f>
        <v>#NAME?</v>
      </c>
    </row>
    <row r="820">
      <c r="A820" t="str">
        <v>JULIANA RIASCOS VALENCIA 100677</v>
      </c>
      <c r="B820" t="str">
        <v>MENSUAL</v>
      </c>
      <c r="C820" t="str">
        <v>VIDA</v>
      </c>
      <c r="D820">
        <v>65652.28435295999</v>
      </c>
      <c r="E820" t="e" cm="1">
        <f t="array" ref="E820">D820/_xludf.IFS(B820="MENSUAL",12,B820="TRIMESTRAL",4,B820="SEMESTRAL",2,B820="ANUAL",1)</f>
        <v>#NAME?</v>
      </c>
    </row>
    <row r="821">
      <c r="A821" t="str">
        <v>MARIA FERNANDA RIOS BERNAL 103982</v>
      </c>
      <c r="B821" t="str">
        <v>MENSUAL</v>
      </c>
      <c r="C821" t="str">
        <v>GMM</v>
      </c>
      <c r="D821">
        <v>46685.04</v>
      </c>
      <c r="E821" t="e" cm="1">
        <f t="array" ref="E821">D821/_xludf.IFS(B821="MENSUAL",12,B821="TRIMESTRAL",4,B821="SEMESTRAL",2,B821="ANUAL",1)</f>
        <v>#NAME?</v>
      </c>
    </row>
    <row r="822">
      <c r="A822" t="str">
        <v>MARIA FERNANDA RIOS BERNAL 103982</v>
      </c>
      <c r="B822" t="str">
        <v>MENSUAL</v>
      </c>
      <c r="C822" t="str">
        <v>VIDA</v>
      </c>
      <c r="D822">
        <v>43200.194830027205</v>
      </c>
      <c r="E822" t="e" cm="1">
        <f t="array" ref="E822">D822/_xludf.IFS(B822="MENSUAL",12,B822="TRIMESTRAL",4,B822="SEMESTRAL",2,B822="ANUAL",1)</f>
        <v>#NAME?</v>
      </c>
    </row>
    <row r="823">
      <c r="A823" t="str">
        <v>MARIA FERNANDA RIOS BERNAL 103982</v>
      </c>
      <c r="B823" t="str">
        <v>ANUAL</v>
      </c>
      <c r="C823" t="str">
        <v>GMM</v>
      </c>
      <c r="D823">
        <v>34753.79</v>
      </c>
      <c r="E823" t="e" cm="1">
        <f t="array" ref="E823">D823/_xludf.IFS(B823="MENSUAL",12,B823="TRIMESTRAL",4,B823="SEMESTRAL",2,B823="ANUAL",1)</f>
        <v>#NAME?</v>
      </c>
    </row>
    <row r="824">
      <c r="A824" t="str">
        <v>MARIA FERNANDA RIOS BERNAL 103982</v>
      </c>
      <c r="B824" t="str">
        <v>ANUAL</v>
      </c>
      <c r="C824" t="str">
        <v>GMM</v>
      </c>
      <c r="D824">
        <v>31691.71</v>
      </c>
      <c r="E824" t="e" cm="1">
        <f t="array" ref="E824">D824/_xludf.IFS(B824="MENSUAL",12,B824="TRIMESTRAL",4,B824="SEMESTRAL",2,B824="ANUAL",1)</f>
        <v>#NAME?</v>
      </c>
    </row>
    <row r="825">
      <c r="A825" t="str">
        <v>MARIA FERNANDA RIOS BERNAL 103982</v>
      </c>
      <c r="B825" t="str">
        <v>ANUAL</v>
      </c>
      <c r="C825" t="str">
        <v>VIDA</v>
      </c>
      <c r="D825">
        <v>32969.95060878</v>
      </c>
      <c r="E825" t="e" cm="1">
        <f t="array" ref="E825">D825/_xludf.IFS(B825="MENSUAL",12,B825="TRIMESTRAL",4,B825="SEMESTRAL",2,B825="ANUAL",1)</f>
        <v>#NAME?</v>
      </c>
    </row>
    <row r="826">
      <c r="A826" t="str">
        <v>MARIA FERNANDA RIOS BERNAL 103982</v>
      </c>
      <c r="B826" t="str">
        <v>MENSUAL</v>
      </c>
      <c r="C826" t="str">
        <v>VIDA</v>
      </c>
      <c r="D826">
        <v>73001.25637902</v>
      </c>
      <c r="E826" t="e" cm="1">
        <f t="array" ref="E826">D826/_xludf.IFS(B826="MENSUAL",12,B826="TRIMESTRAL",4,B826="SEMESTRAL",2,B826="ANUAL",1)</f>
        <v>#NAME?</v>
      </c>
    </row>
    <row r="827">
      <c r="A827" t="str">
        <v>MARICELA ARREOLA LOPEZ 80925</v>
      </c>
      <c r="B827" t="str">
        <v>ANUAL</v>
      </c>
      <c r="C827" t="str">
        <v>VIDA</v>
      </c>
      <c r="D827">
        <v>22712.349998100002</v>
      </c>
      <c r="E827" t="e" cm="1">
        <f t="array" ref="E827">D827/_xludf.IFS(B827="MENSUAL",12,B827="TRIMESTRAL",4,B827="SEMESTRAL",2,B827="ANUAL",1)</f>
        <v>#NAME?</v>
      </c>
    </row>
    <row r="828">
      <c r="A828" t="str">
        <v>MARICELA ARREOLA LOPEZ 80925</v>
      </c>
      <c r="B828" t="str">
        <v>MENSUAL</v>
      </c>
      <c r="C828" t="str">
        <v>VIDA</v>
      </c>
      <c r="D828">
        <v>35992.75065408</v>
      </c>
      <c r="E828" t="e" cm="1">
        <f t="array" ref="E828">D828/_xludf.IFS(B828="MENSUAL",12,B828="TRIMESTRAL",4,B828="SEMESTRAL",2,B828="ANUAL",1)</f>
        <v>#NAME?</v>
      </c>
    </row>
    <row r="829">
      <c r="A829" t="str">
        <v>MONSERRAT VELASCO SANTOS 117440</v>
      </c>
      <c r="B829" t="str">
        <v>ANUAL</v>
      </c>
      <c r="C829" t="str">
        <v>VIDA</v>
      </c>
      <c r="D829">
        <v>35728.18760385</v>
      </c>
      <c r="E829" t="e" cm="1">
        <f t="array" ref="E829">D829/_xludf.IFS(B829="MENSUAL",12,B829="TRIMESTRAL",4,B829="SEMESTRAL",2,B829="ANUAL",1)</f>
        <v>#NAME?</v>
      </c>
    </row>
    <row r="830">
      <c r="A830" t="str">
        <v>PAULINA LIZBETH SOTO MUÑIZ 104750</v>
      </c>
      <c r="B830" t="str">
        <v>ANUAL</v>
      </c>
      <c r="C830" t="str">
        <v>GMM</v>
      </c>
      <c r="D830">
        <v>56328.79</v>
      </c>
      <c r="E830" t="e" cm="1">
        <f t="array" ref="E830">D830/_xludf.IFS(B830="MENSUAL",12,B830="TRIMESTRAL",4,B830="SEMESTRAL",2,B830="ANUAL",1)</f>
        <v>#NAME?</v>
      </c>
    </row>
    <row r="831">
      <c r="A831" t="str">
        <v>PAULINA LIZBETH SOTO MUÑIZ 104750</v>
      </c>
      <c r="B831" t="str">
        <v>SEMESTRAL</v>
      </c>
      <c r="C831" t="str">
        <v>VIDA</v>
      </c>
      <c r="D831">
        <v>22474.10284728</v>
      </c>
      <c r="E831" t="e" cm="1">
        <f t="array" ref="E831">D831/_xludf.IFS(B831="MENSUAL",12,B831="TRIMESTRAL",4,B831="SEMESTRAL",2,B831="ANUAL",1)</f>
        <v>#NAME?</v>
      </c>
    </row>
    <row r="832">
      <c r="A832" t="str">
        <v>PAULINA RODRIGUEZ DE LA MORA 65046</v>
      </c>
      <c r="B832" t="str">
        <v>ANUAL</v>
      </c>
      <c r="C832" t="str">
        <v>GMM</v>
      </c>
      <c r="D832">
        <v>19825.63</v>
      </c>
      <c r="E832" t="e" cm="1">
        <f t="array" ref="E832">D832/_xludf.IFS(B832="MENSUAL",12,B832="TRIMESTRAL",4,B832="SEMESTRAL",2,B832="ANUAL",1)</f>
        <v>#NAME?</v>
      </c>
    </row>
    <row r="833">
      <c r="A833" t="str">
        <v>RAFAEL ALBERTO SUAREZ BAQUEDANO 47116</v>
      </c>
      <c r="B833" t="str">
        <v>ANUAL</v>
      </c>
      <c r="C833" t="str">
        <v>GMM</v>
      </c>
      <c r="D833">
        <v>14673.25</v>
      </c>
      <c r="E833" t="e" cm="1">
        <f t="array" ref="E833">D833/_xludf.IFS(B833="MENSUAL",12,B833="TRIMESTRAL",4,B833="SEMESTRAL",2,B833="ANUAL",1)</f>
        <v>#NAME?</v>
      </c>
    </row>
    <row r="834">
      <c r="A834" t="str">
        <v>RAFAEL ALBERTO SUAREZ BAQUEDANO 47116</v>
      </c>
      <c r="B834" t="str">
        <v>ANUAL</v>
      </c>
      <c r="C834" t="str">
        <v>VIDA</v>
      </c>
      <c r="D834">
        <v>30508.596767910003</v>
      </c>
      <c r="E834" t="e" cm="1">
        <f t="array" ref="E834">D834/_xludf.IFS(B834="MENSUAL",12,B834="TRIMESTRAL",4,B834="SEMESTRAL",2,B834="ANUAL",1)</f>
        <v>#NAME?</v>
      </c>
    </row>
    <row r="835">
      <c r="A835" t="str">
        <v>RAFAEL ALBERTO SUAREZ BAQUEDANO 47116</v>
      </c>
      <c r="B835" t="str">
        <v>SEMESTRAL</v>
      </c>
      <c r="C835" t="str">
        <v>VIDA</v>
      </c>
      <c r="D835">
        <v>30131.1832776</v>
      </c>
      <c r="E835" t="e" cm="1">
        <f t="array" ref="E835">D835/_xludf.IFS(B835="MENSUAL",12,B835="TRIMESTRAL",4,B835="SEMESTRAL",2,B835="ANUAL",1)</f>
        <v>#NAME?</v>
      </c>
    </row>
    <row r="836">
      <c r="A836" t="str">
        <v>ROGELIO TORRES ORTIZ 104718</v>
      </c>
      <c r="B836" t="str">
        <v>SEMESTRAL</v>
      </c>
      <c r="C836" t="str">
        <v>VIDA</v>
      </c>
      <c r="D836">
        <v>35158.812</v>
      </c>
      <c r="E836" t="e" cm="1">
        <f t="array" ref="E836">D836/_xludf.IFS(B836="MENSUAL",12,B836="TRIMESTRAL",4,B836="SEMESTRAL",2,B836="ANUAL",1)</f>
        <v>#NAME?</v>
      </c>
    </row>
  </sheetData>
  <mergeCells count="16">
    <mergeCell ref="A172:H172"/>
    <mergeCell ref="A528:H528"/>
    <mergeCell ref="A585:H585"/>
    <mergeCell ref="A667:H667"/>
    <mergeCell ref="A752:H752"/>
    <mergeCell ref="A212:H212"/>
    <mergeCell ref="A254:H254"/>
    <mergeCell ref="A302:H302"/>
    <mergeCell ref="A353:H353"/>
    <mergeCell ref="A411:H411"/>
    <mergeCell ref="A463:H463"/>
    <mergeCell ref="A1:H1"/>
    <mergeCell ref="A48:H48"/>
    <mergeCell ref="A94:H94"/>
    <mergeCell ref="A134:H134"/>
    <mergeCell ref="I144:I147"/>
  </mergeCells>
  <pageMargins left="0.7" right="0.7" top="0.75" bottom="0.75" header="0.3" footer="0.3"/>
  <ignoredErrors>
    <ignoredError numberStoredAsText="1" sqref="A1:P8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4:N87"/>
  <sheetViews>
    <sheetView workbookViewId="0" rightToLeft="0"/>
  </sheetViews>
  <sheetData>
    <row r="4">
      <c r="A4" t="str">
        <v>Ventas mensuales MAYO</v>
      </c>
    </row>
    <row r="5">
      <c r="A5" t="str">
        <v>Asesor</v>
      </c>
      <c r="B5" t="str">
        <v xml:space="preserve">Pólizas </v>
      </c>
      <c r="C5" t="str">
        <v>Vida</v>
      </c>
      <c r="D5" t="str">
        <v>Prima Pagada vida</v>
      </c>
      <c r="E5" t="str">
        <v>Gmm</v>
      </c>
      <c r="F5" t="str">
        <v>Prima Pagada gmm</v>
      </c>
      <c r="G5" t="str">
        <v>Prima total</v>
      </c>
    </row>
    <row r="6">
      <c r="A6" t="str">
        <v>DARINKA UREÐA CASILLAS</v>
      </c>
      <c r="B6" t="e">
        <f>SUM(#REF!,#REF!)</f>
        <v>#REF!</v>
      </c>
      <c r="C6">
        <v>4</v>
      </c>
      <c r="D6">
        <v>41370.92</v>
      </c>
      <c r="E6" t="e">
        <f>_xludf.XLOOKUP(#REF!,#REF!,#REF!,0)</f>
        <v>#NAME?</v>
      </c>
      <c r="F6" t="e">
        <f>_xludf.XLOOKUP(#REF!,#REF!,#REF!,0)</f>
        <v>#NAME?</v>
      </c>
      <c r="G6" t="e">
        <f>SUM(#REF!,#REF!)</f>
        <v>#REF!</v>
      </c>
      <c r="I6" t="str">
        <v>Columna1</v>
      </c>
      <c r="J6" t="str">
        <v>Columna12</v>
      </c>
      <c r="K6" t="str">
        <v>Columna2</v>
      </c>
      <c r="L6" t="str">
        <v>Columna3</v>
      </c>
      <c r="N6" t="str">
        <v>CAMPEONES:</v>
      </c>
    </row>
    <row r="7">
      <c r="A7" t="str">
        <v>DESIREE DE LA PEÐA OROZCO</v>
      </c>
      <c r="B7" t="e">
        <f>SUM(#REF!,#REF!)</f>
        <v>#REF!</v>
      </c>
      <c r="C7">
        <v>2</v>
      </c>
      <c r="D7">
        <v>24572.42</v>
      </c>
      <c r="E7" t="e">
        <f>_xludf.XLOOKUP(#REF!,#REF!,#REF!,0)</f>
        <v>#NAME?</v>
      </c>
      <c r="F7" t="e">
        <f>_xludf.XLOOKUP(#REF!,#REF!,#REF!,0)</f>
        <v>#NAME?</v>
      </c>
      <c r="G7" t="e">
        <f>SUM(#REF!,#REF!)</f>
        <v>#REF!</v>
      </c>
      <c r="I7" t="str">
        <v>MARIA FERNANDA RIOS BERNAL</v>
      </c>
      <c r="J7" t="e">
        <f>#REF!/2</f>
        <v>#REF!</v>
      </c>
      <c r="K7">
        <v>3</v>
      </c>
      <c r="L7">
        <v>70335.92</v>
      </c>
      <c r="N7" t="str">
        <v>NOVATO POLIZAS VIDA</v>
      </c>
    </row>
    <row r="8">
      <c r="A8" t="str">
        <v>ANA LAURA CONTRERAS IÐIGUEZ</v>
      </c>
      <c r="B8" t="e">
        <f>SUM(#REF!,#REF!)</f>
        <v>#REF!</v>
      </c>
      <c r="C8">
        <v>1</v>
      </c>
      <c r="D8">
        <v>5250.63</v>
      </c>
      <c r="E8" t="e">
        <f>_xludf.XLOOKUP(#REF!,#REF!,#REF!,0)</f>
        <v>#NAME?</v>
      </c>
      <c r="F8" t="e">
        <f>_xludf.XLOOKUP(#REF!,#REF!,#REF!,0)</f>
        <v>#NAME?</v>
      </c>
      <c r="G8" t="e">
        <f>SUM(#REF!,#REF!)</f>
        <v>#REF!</v>
      </c>
      <c r="I8" t="str">
        <v>PAULINA LIZBETH SOTO MUÐIZ</v>
      </c>
      <c r="J8" t="e">
        <f>#REF!/2</f>
        <v>#REF!</v>
      </c>
      <c r="K8">
        <v>1</v>
      </c>
      <c r="L8">
        <v>56328.79</v>
      </c>
      <c r="N8" t="str">
        <v>PRO POLIZAS VIDA</v>
      </c>
    </row>
    <row r="9">
      <c r="A9" t="str">
        <v>MONICA ANDREA AMBRIZ GOMEZ</v>
      </c>
      <c r="B9" t="e">
        <f>SUM(#REF!,#REF!)</f>
        <v>#REF!</v>
      </c>
      <c r="C9">
        <v>0</v>
      </c>
      <c r="D9">
        <v>0</v>
      </c>
      <c r="E9" t="e">
        <f>_xludf.XLOOKUP(#REF!,#REF!,#REF!,0)</f>
        <v>#NAME?</v>
      </c>
      <c r="F9" t="e">
        <f>_xludf.XLOOKUP(#REF!,#REF!,#REF!,0)</f>
        <v>#NAME?</v>
      </c>
      <c r="G9" t="e">
        <f>SUM(#REF!,#REF!)</f>
        <v>#REF!</v>
      </c>
      <c r="I9" t="str">
        <v>RAFAEL ALBERTO SUAREZ BAQUEDANO</v>
      </c>
      <c r="J9" t="e">
        <f>#REF!/2</f>
        <v>#REF!</v>
      </c>
      <c r="K9">
        <v>1</v>
      </c>
      <c r="L9">
        <v>14673.25</v>
      </c>
      <c r="N9" t="str">
        <v>NOVATO PRIMA VIDA</v>
      </c>
    </row>
    <row r="10">
      <c r="A10" t="str">
        <v>RAFAEL ALBERTO SUAREZ BAQUEDANO</v>
      </c>
      <c r="B10" t="e">
        <f>SUM(#REF!,#REF!)</f>
        <v>#REF!</v>
      </c>
      <c r="C10">
        <v>2</v>
      </c>
      <c r="D10">
        <v>32273.98</v>
      </c>
      <c r="E10" t="e">
        <f>_xludf.XLOOKUP(#REF!,#REF!,#REF!,0)</f>
        <v>#NAME?</v>
      </c>
      <c r="F10" t="e">
        <f>_xludf.XLOOKUP(#REF!,#REF!,#REF!,0)</f>
        <v>#NAME?</v>
      </c>
      <c r="G10" t="e">
        <f>SUM(#REF!,#REF!)</f>
        <v>#REF!</v>
      </c>
      <c r="I10" t="str">
        <v>PAULINA RODRIGUEZ DE LA MORA</v>
      </c>
      <c r="J10" t="e">
        <f>#REF!/2</f>
        <v>#REF!</v>
      </c>
      <c r="K10">
        <v>1</v>
      </c>
      <c r="L10">
        <v>19825.63</v>
      </c>
      <c r="N10" t="str">
        <v>PRO PRIMA VIDA</v>
      </c>
    </row>
    <row r="11">
      <c r="A11" t="str">
        <v>ANAIS LUA MORENO</v>
      </c>
      <c r="B11" t="e">
        <f>SUM(#REF!,#REF!)</f>
        <v>#REF!</v>
      </c>
      <c r="C11">
        <v>1</v>
      </c>
      <c r="D11">
        <v>1603.01</v>
      </c>
      <c r="E11" t="e">
        <f>_xludf.XLOOKUP(#REF!,#REF!,#REF!,0)</f>
        <v>#NAME?</v>
      </c>
      <c r="F11" t="e">
        <f>_xludf.XLOOKUP(#REF!,#REF!,#REF!,0)</f>
        <v>#NAME?</v>
      </c>
      <c r="G11" t="e">
        <f>SUM(#REF!,#REF!)</f>
        <v>#REF!</v>
      </c>
      <c r="I11" t="str">
        <v>ANAIS LUA MORENO</v>
      </c>
      <c r="J11" t="e">
        <f>#REF!/2</f>
        <v>#REF!</v>
      </c>
      <c r="K11">
        <v>0</v>
      </c>
      <c r="L11">
        <v>0</v>
      </c>
      <c r="N11" t="str">
        <v>NOVATO POLIZAS GMM</v>
      </c>
    </row>
    <row r="12">
      <c r="A12" t="str">
        <v>MONSERRAT VELASCO SANTOS</v>
      </c>
      <c r="B12" t="e">
        <f>SUM(#REF!,#REF!)</f>
        <v>#REF!</v>
      </c>
      <c r="C12">
        <v>1</v>
      </c>
      <c r="D12">
        <v>1645.53</v>
      </c>
      <c r="E12" t="e">
        <f>_xludf.XLOOKUP(#REF!,#REF!,#REF!,0)</f>
        <v>#NAME?</v>
      </c>
      <c r="F12" t="e">
        <f>_xludf.XLOOKUP(#REF!,#REF!,#REF!,0)</f>
        <v>#NAME?</v>
      </c>
      <c r="G12" t="e">
        <f>SUM(#REF!,#REF!)</f>
        <v>#REF!</v>
      </c>
      <c r="I12" t="str">
        <v>JOCELYN URIBE VARGAS</v>
      </c>
      <c r="J12" t="e">
        <f>#REF!/2</f>
        <v>#REF!</v>
      </c>
      <c r="K12">
        <v>1</v>
      </c>
      <c r="L12">
        <v>6304.46</v>
      </c>
      <c r="N12" t="str">
        <v>PRO POLIZAS GMM</v>
      </c>
    </row>
    <row r="13">
      <c r="A13" t="str">
        <v>MARIO IVAN ROMERO GONZALEZ</v>
      </c>
      <c r="B13" t="e">
        <f>SUM(#REF!,#REF!)</f>
        <v>#REF!</v>
      </c>
      <c r="C13">
        <v>3</v>
      </c>
      <c r="D13">
        <v>4872.94</v>
      </c>
      <c r="E13" t="e">
        <f>_xludf.XLOOKUP(#REF!,#REF!,#REF!,0)</f>
        <v>#NAME?</v>
      </c>
      <c r="F13" t="e">
        <f>_xludf.XLOOKUP(#REF!,#REF!,#REF!,0)</f>
        <v>#NAME?</v>
      </c>
      <c r="G13" t="e">
        <f>SUM(#REF!,#REF!)</f>
        <v>#REF!</v>
      </c>
      <c r="I13" t="str">
        <v>JULIANA RIASCOS VALENCIA</v>
      </c>
      <c r="J13" t="e">
        <f>#REF!/2</f>
        <v>#REF!</v>
      </c>
      <c r="K13">
        <v>0</v>
      </c>
      <c r="L13">
        <v>0</v>
      </c>
      <c r="N13" t="str">
        <v>NOVATO PRIMA GMM</v>
      </c>
    </row>
    <row r="14">
      <c r="A14" t="str">
        <v>GABRIELA CASTAÐEDA SALAZAR</v>
      </c>
      <c r="B14" t="e">
        <f>SUM(#REF!,#REF!)</f>
        <v>#REF!</v>
      </c>
      <c r="C14">
        <v>2</v>
      </c>
      <c r="D14">
        <v>36647.08</v>
      </c>
      <c r="E14" t="e">
        <f>_xludf.XLOOKUP(#REF!,#REF!,#REF!,0)</f>
        <v>#NAME?</v>
      </c>
      <c r="F14" t="e">
        <f>_xludf.XLOOKUP(#REF!,#REF!,#REF!,0)</f>
        <v>#NAME?</v>
      </c>
      <c r="G14" t="e">
        <f>SUM(#REF!,#REF!)</f>
        <v>#REF!</v>
      </c>
      <c r="I14" t="str">
        <v>MONICA ANDREA AMBRIZ GOMEZ</v>
      </c>
      <c r="J14" t="e">
        <f>#REF!/2</f>
        <v>#REF!</v>
      </c>
      <c r="K14">
        <v>0</v>
      </c>
      <c r="L14">
        <v>0</v>
      </c>
      <c r="N14" t="str">
        <v>PRO PRIMAS GMM</v>
      </c>
    </row>
    <row r="15">
      <c r="A15" t="str">
        <v>VELIA PATRICIA BERNAL RAMOS</v>
      </c>
      <c r="B15" t="e">
        <f>SUM(#REF!,#REF!)</f>
        <v>#REF!</v>
      </c>
      <c r="C15">
        <v>1</v>
      </c>
      <c r="D15">
        <v>30547.31</v>
      </c>
      <c r="E15" t="e">
        <f>_xludf.XLOOKUP(#REF!,#REF!,#REF!,0)</f>
        <v>#NAME?</v>
      </c>
      <c r="F15" t="e">
        <f>_xludf.XLOOKUP(#REF!,#REF!,#REF!,0)</f>
        <v>#NAME?</v>
      </c>
      <c r="G15" t="e">
        <f>SUM(#REF!,#REF!)</f>
        <v>#REF!</v>
      </c>
      <c r="I15" t="str">
        <v>MARIA FERNANDA CARLOS VAZQUEZ</v>
      </c>
      <c r="J15" t="e">
        <f>#REF!/2</f>
        <v>#REF!</v>
      </c>
      <c r="K15">
        <v>0</v>
      </c>
      <c r="L15">
        <v>0</v>
      </c>
    </row>
    <row r="16">
      <c r="A16" t="str">
        <v>MARIA FERNANDA RIOS BERNAL</v>
      </c>
      <c r="B16" t="e">
        <f>SUM(#REF!,#REF!)</f>
        <v>#REF!</v>
      </c>
      <c r="C16">
        <v>3</v>
      </c>
      <c r="D16">
        <v>7065.59</v>
      </c>
      <c r="E16" t="e">
        <f>_xludf.XLOOKUP(#REF!,#REF!,#REF!,0)</f>
        <v>#NAME?</v>
      </c>
      <c r="F16" t="e">
        <f>_xludf.XLOOKUP(#REF!,#REF!,#REF!,0)</f>
        <v>#NAME?</v>
      </c>
      <c r="G16" t="e">
        <f>SUM(#REF!,#REF!)</f>
        <v>#REF!</v>
      </c>
      <c r="I16" t="str">
        <v>JORGE ANTONIO LUNA LARA</v>
      </c>
      <c r="J16" t="e">
        <f>#REF!/2</f>
        <v>#REF!</v>
      </c>
      <c r="K16">
        <v>0</v>
      </c>
      <c r="L16">
        <v>0</v>
      </c>
    </row>
    <row r="17">
      <c r="A17" t="str">
        <v>ROGELIO TORRES ORTIZ</v>
      </c>
      <c r="B17" t="e">
        <f>SUM(#REF!,#REF!)</f>
        <v>#REF!</v>
      </c>
      <c r="C17">
        <v>1</v>
      </c>
      <c r="D17">
        <v>1633.77</v>
      </c>
      <c r="E17" t="e">
        <f>_xludf.XLOOKUP(#REF!,#REF!,#REF!,0)</f>
        <v>#NAME?</v>
      </c>
      <c r="F17" t="e">
        <f>_xludf.XLOOKUP(#REF!,#REF!,#REF!,0)</f>
        <v>#NAME?</v>
      </c>
      <c r="G17" t="e">
        <f>SUM(#REF!,#REF!)</f>
        <v>#REF!</v>
      </c>
      <c r="I17" t="str">
        <v>ANA VERONICA GONZALEZ GAYTAN</v>
      </c>
      <c r="J17" t="e">
        <f>#REF!/2</f>
        <v>#REF!</v>
      </c>
      <c r="K17">
        <v>0</v>
      </c>
      <c r="L17">
        <v>0</v>
      </c>
    </row>
    <row r="18">
      <c r="A18" t="str">
        <v>SOFIA CAMPILLO VASCONCELOS</v>
      </c>
      <c r="B18" t="e">
        <f>SUM(#REF!,#REF!)</f>
        <v>#REF!</v>
      </c>
      <c r="C18">
        <v>2</v>
      </c>
      <c r="D18">
        <v>29345.32</v>
      </c>
      <c r="E18" t="e">
        <f>_xludf.XLOOKUP(#REF!,#REF!,#REF!,0)</f>
        <v>#NAME?</v>
      </c>
      <c r="F18" t="e">
        <f>_xludf.XLOOKUP(#REF!,#REF!,#REF!,0)</f>
        <v>#NAME?</v>
      </c>
      <c r="G18" t="e">
        <f>SUM(#REF!,#REF!)</f>
        <v>#REF!</v>
      </c>
      <c r="I18" t="str">
        <v>VELIA PATRICIA BERNAL RAMOS</v>
      </c>
      <c r="J18" t="e">
        <f>#REF!/2</f>
        <v>#REF!</v>
      </c>
      <c r="K18">
        <v>0</v>
      </c>
      <c r="L18">
        <v>0</v>
      </c>
    </row>
    <row r="19">
      <c r="A19" t="str">
        <v>JULIANA RIASCOS VALENCIA</v>
      </c>
      <c r="B19" t="e">
        <f>SUM(#REF!,#REF!)</f>
        <v>#REF!</v>
      </c>
      <c r="C19">
        <v>1</v>
      </c>
      <c r="D19">
        <v>-9562.12</v>
      </c>
      <c r="E19" t="e">
        <f>_xludf.XLOOKUP(#REF!,#REF!,#REF!,0)</f>
        <v>#NAME?</v>
      </c>
      <c r="F19" t="e">
        <f>_xludf.XLOOKUP(#REF!,#REF!,#REF!,0)</f>
        <v>#NAME?</v>
      </c>
      <c r="G19" t="e">
        <f>SUM(#REF!,#REF!)</f>
        <v>#REF!</v>
      </c>
      <c r="I19" t="str">
        <v>JOSE EDUARDO EZQUERRO BARQUERA</v>
      </c>
      <c r="J19" t="e">
        <f>#REF!/2</f>
        <v>#REF!</v>
      </c>
      <c r="K19">
        <v>0</v>
      </c>
      <c r="L19">
        <v>0</v>
      </c>
    </row>
    <row r="20">
      <c r="A20" t="str">
        <v>MARICELA ARREOLA LOPEZ</v>
      </c>
      <c r="B20" t="e">
        <f>SUM(#REF!,#REF!)</f>
        <v>#REF!</v>
      </c>
      <c r="C20">
        <v>1</v>
      </c>
      <c r="D20">
        <v>22710.08</v>
      </c>
      <c r="E20" t="e">
        <f>_xludf.XLOOKUP(#REF!,#REF!,#REF!,0)</f>
        <v>#NAME?</v>
      </c>
      <c r="F20" t="e">
        <f>_xludf.XLOOKUP(#REF!,#REF!,#REF!,0)</f>
        <v>#NAME?</v>
      </c>
      <c r="G20" t="e">
        <f>SUM(#REF!,#REF!)</f>
        <v>#REF!</v>
      </c>
      <c r="I20" t="str">
        <v>ANA LAURA CONTRERAS IÐIGUEZ</v>
      </c>
      <c r="J20" t="e">
        <f>#REF!/2</f>
        <v>#REF!</v>
      </c>
      <c r="K20">
        <v>1</v>
      </c>
      <c r="L20">
        <v>2724.89</v>
      </c>
    </row>
    <row r="21">
      <c r="A21" t="str">
        <v>ADRIANA ALEJANDRA JOYA MARTINEZ</v>
      </c>
      <c r="B21" t="e">
        <f>SUM(#REF!,#REF!)</f>
        <v>#REF!</v>
      </c>
      <c r="C21">
        <v>1</v>
      </c>
      <c r="D21">
        <v>2456.67</v>
      </c>
      <c r="E21" t="e">
        <f>_xludf.XLOOKUP(#REF!,#REF!,#REF!,0)</f>
        <v>#NAME?</v>
      </c>
      <c r="F21" t="e">
        <f>_xludf.XLOOKUP(#REF!,#REF!,#REF!,0)</f>
        <v>#NAME?</v>
      </c>
      <c r="G21" t="e">
        <f>SUM(#REF!,#REF!)</f>
        <v>#REF!</v>
      </c>
      <c r="I21" t="str">
        <v>DARINKA UREÐA CASILLAS</v>
      </c>
      <c r="J21" t="e">
        <f>#REF!/2</f>
        <v>#REF!</v>
      </c>
      <c r="K21">
        <v>1</v>
      </c>
      <c r="L21">
        <v>2339.79</v>
      </c>
    </row>
    <row r="22">
      <c r="A22" t="str">
        <v>JOSE EDUARDO EZQUERRO BARQUERA</v>
      </c>
      <c r="B22" t="e">
        <f>SUM(#REF!,#REF!)</f>
        <v>#REF!</v>
      </c>
      <c r="C22">
        <v>2</v>
      </c>
      <c r="D22">
        <v>2990.53</v>
      </c>
      <c r="E22" t="e">
        <f>_xludf.XLOOKUP(#REF!,#REF!,#REF!,0)</f>
        <v>#NAME?</v>
      </c>
      <c r="F22" t="e">
        <f>_xludf.XLOOKUP(#REF!,#REF!,#REF!,0)</f>
        <v>#NAME?</v>
      </c>
      <c r="G22" t="e">
        <f>SUM(#REF!,#REF!)</f>
        <v>#REF!</v>
      </c>
      <c r="I22" t="str">
        <v>JORGE ALBERTO PRECIADO GONZALEZ</v>
      </c>
      <c r="J22" t="e">
        <f>#REF!/2</f>
        <v>#REF!</v>
      </c>
      <c r="K22">
        <v>0</v>
      </c>
      <c r="L22">
        <v>0</v>
      </c>
    </row>
    <row r="23">
      <c r="A23" t="str">
        <v>PAULINA LIZBETH SOTO MUÐIZ</v>
      </c>
      <c r="B23" t="e">
        <f>SUM(#REF!,#REF!)</f>
        <v>#REF!</v>
      </c>
      <c r="C23">
        <v>1</v>
      </c>
      <c r="D23">
        <v>1562.88</v>
      </c>
      <c r="E23" t="e">
        <f>_xludf.XLOOKUP(#REF!,#REF!,#REF!,0)</f>
        <v>#NAME?</v>
      </c>
      <c r="F23" t="e">
        <f>_xludf.XLOOKUP(#REF!,#REF!,#REF!,0)</f>
        <v>#NAME?</v>
      </c>
      <c r="G23" t="e">
        <f>SUM(#REF!,#REF!)</f>
        <v>#REF!</v>
      </c>
      <c r="I23" t="str">
        <v>ORLANDA JIMENA CERVANTES NUÐEZ</v>
      </c>
      <c r="J23" t="e">
        <f>#REF!/2</f>
        <v>#REF!</v>
      </c>
      <c r="K23">
        <v>0</v>
      </c>
      <c r="L23">
        <v>0</v>
      </c>
    </row>
    <row r="24">
      <c r="A24" t="str">
        <v>PAULA ANGELICA LOMELI CAZARES</v>
      </c>
      <c r="B24" t="e">
        <f>SUM(#REF!,#REF!)</f>
        <v>#REF!</v>
      </c>
      <c r="C24">
        <v>2</v>
      </c>
      <c r="D24">
        <v>20920.49</v>
      </c>
      <c r="E24" t="e">
        <f>_xludf.XLOOKUP(#REF!,#REF!,#REF!,0)</f>
        <v>#NAME?</v>
      </c>
      <c r="F24" t="e">
        <f>_xludf.XLOOKUP(#REF!,#REF!,#REF!,0)</f>
        <v>#NAME?</v>
      </c>
      <c r="G24" t="e">
        <f>SUM(#REF!,#REF!)</f>
        <v>#REF!</v>
      </c>
      <c r="I24" t="str">
        <v>MARIA TERESA ASENCIO LOZANO</v>
      </c>
      <c r="J24" t="e">
        <f>#REF!/2</f>
        <v>#REF!</v>
      </c>
      <c r="K24">
        <v>0</v>
      </c>
      <c r="L24">
        <v>0</v>
      </c>
    </row>
    <row r="25">
      <c r="A25" t="str">
        <v>ORLANDA JIMENA CERVANTES NUÐEZ</v>
      </c>
      <c r="B25" t="e">
        <f>SUM(#REF!,#REF!)</f>
        <v>#REF!</v>
      </c>
      <c r="C25">
        <v>0</v>
      </c>
      <c r="D25">
        <v>0</v>
      </c>
      <c r="E25" t="e">
        <f>_xludf.XLOOKUP(#REF!,#REF!,#REF!,0)</f>
        <v>#NAME?</v>
      </c>
      <c r="F25" t="e">
        <f>_xludf.XLOOKUP(#REF!,#REF!,#REF!,0)</f>
        <v>#NAME?</v>
      </c>
      <c r="G25" t="e">
        <f>SUM(#REF!,#REF!)</f>
        <v>#REF!</v>
      </c>
      <c r="I25" t="str">
        <v>ENRIQUE ADRIAN GUTIERREZ JIMENEZ</v>
      </c>
      <c r="J25" t="e">
        <f>#REF!/2</f>
        <v>#REF!</v>
      </c>
      <c r="K25">
        <v>0</v>
      </c>
      <c r="L25">
        <v>0</v>
      </c>
    </row>
    <row r="26">
      <c r="A26" t="str">
        <v>JOSE ANTEMIO OLIVA SANTOS</v>
      </c>
      <c r="B26" t="e">
        <f>SUM(#REF!,#REF!)</f>
        <v>#REF!</v>
      </c>
      <c r="C26">
        <v>1</v>
      </c>
      <c r="D26">
        <v>19025.79</v>
      </c>
      <c r="E26" t="e">
        <f>_xludf.XLOOKUP(#REF!,#REF!,#REF!,0)</f>
        <v>#NAME?</v>
      </c>
      <c r="F26" t="e">
        <f>_xludf.XLOOKUP(#REF!,#REF!,#REF!,0)</f>
        <v>#NAME?</v>
      </c>
      <c r="G26" t="e">
        <f>SUM(#REF!,#REF!)</f>
        <v>#REF!</v>
      </c>
      <c r="I26" t="str">
        <v>ISAI ANTONIO ROJAS MARTINEZ</v>
      </c>
      <c r="J26" t="e">
        <f>#REF!/2</f>
        <v>#REF!</v>
      </c>
      <c r="K26">
        <v>0</v>
      </c>
      <c r="L26">
        <v>0</v>
      </c>
    </row>
    <row r="27">
      <c r="A27" t="str">
        <v>ALEJANDRA IVETTE PEDROZA MACIAS</v>
      </c>
      <c r="B27" t="e">
        <f>SUM(#REF!,#REF!)</f>
        <v>#REF!</v>
      </c>
      <c r="C27">
        <v>0</v>
      </c>
      <c r="D27">
        <v>0</v>
      </c>
      <c r="E27" t="e">
        <f>_xludf.XLOOKUP(#REF!,#REF!,#REF!,0)</f>
        <v>#NAME?</v>
      </c>
      <c r="F27" t="e">
        <f>_xludf.XLOOKUP(#REF!,#REF!,#REF!,0)</f>
        <v>#NAME?</v>
      </c>
      <c r="G27" t="e">
        <f>SUM(#REF!,#REF!)</f>
        <v>#REF!</v>
      </c>
      <c r="I27" t="str">
        <v>GABRIELA CASTAÐEDA SALAZAR</v>
      </c>
      <c r="J27" t="e">
        <f>#REF!/2</f>
        <v>#REF!</v>
      </c>
      <c r="K27">
        <v>0</v>
      </c>
      <c r="L27">
        <v>0</v>
      </c>
    </row>
    <row r="28">
      <c r="A28" t="str">
        <v>JORGE ALBERTO PRECIADO GONZALEZ</v>
      </c>
      <c r="B28" t="e">
        <f>SUM(#REF!,#REF!)</f>
        <v>#REF!</v>
      </c>
      <c r="C28">
        <v>0</v>
      </c>
      <c r="D28">
        <v>0</v>
      </c>
      <c r="E28" t="e">
        <f>_xludf.XLOOKUP(#REF!,#REF!,#REF!,0)</f>
        <v>#NAME?</v>
      </c>
      <c r="F28" t="e">
        <f>_xludf.XLOOKUP(#REF!,#REF!,#REF!,0)</f>
        <v>#NAME?</v>
      </c>
      <c r="G28" t="e">
        <f>SUM(#REF!,#REF!)</f>
        <v>#REF!</v>
      </c>
      <c r="I28" t="str">
        <v>SAMUEL NUÐO RIVERA</v>
      </c>
      <c r="J28" t="e">
        <f>#REF!/2</f>
        <v>#REF!</v>
      </c>
      <c r="K28">
        <v>0</v>
      </c>
      <c r="L28">
        <v>0</v>
      </c>
    </row>
    <row r="29">
      <c r="A29" t="str">
        <v>MIREYA LIZETTE TORRES GARCIA</v>
      </c>
      <c r="B29" t="e">
        <f>SUM(#REF!,#REF!)</f>
        <v>#REF!</v>
      </c>
      <c r="C29">
        <v>0</v>
      </c>
      <c r="D29">
        <v>0</v>
      </c>
      <c r="E29" t="e">
        <f>_xludf.XLOOKUP(#REF!,#REF!,#REF!,0)</f>
        <v>#NAME?</v>
      </c>
      <c r="F29" t="e">
        <f>_xludf.XLOOKUP(#REF!,#REF!,#REF!,0)</f>
        <v>#NAME?</v>
      </c>
      <c r="G29" t="e">
        <f>SUM(#REF!,#REF!)</f>
        <v>#REF!</v>
      </c>
      <c r="I29" t="str">
        <v>ROGELIO TORRES ORTIZ</v>
      </c>
      <c r="J29" t="e">
        <f>#REF!/2</f>
        <v>#REF!</v>
      </c>
      <c r="K29">
        <v>0</v>
      </c>
      <c r="L29">
        <v>0</v>
      </c>
    </row>
    <row r="30">
      <c r="A30" t="str">
        <v>SAMUEL NUÐO RIVERA</v>
      </c>
      <c r="B30" t="e">
        <f>SUM(#REF!,#REF!)</f>
        <v>#REF!</v>
      </c>
      <c r="C30">
        <v>0</v>
      </c>
      <c r="D30">
        <v>0</v>
      </c>
      <c r="E30" t="e">
        <f>_xludf.XLOOKUP(#REF!,#REF!,#REF!,0)</f>
        <v>#NAME?</v>
      </c>
      <c r="F30" t="e">
        <f>_xludf.XLOOKUP(#REF!,#REF!,#REF!,0)</f>
        <v>#NAME?</v>
      </c>
      <c r="G30" t="e">
        <f>SUM(#REF!,#REF!)</f>
        <v>#REF!</v>
      </c>
      <c r="J30" t="e">
        <f>#REF!/2</f>
        <v>#REF!</v>
      </c>
    </row>
    <row r="31">
      <c r="A31" t="str">
        <v>LUVIA PATRICIA FIGUEROA CASTRO</v>
      </c>
      <c r="B31" t="e">
        <f>SUM(#REF!,#REF!)</f>
        <v>#REF!</v>
      </c>
      <c r="C31">
        <v>0</v>
      </c>
      <c r="D31">
        <v>0</v>
      </c>
      <c r="E31" t="e">
        <f>_xludf.XLOOKUP(#REF!,#REF!,#REF!,0)</f>
        <v>#NAME?</v>
      </c>
      <c r="F31" t="e">
        <f>_xludf.XLOOKUP(#REF!,#REF!,#REF!,0)</f>
        <v>#NAME?</v>
      </c>
      <c r="G31" t="e">
        <f>SUM(#REF!,#REF!)</f>
        <v>#REF!</v>
      </c>
      <c r="J31" t="e">
        <f>#REF!/2</f>
        <v>#REF!</v>
      </c>
    </row>
    <row r="32">
      <c r="A32" t="str">
        <v>HANA SOFIA LOPEZ QUIÐONEZ</v>
      </c>
      <c r="B32" t="e">
        <f>SUM(#REF!,#REF!)</f>
        <v>#REF!</v>
      </c>
      <c r="C32">
        <v>0</v>
      </c>
      <c r="D32">
        <v>0</v>
      </c>
      <c r="E32" t="e">
        <f>_xludf.XLOOKUP(#REF!,#REF!,#REF!,0)</f>
        <v>#NAME?</v>
      </c>
      <c r="F32" t="e">
        <f>_xludf.XLOOKUP(#REF!,#REF!,#REF!,0)</f>
        <v>#NAME?</v>
      </c>
      <c r="G32" t="e">
        <f>SUM(#REF!,#REF!)</f>
        <v>#REF!</v>
      </c>
    </row>
    <row r="33">
      <c r="A33" t="str">
        <v>ANDREA CELESTE IBAÐEZ RINCON</v>
      </c>
      <c r="B33" t="e">
        <f>SUM(#REF!,#REF!)</f>
        <v>#REF!</v>
      </c>
      <c r="C33">
        <v>0</v>
      </c>
      <c r="D33">
        <v>0</v>
      </c>
      <c r="E33" t="e">
        <f>_xludf.XLOOKUP(#REF!,#REF!,#REF!,0)</f>
        <v>#NAME?</v>
      </c>
      <c r="F33" t="e">
        <f>_xludf.XLOOKUP(#REF!,#REF!,#REF!,0)</f>
        <v>#NAME?</v>
      </c>
      <c r="G33" t="e">
        <f>SUM(#REF!,#REF!)</f>
        <v>#REF!</v>
      </c>
      <c r="M33" t="str">
        <v>=SUMAR.SI.CONJUNTO(Tabla2652[MONTO REAL],Tabla2652[ASESOR],[@Asesor],Tabla2652[RAMO],"VIDA")</v>
      </c>
    </row>
    <row r="34">
      <c r="A34" t="str">
        <v>ROCIO YANETH OCHOA IBARRA</v>
      </c>
      <c r="B34" t="e">
        <f>SUM(#REF!,#REF!)</f>
        <v>#REF!</v>
      </c>
      <c r="C34">
        <v>0</v>
      </c>
      <c r="D34">
        <v>0</v>
      </c>
      <c r="E34" t="e">
        <f>_xludf.XLOOKUP(#REF!,#REF!,#REF!,0)</f>
        <v>#NAME?</v>
      </c>
      <c r="F34" t="e">
        <f>_xludf.XLOOKUP(#REF!,#REF!,#REF!,0)</f>
        <v>#NAME?</v>
      </c>
      <c r="G34" t="e">
        <f>SUM(#REF!,#REF!)</f>
        <v>#REF!</v>
      </c>
    </row>
    <row r="35">
      <c r="A35" t="str">
        <v>ISAI ANTONIO ROJAS MARTINEZ</v>
      </c>
      <c r="B35" t="e">
        <f>SUM(#REF!,#REF!)</f>
        <v>#REF!</v>
      </c>
      <c r="C35">
        <v>0</v>
      </c>
      <c r="D35">
        <v>0</v>
      </c>
      <c r="E35" t="e">
        <f>_xludf.XLOOKUP(#REF!,#REF!,#REF!,0)</f>
        <v>#NAME?</v>
      </c>
      <c r="F35" t="e">
        <f>_xludf.XLOOKUP(#REF!,#REF!,#REF!,0)</f>
        <v>#NAME?</v>
      </c>
      <c r="G35" t="e">
        <f>SUM(#REF!,#REF!)</f>
        <v>#REF!</v>
      </c>
    </row>
    <row r="36">
      <c r="A36" t="str">
        <v>LILIANA IVETTE CASTILLO SANCHEZ</v>
      </c>
      <c r="B36" t="e">
        <f>SUM(#REF!,#REF!)</f>
        <v>#REF!</v>
      </c>
      <c r="C36">
        <v>0</v>
      </c>
      <c r="D36">
        <v>0</v>
      </c>
      <c r="E36" t="e">
        <f>_xludf.XLOOKUP(#REF!,#REF!,#REF!,0)</f>
        <v>#NAME?</v>
      </c>
      <c r="F36" t="e">
        <f>_xludf.XLOOKUP(#REF!,#REF!,#REF!,0)</f>
        <v>#NAME?</v>
      </c>
      <c r="G36" t="e">
        <f>SUM(#REF!,#REF!)</f>
        <v>#REF!</v>
      </c>
    </row>
    <row r="37">
      <c r="A37" t="str">
        <v>MARIA ELIZABETH LLAMAS LOPEZ</v>
      </c>
      <c r="B37" t="e">
        <f>SUM(#REF!,#REF!)</f>
        <v>#REF!</v>
      </c>
      <c r="C37">
        <v>0</v>
      </c>
      <c r="D37">
        <v>0</v>
      </c>
      <c r="E37" t="e">
        <f>_xludf.XLOOKUP(#REF!,#REF!,#REF!,0)</f>
        <v>#NAME?</v>
      </c>
      <c r="F37" t="e">
        <f>_xludf.XLOOKUP(#REF!,#REF!,#REF!,0)</f>
        <v>#NAME?</v>
      </c>
      <c r="G37" t="e">
        <f>SUM(#REF!,#REF!)</f>
        <v>#REF!</v>
      </c>
    </row>
    <row r="38">
      <c r="A38" t="str">
        <v>BRUNO BRAULIO MACIAS ALVAREZ</v>
      </c>
      <c r="B38" t="e">
        <f>SUM(#REF!,#REF!)</f>
        <v>#REF!</v>
      </c>
      <c r="C38">
        <v>0</v>
      </c>
      <c r="D38">
        <v>0</v>
      </c>
      <c r="E38" t="e">
        <f>_xludf.XLOOKUP(#REF!,#REF!,#REF!,0)</f>
        <v>#NAME?</v>
      </c>
      <c r="F38" t="e">
        <f>_xludf.XLOOKUP(#REF!,#REF!,#REF!,0)</f>
        <v>#NAME?</v>
      </c>
      <c r="G38" t="e">
        <f>SUM(#REF!,#REF!)</f>
        <v>#REF!</v>
      </c>
    </row>
    <row r="39">
      <c r="A39" t="str">
        <v>ENRIQUE ADRIAN GUTIERREZ JIMENEZ</v>
      </c>
      <c r="B39" t="e">
        <f>SUM(#REF!,#REF!)</f>
        <v>#REF!</v>
      </c>
      <c r="C39">
        <v>0</v>
      </c>
      <c r="D39">
        <v>0</v>
      </c>
      <c r="E39" t="e">
        <f>_xludf.XLOOKUP(#REF!,#REF!,#REF!,0)</f>
        <v>#NAME?</v>
      </c>
      <c r="F39" t="e">
        <f>_xludf.XLOOKUP(#REF!,#REF!,#REF!,0)</f>
        <v>#NAME?</v>
      </c>
      <c r="G39" t="e">
        <f>SUM(#REF!,#REF!)</f>
        <v>#REF!</v>
      </c>
    </row>
    <row r="40">
      <c r="A40" t="str">
        <v>MARIA FERNANDA CARLOS VAZQUEZ</v>
      </c>
      <c r="B40" t="e">
        <f>SUM(#REF!,#REF!)</f>
        <v>#REF!</v>
      </c>
      <c r="C40">
        <v>0</v>
      </c>
      <c r="D40">
        <v>0</v>
      </c>
      <c r="E40" t="e">
        <f>_xludf.XLOOKUP(#REF!,#REF!,#REF!,0)</f>
        <v>#NAME?</v>
      </c>
      <c r="F40" t="e">
        <f>_xludf.XLOOKUP(#REF!,#REF!,#REF!,0)</f>
        <v>#NAME?</v>
      </c>
      <c r="G40" t="e">
        <f>SUM(#REF!,#REF!)</f>
        <v>#REF!</v>
      </c>
    </row>
    <row r="41">
      <c r="A41" t="str">
        <v>MARIA JOSE GUZMAN ZAMORA</v>
      </c>
      <c r="B41" t="e">
        <f>SUM(#REF!,#REF!)</f>
        <v>#REF!</v>
      </c>
      <c r="C41">
        <v>0</v>
      </c>
      <c r="D41">
        <v>0</v>
      </c>
      <c r="E41" t="e">
        <f>_xludf.XLOOKUP(#REF!,#REF!,#REF!,0)</f>
        <v>#NAME?</v>
      </c>
      <c r="F41" t="e">
        <f>_xludf.XLOOKUP(#REF!,#REF!,#REF!,0)</f>
        <v>#NAME?</v>
      </c>
      <c r="G41" t="e">
        <f>SUM(#REF!,#REF!)</f>
        <v>#REF!</v>
      </c>
    </row>
    <row r="42">
      <c r="A42" t="str">
        <v>EVELYN CAROLINA VENEGAS IÐIGUEZ</v>
      </c>
      <c r="B42" t="e">
        <f>SUM(#REF!,#REF!)</f>
        <v>#REF!</v>
      </c>
      <c r="C42">
        <v>0</v>
      </c>
      <c r="D42">
        <v>0</v>
      </c>
      <c r="E42" t="e">
        <f>_xludf.XLOOKUP(#REF!,#REF!,#REF!,0)</f>
        <v>#NAME?</v>
      </c>
      <c r="F42" t="e">
        <f>_xludf.XLOOKUP(#REF!,#REF!,#REF!,0)</f>
        <v>#NAME?</v>
      </c>
      <c r="G42" t="e">
        <f>SUM(#REF!,#REF!)</f>
        <v>#REF!</v>
      </c>
    </row>
    <row r="43">
      <c r="A43" t="str">
        <v>PAULINA RODRIGUEZ DE LA MORA</v>
      </c>
      <c r="B43" t="e">
        <f>SUM(#REF!,#REF!)</f>
        <v>#REF!</v>
      </c>
      <c r="C43">
        <v>0</v>
      </c>
      <c r="D43">
        <v>0</v>
      </c>
      <c r="E43" t="e">
        <f>_xludf.XLOOKUP(#REF!,#REF!,#REF!,0)</f>
        <v>#NAME?</v>
      </c>
      <c r="F43" t="e">
        <f>_xludf.XLOOKUP(#REF!,#REF!,#REF!,0)</f>
        <v>#NAME?</v>
      </c>
      <c r="G43" t="e">
        <f>SUM(#REF!,#REF!)</f>
        <v>#REF!</v>
      </c>
    </row>
    <row r="44">
      <c r="A44" t="str">
        <v>ANA VERONICA GONZALEZ GAYTAN</v>
      </c>
      <c r="B44" t="e">
        <f>SUM(#REF!,#REF!)</f>
        <v>#REF!</v>
      </c>
      <c r="C44">
        <v>0</v>
      </c>
      <c r="D44">
        <v>0</v>
      </c>
      <c r="E44" t="e">
        <f>_xludf.XLOOKUP(#REF!,#REF!,#REF!,0)</f>
        <v>#NAME?</v>
      </c>
      <c r="F44" t="e">
        <f>_xludf.XLOOKUP(#REF!,#REF!,#REF!,0)</f>
        <v>#NAME?</v>
      </c>
      <c r="G44" t="e">
        <f>SUM(#REF!,#REF!)</f>
        <v>#REF!</v>
      </c>
    </row>
    <row r="45">
      <c r="A45" t="str">
        <v>MARIA TERESA ASENCIO LOZANO</v>
      </c>
      <c r="B45" t="e">
        <f>SUM(#REF!,#REF!)</f>
        <v>#REF!</v>
      </c>
      <c r="C45">
        <v>0</v>
      </c>
      <c r="D45">
        <v>0</v>
      </c>
      <c r="E45" t="e">
        <f>_xludf.XLOOKUP(#REF!,#REF!,#REF!,0)</f>
        <v>#NAME?</v>
      </c>
      <c r="F45" t="e">
        <f>_xludf.XLOOKUP(#REF!,#REF!,#REF!,0)</f>
        <v>#NAME?</v>
      </c>
      <c r="G45" t="e">
        <f>SUM(#REF!,#REF!)</f>
        <v>#REF!</v>
      </c>
    </row>
    <row r="46">
      <c r="A46" t="str">
        <v>LUIS GUILLERMO OLGUIN FERNANDEZ</v>
      </c>
      <c r="B46" t="e">
        <f>SUM(#REF!,#REF!)</f>
        <v>#REF!</v>
      </c>
      <c r="C46">
        <v>0</v>
      </c>
      <c r="D46">
        <v>0</v>
      </c>
      <c r="E46" t="e">
        <f>_xludf.XLOOKUP(#REF!,#REF!,#REF!,0)</f>
        <v>#NAME?</v>
      </c>
      <c r="F46" t="e">
        <f>_xludf.XLOOKUP(#REF!,#REF!,#REF!,0)</f>
        <v>#NAME?</v>
      </c>
      <c r="G46" t="e">
        <f>SUM(#REF!,#REF!)</f>
        <v>#REF!</v>
      </c>
    </row>
    <row r="47">
      <c r="A47" t="str">
        <v>LAURA DOLORES MONTAÐO MONTAÐO</v>
      </c>
      <c r="B47" t="e">
        <f>SUM(#REF!,#REF!)</f>
        <v>#REF!</v>
      </c>
      <c r="C47">
        <v>0</v>
      </c>
      <c r="D47">
        <v>0</v>
      </c>
      <c r="E47" t="e">
        <f>_xludf.XLOOKUP(#REF!,#REF!,#REF!,0)</f>
        <v>#NAME?</v>
      </c>
      <c r="F47" t="e">
        <f>_xludf.XLOOKUP(#REF!,#REF!,#REF!,0)</f>
        <v>#NAME?</v>
      </c>
      <c r="G47" t="e">
        <f>SUM(#REF!,#REF!)</f>
        <v>#REF!</v>
      </c>
    </row>
    <row r="48">
      <c r="A48" t="str">
        <v>GERARDO DANIEL BARAJAS TORRES</v>
      </c>
      <c r="B48" t="e">
        <f>SUM(#REF!,#REF!)</f>
        <v>#REF!</v>
      </c>
      <c r="C48">
        <v>0</v>
      </c>
      <c r="D48">
        <v>0</v>
      </c>
      <c r="E48" t="e">
        <f>_xludf.XLOOKUP(#REF!,#REF!,#REF!,0)</f>
        <v>#NAME?</v>
      </c>
      <c r="F48" t="e">
        <f>_xludf.XLOOKUP(#REF!,#REF!,#REF!,0)</f>
        <v>#NAME?</v>
      </c>
      <c r="G48" t="e">
        <f>SUM(#REF!,#REF!)</f>
        <v>#REF!</v>
      </c>
    </row>
    <row r="49">
      <c r="A49" t="str">
        <v>JORGE ANTONIO LUNA LARA</v>
      </c>
      <c r="B49" t="e">
        <f>SUM(#REF!,#REF!)</f>
        <v>#REF!</v>
      </c>
      <c r="C49">
        <v>0</v>
      </c>
      <c r="D49">
        <v>0</v>
      </c>
      <c r="E49" t="e">
        <f>_xludf.XLOOKUP(#REF!,#REF!,#REF!,0)</f>
        <v>#NAME?</v>
      </c>
      <c r="F49" t="e">
        <f>_xludf.XLOOKUP(#REF!,#REF!,#REF!,0)</f>
        <v>#NAME?</v>
      </c>
      <c r="G49" t="e">
        <f>SUM(#REF!,#REF!)</f>
        <v>#REF!</v>
      </c>
    </row>
    <row r="50">
      <c r="A50" t="str">
        <v>JOSE RENE DE ALBA MORALES</v>
      </c>
      <c r="B50" t="e">
        <f>SUM(#REF!,#REF!)</f>
        <v>#REF!</v>
      </c>
      <c r="C50">
        <v>0</v>
      </c>
      <c r="D50">
        <v>0</v>
      </c>
      <c r="E50" t="e">
        <f>_xludf.XLOOKUP(#REF!,#REF!,#REF!,0)</f>
        <v>#NAME?</v>
      </c>
      <c r="F50" t="e">
        <f>_xludf.XLOOKUP(#REF!,#REF!,#REF!,0)</f>
        <v>#NAME?</v>
      </c>
      <c r="G50" t="e">
        <f>SUM(#REF!,#REF!)</f>
        <v>#REF!</v>
      </c>
    </row>
    <row r="51">
      <c r="A51" t="str">
        <v>JOCELYN URIBE VARGAS</v>
      </c>
      <c r="B51" t="e">
        <f>SUM(#REF!,#REF!)</f>
        <v>#REF!</v>
      </c>
      <c r="E51" t="e">
        <f>_xludf.XLOOKUP(#REF!,#REF!,#REF!,0)</f>
        <v>#NAME?</v>
      </c>
      <c r="F51" t="e">
        <f>_xludf.XLOOKUP(#REF!,#REF!,#REF!,0)</f>
        <v>#NAME?</v>
      </c>
      <c r="G51" t="e">
        <f>SUM(#REF!,#REF!)</f>
        <v>#REF!</v>
      </c>
    </row>
    <row r="52">
      <c r="A52" t="str">
        <v>Total</v>
      </c>
      <c r="B52" t="e">
        <f>SUM(#REF!)</f>
        <v>#REF!</v>
      </c>
      <c r="C52" t="e">
        <f>SUM(#REF!)</f>
        <v>#REF!</v>
      </c>
      <c r="D52" t="e">
        <f>SUM(#REF!)</f>
        <v>#REF!</v>
      </c>
      <c r="E52" t="e">
        <f>SUM(#REF!)</f>
        <v>#REF!</v>
      </c>
      <c r="F52" t="e">
        <f>SUM(#REF!)</f>
        <v>#REF!</v>
      </c>
      <c r="G52" t="e">
        <f>SUM(#REF!)</f>
        <v>#REF!</v>
      </c>
    </row>
    <row r="58">
      <c r="A58" t="str">
        <v>ASESOR</v>
      </c>
      <c r="B58" t="str">
        <v>FRECUENCIA</v>
      </c>
      <c r="C58" t="str">
        <v>RAMO</v>
      </c>
      <c r="D58" t="str">
        <v>MONTO ANUAL</v>
      </c>
      <c r="E58" t="str">
        <v>MONTO REAL</v>
      </c>
    </row>
    <row r="59">
      <c r="A59" t="str">
        <v>ANA LAURA CONTRERAS IÑIGUEZ 113450</v>
      </c>
      <c r="B59" t="str">
        <v>TRIMESTRAL</v>
      </c>
      <c r="C59" t="str">
        <v>VIDA</v>
      </c>
      <c r="D59">
        <v>90665.65769852999</v>
      </c>
      <c r="E59" t="e" cm="1">
        <f t="array" ref="E59">D59/_xludf.IFS(B59="MENSUAL",12,B59="TRIMESTRAL",4,B59="SEMESTRAL",2,B59="ANUAL",1)</f>
        <v>#NAME?</v>
      </c>
    </row>
    <row r="60">
      <c r="A60" t="str">
        <v>ANA LAURA CONTRERAS IÑIGUEZ 113450</v>
      </c>
      <c r="B60" t="str">
        <v>MENSUAL</v>
      </c>
      <c r="C60" t="str">
        <v>GMM</v>
      </c>
      <c r="D60">
        <v>32698.68</v>
      </c>
      <c r="E60" t="e" cm="1">
        <f t="array" ref="E60">D60/_xludf.IFS(B60="MENSUAL",12,B60="TRIMESTRAL",4,B60="SEMESTRAL",2,B60="ANUAL",1)</f>
        <v>#NAME?</v>
      </c>
    </row>
    <row r="61">
      <c r="A61" t="str">
        <v>DARINKA UREÑA CASILLAS 90355</v>
      </c>
      <c r="B61" t="str">
        <v>ANUAL</v>
      </c>
      <c r="C61" t="str">
        <v>VIDA</v>
      </c>
      <c r="D61">
        <v>31379.52454658</v>
      </c>
      <c r="E61" t="e" cm="1">
        <f t="array" ref="E61">D61/_xludf.IFS(B61="MENSUAL",12,B61="TRIMESTRAL",4,B61="SEMESTRAL",2,B61="ANUAL",1)</f>
        <v>#NAME?</v>
      </c>
    </row>
    <row r="62">
      <c r="A62" t="str">
        <v>DARINKA UREÑA CASILLAS 90355</v>
      </c>
      <c r="B62" t="str">
        <v>ANUAL</v>
      </c>
      <c r="C62" t="str">
        <v>VIDA</v>
      </c>
      <c r="D62">
        <v>70991.24742639</v>
      </c>
      <c r="E62" t="e" cm="1">
        <f t="array" ref="E62">D62/_xludf.IFS(B62="MENSUAL",12,B62="TRIMESTRAL",4,B62="SEMESTRAL",2,B62="ANUAL",1)</f>
        <v>#NAME?</v>
      </c>
    </row>
    <row r="63">
      <c r="A63" t="str">
        <v>DARINKA UREÑA CASILLAS 90355</v>
      </c>
      <c r="B63" t="str">
        <v>ANUAL</v>
      </c>
      <c r="C63" t="str">
        <v>VIDA</v>
      </c>
      <c r="D63">
        <v>38453.740114980006</v>
      </c>
      <c r="E63" t="e" cm="1">
        <f t="array" ref="E63">D63/_xludf.IFS(B63="MENSUAL",12,B63="TRIMESTRAL",4,B63="SEMESTRAL",2,B63="ANUAL",1)</f>
        <v>#NAME?</v>
      </c>
    </row>
    <row r="64">
      <c r="A64" t="str">
        <v>DESIREE DE LA PEÑA OROZCO 80122</v>
      </c>
      <c r="B64" t="str">
        <v>ANUAL</v>
      </c>
      <c r="C64" t="str">
        <v>VIDA</v>
      </c>
      <c r="D64">
        <v>48509.0389845</v>
      </c>
      <c r="E64" t="e" cm="1">
        <f t="array" ref="E64">D64/_xludf.IFS(B64="MENSUAL",12,B64="TRIMESTRAL",4,B64="SEMESTRAL",2,B64="ANUAL",1)</f>
        <v>#NAME?</v>
      </c>
    </row>
    <row r="65">
      <c r="A65" t="str">
        <v>DESIREE DE LA PEÑA OROZCO 80122</v>
      </c>
      <c r="B65" t="str">
        <v>ANUAL</v>
      </c>
      <c r="C65" t="str">
        <v>VIDA</v>
      </c>
      <c r="D65">
        <v>22599.2049394</v>
      </c>
      <c r="E65" t="e" cm="1">
        <f t="array" ref="E65">D65/_xludf.IFS(B65="MENSUAL",12,B65="TRIMESTRAL",4,B65="SEMESTRAL",2,B65="ANUAL",1)</f>
        <v>#NAME?</v>
      </c>
    </row>
    <row r="66">
      <c r="A66" t="str">
        <v>GABRIELA CASTAÑEDA SALAZAR 105696</v>
      </c>
      <c r="B66" t="str">
        <v>ANUAL</v>
      </c>
      <c r="C66" t="str">
        <v>VIDA</v>
      </c>
      <c r="D66">
        <v>24320.317863540004</v>
      </c>
      <c r="E66" t="e" cm="1">
        <f t="array" ref="E66">D66/_xludf.IFS(B66="MENSUAL",12,B66="TRIMESTRAL",4,B66="SEMESTRAL",2,B66="ANUAL",1)</f>
        <v>#NAME?</v>
      </c>
    </row>
    <row r="67">
      <c r="A67" t="str">
        <v>GABRIELA CASTAÑEDA SALAZAR 105696</v>
      </c>
      <c r="B67" t="str">
        <v>SEMESTRAL</v>
      </c>
      <c r="C67" t="str">
        <v>VIDA</v>
      </c>
      <c r="D67">
        <v>24684.439499999997</v>
      </c>
      <c r="E67" t="e" cm="1">
        <f t="array" ref="E67">D67/_xludf.IFS(B67="MENSUAL",12,B67="TRIMESTRAL",4,B67="SEMESTRAL",2,B67="ANUAL",1)</f>
        <v>#NAME?</v>
      </c>
    </row>
    <row r="68">
      <c r="A68" t="str">
        <v>JOCELYN URIBE VARGAS 90177</v>
      </c>
      <c r="B68" t="str">
        <v>MENSUAL</v>
      </c>
      <c r="C68" t="str">
        <v>GMM</v>
      </c>
      <c r="D68">
        <v>75653.52</v>
      </c>
      <c r="E68" t="e" cm="1">
        <f t="array" ref="E68">D68/_xludf.IFS(B68="MENSUAL",12,B68="TRIMESTRAL",4,B68="SEMESTRAL",2,B68="ANUAL",1)</f>
        <v>#NAME?</v>
      </c>
    </row>
    <row r="69">
      <c r="A69" t="str">
        <v>JOSE ANTEMIO OLIVA SANTOS 118246</v>
      </c>
      <c r="B69" t="str">
        <v>ANUAL</v>
      </c>
      <c r="C69" t="str">
        <v>VIDA</v>
      </c>
      <c r="D69">
        <v>19035.93761868</v>
      </c>
      <c r="E69" t="e" cm="1">
        <f t="array" ref="E69">D69/_xludf.IFS(B69="MENSUAL",12,B69="TRIMESTRAL",4,B69="SEMESTRAL",2,B69="ANUAL",1)</f>
        <v>#NAME?</v>
      </c>
    </row>
    <row r="70">
      <c r="A70" t="str">
        <v>JOSE EDUARDO EZQUERRO BARQUERA 102825</v>
      </c>
      <c r="B70" t="str">
        <v>MENSUAL</v>
      </c>
      <c r="C70" t="str">
        <v>VIDA</v>
      </c>
      <c r="D70">
        <v>30271.3578590472</v>
      </c>
      <c r="E70" t="e" cm="1">
        <f t="array" ref="E70">D70/_xludf.IFS(B70="MENSUAL",12,B70="TRIMESTRAL",4,B70="SEMESTRAL",2,B70="ANUAL",1)</f>
        <v>#NAME?</v>
      </c>
    </row>
    <row r="71">
      <c r="A71" t="str">
        <v>JULIANA RIASCOS VALENCIA 100677</v>
      </c>
      <c r="B71" t="str">
        <v>MENSUAL</v>
      </c>
      <c r="C71" t="str">
        <v>VIDA</v>
      </c>
      <c r="D71">
        <v>65652.28435295999</v>
      </c>
      <c r="E71" t="e" cm="1">
        <f t="array" ref="E71">D71/_xludf.IFS(B71="MENSUAL",12,B71="TRIMESTRAL",4,B71="SEMESTRAL",2,B71="ANUAL",1)</f>
        <v>#NAME?</v>
      </c>
    </row>
    <row r="72">
      <c r="A72" t="str">
        <v>MARIA FERNANDA RIOS BERNAL 103982</v>
      </c>
      <c r="B72" t="str">
        <v>MENSUAL</v>
      </c>
      <c r="C72" t="str">
        <v>GMM</v>
      </c>
      <c r="D72">
        <v>46685.04</v>
      </c>
      <c r="E72" t="e" cm="1">
        <f t="array" ref="E72">D72/_xludf.IFS(B72="MENSUAL",12,B72="TRIMESTRAL",4,B72="SEMESTRAL",2,B72="ANUAL",1)</f>
        <v>#NAME?</v>
      </c>
    </row>
    <row r="73">
      <c r="A73" t="str">
        <v>MARIA FERNANDA RIOS BERNAL 103982</v>
      </c>
      <c r="B73" t="str">
        <v>MENSUAL</v>
      </c>
      <c r="C73" t="str">
        <v>VIDA</v>
      </c>
      <c r="D73">
        <v>43200.194830027205</v>
      </c>
      <c r="E73" t="e" cm="1">
        <f t="array" ref="E73">D73/_xludf.IFS(B73="MENSUAL",12,B73="TRIMESTRAL",4,B73="SEMESTRAL",2,B73="ANUAL",1)</f>
        <v>#NAME?</v>
      </c>
    </row>
    <row r="74">
      <c r="A74" t="str">
        <v>MARIA FERNANDA RIOS BERNAL 103982</v>
      </c>
      <c r="B74" t="str">
        <v>ANUAL</v>
      </c>
      <c r="C74" t="str">
        <v>GMM</v>
      </c>
      <c r="D74">
        <v>34753.79</v>
      </c>
      <c r="E74" t="e" cm="1">
        <f t="array" ref="E74">D74/_xludf.IFS(B74="MENSUAL",12,B74="TRIMESTRAL",4,B74="SEMESTRAL",2,B74="ANUAL",1)</f>
        <v>#NAME?</v>
      </c>
    </row>
    <row r="75">
      <c r="A75" t="str">
        <v>MARIA FERNANDA RIOS BERNAL 103982</v>
      </c>
      <c r="B75" t="str">
        <v>ANUAL</v>
      </c>
      <c r="C75" t="str">
        <v>GMM</v>
      </c>
      <c r="D75">
        <v>31691.71</v>
      </c>
      <c r="E75" t="e" cm="1">
        <f t="array" ref="E75">D75/_xludf.IFS(B75="MENSUAL",12,B75="TRIMESTRAL",4,B75="SEMESTRAL",2,B75="ANUAL",1)</f>
        <v>#NAME?</v>
      </c>
    </row>
    <row r="76">
      <c r="A76" t="str">
        <v>MARIA FERNANDA RIOS BERNAL 103982</v>
      </c>
      <c r="B76" t="str">
        <v>ANUAL</v>
      </c>
      <c r="C76" t="str">
        <v>VIDA</v>
      </c>
      <c r="D76">
        <v>32969.95060878</v>
      </c>
      <c r="E76" t="e" cm="1">
        <f t="array" ref="E76">D76/_xludf.IFS(B76="MENSUAL",12,B76="TRIMESTRAL",4,B76="SEMESTRAL",2,B76="ANUAL",1)</f>
        <v>#NAME?</v>
      </c>
    </row>
    <row r="77">
      <c r="A77" t="str">
        <v>MARIA FERNANDA RIOS BERNAL 103982</v>
      </c>
      <c r="B77" t="str">
        <v>MENSUAL</v>
      </c>
      <c r="C77" t="str">
        <v>VIDA</v>
      </c>
      <c r="D77">
        <v>73001.25637902</v>
      </c>
      <c r="E77" t="e" cm="1">
        <f t="array" ref="E77">D77/_xludf.IFS(B77="MENSUAL",12,B77="TRIMESTRAL",4,B77="SEMESTRAL",2,B77="ANUAL",1)</f>
        <v>#NAME?</v>
      </c>
    </row>
    <row r="78">
      <c r="A78" t="str">
        <v>MARICELA ARREOLA LOPEZ 80925</v>
      </c>
      <c r="B78" t="str">
        <v>ANUAL</v>
      </c>
      <c r="C78" t="str">
        <v>VIDA</v>
      </c>
      <c r="D78">
        <v>22712.349998100002</v>
      </c>
      <c r="E78" t="e" cm="1">
        <f t="array" ref="E78">D78/_xludf.IFS(B78="MENSUAL",12,B78="TRIMESTRAL",4,B78="SEMESTRAL",2,B78="ANUAL",1)</f>
        <v>#NAME?</v>
      </c>
    </row>
    <row r="79">
      <c r="A79" t="str">
        <v>MARICELA ARREOLA LOPEZ 80925</v>
      </c>
      <c r="B79" t="str">
        <v>MENSUAL</v>
      </c>
      <c r="C79" t="str">
        <v>VIDA</v>
      </c>
      <c r="D79">
        <v>35992.75065408</v>
      </c>
      <c r="E79" t="e" cm="1">
        <f t="array" ref="E79">D79/_xludf.IFS(B79="MENSUAL",12,B79="TRIMESTRAL",4,B79="SEMESTRAL",2,B79="ANUAL",1)</f>
        <v>#NAME?</v>
      </c>
    </row>
    <row r="80">
      <c r="A80" t="str">
        <v>MONSERRAT VELASCO SANTOS 117440</v>
      </c>
      <c r="B80" t="str">
        <v>ANUAL</v>
      </c>
      <c r="C80" t="str">
        <v>VIDA</v>
      </c>
      <c r="D80">
        <v>35728.18760385</v>
      </c>
      <c r="E80" t="e" cm="1">
        <f t="array" ref="E80">D80/_xludf.IFS(B80="MENSUAL",12,B80="TRIMESTRAL",4,B80="SEMESTRAL",2,B80="ANUAL",1)</f>
        <v>#NAME?</v>
      </c>
    </row>
    <row r="81">
      <c r="A81" t="str">
        <v>PAULINA LIZBETH SOTO MUÑIZ 104750</v>
      </c>
      <c r="B81" t="str">
        <v>ANUAL</v>
      </c>
      <c r="C81" t="str">
        <v>GMM</v>
      </c>
      <c r="D81">
        <v>56328.79</v>
      </c>
      <c r="E81" t="e" cm="1">
        <f t="array" ref="E81">D81/_xludf.IFS(B81="MENSUAL",12,B81="TRIMESTRAL",4,B81="SEMESTRAL",2,B81="ANUAL",1)</f>
        <v>#NAME?</v>
      </c>
    </row>
    <row r="82">
      <c r="A82" t="str">
        <v>PAULINA LIZBETH SOTO MUÑIZ 104750</v>
      </c>
      <c r="B82" t="str">
        <v>SEMESTRAL</v>
      </c>
      <c r="C82" t="str">
        <v>VIDA</v>
      </c>
      <c r="D82">
        <v>22474.10284728</v>
      </c>
      <c r="E82" t="e" cm="1">
        <f t="array" ref="E82">D82/_xludf.IFS(B82="MENSUAL",12,B82="TRIMESTRAL",4,B82="SEMESTRAL",2,B82="ANUAL",1)</f>
        <v>#NAME?</v>
      </c>
    </row>
    <row r="83">
      <c r="A83" t="str">
        <v>PAULINA RODRIGUEZ DE LA MORA 65046</v>
      </c>
      <c r="B83" t="str">
        <v>ANUAL</v>
      </c>
      <c r="C83" t="str">
        <v>GMM</v>
      </c>
      <c r="D83">
        <v>19825.63</v>
      </c>
      <c r="E83" t="e" cm="1">
        <f t="array" ref="E83">D83/_xludf.IFS(B83="MENSUAL",12,B83="TRIMESTRAL",4,B83="SEMESTRAL",2,B83="ANUAL",1)</f>
        <v>#NAME?</v>
      </c>
    </row>
    <row r="84">
      <c r="A84" t="str">
        <v>RAFAEL ALBERTO SUAREZ BAQUEDANO 47116</v>
      </c>
      <c r="B84" t="str">
        <v>ANUAL</v>
      </c>
      <c r="C84" t="str">
        <v>GMM</v>
      </c>
      <c r="D84">
        <v>14673.25</v>
      </c>
      <c r="E84" t="e" cm="1">
        <f t="array" ref="E84">D84/_xludf.IFS(B84="MENSUAL",12,B84="TRIMESTRAL",4,B84="SEMESTRAL",2,B84="ANUAL",1)</f>
        <v>#NAME?</v>
      </c>
    </row>
    <row r="85">
      <c r="A85" t="str">
        <v>RAFAEL ALBERTO SUAREZ BAQUEDANO 47116</v>
      </c>
      <c r="B85" t="str">
        <v>ANUAL</v>
      </c>
      <c r="C85" t="str">
        <v>VIDA</v>
      </c>
      <c r="D85">
        <v>30508.596767910003</v>
      </c>
      <c r="E85" t="e" cm="1">
        <f t="array" ref="E85">D85/_xludf.IFS(B85="MENSUAL",12,B85="TRIMESTRAL",4,B85="SEMESTRAL",2,B85="ANUAL",1)</f>
        <v>#NAME?</v>
      </c>
    </row>
    <row r="86">
      <c r="A86" t="str">
        <v>RAFAEL ALBERTO SUAREZ BAQUEDANO 47116</v>
      </c>
      <c r="B86" t="str">
        <v>SEMESTRAL</v>
      </c>
      <c r="C86" t="str">
        <v>VIDA</v>
      </c>
      <c r="D86">
        <v>30131.1832776</v>
      </c>
      <c r="E86" t="e" cm="1">
        <f t="array" ref="E86">D86/_xludf.IFS(B86="MENSUAL",12,B86="TRIMESTRAL",4,B86="SEMESTRAL",2,B86="ANUAL",1)</f>
        <v>#NAME?</v>
      </c>
    </row>
    <row r="87">
      <c r="A87" t="str">
        <v>ROGELIO TORRES ORTIZ 104718</v>
      </c>
      <c r="B87" t="str">
        <v>SEMESTRAL</v>
      </c>
      <c r="C87" t="str">
        <v>VIDA</v>
      </c>
      <c r="D87">
        <v>35158.812</v>
      </c>
      <c r="E87" t="e" cm="1">
        <f t="array" ref="E87">D87/_xludf.IFS(B87="MENSUAL",12,B87="TRIMESTRAL",4,B87="SEMESTRAL",2,B87="ANUAL",1)</f>
        <v>#NAME?</v>
      </c>
    </row>
  </sheetData>
  <mergeCells count="1">
    <mergeCell ref="A4:H4"/>
  </mergeCells>
  <pageMargins left="0.7" right="0.7" top="0.75" bottom="0.75" header="0.3" footer="0.3"/>
  <ignoredErrors>
    <ignoredError numberStoredAsText="1" sqref="A4:N8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7"/>
  <sheetViews>
    <sheetView workbookViewId="0" rightToLeft="0"/>
  </sheetViews>
  <sheetData>
    <row r="1">
      <c r="A1" t="str">
        <v>Asesor</v>
      </c>
      <c r="B1" t="str">
        <v xml:space="preserve">Pólizas </v>
      </c>
      <c r="C1" t="str">
        <v>Vida</v>
      </c>
      <c r="D1" t="str">
        <v>Prima Pagada vida</v>
      </c>
      <c r="E1" t="str">
        <v>Gmm</v>
      </c>
      <c r="F1" t="str">
        <v>Prima Pagada gmm</v>
      </c>
      <c r="G1" t="str">
        <v>Prima total</v>
      </c>
    </row>
    <row r="2">
      <c r="A2" t="str">
        <v>DARINKA UREÐA CASILLAS</v>
      </c>
      <c r="B2">
        <v>4</v>
      </c>
      <c r="C2">
        <v>4</v>
      </c>
      <c r="D2">
        <v>140824.51208795002</v>
      </c>
      <c r="E2">
        <v>0</v>
      </c>
      <c r="F2">
        <v>0</v>
      </c>
      <c r="G2">
        <v>174469.28677022</v>
      </c>
    </row>
    <row r="3">
      <c r="A3" t="str">
        <v>MARIA FERNANDA RIOS BERNAL</v>
      </c>
      <c r="B3">
        <v>4.5</v>
      </c>
      <c r="C3">
        <v>3</v>
      </c>
      <c r="D3">
        <v>42653.4048762006</v>
      </c>
      <c r="E3">
        <v>1.5</v>
      </c>
      <c r="F3">
        <v>70335.92</v>
      </c>
      <c r="G3">
        <v>112989.3248762006</v>
      </c>
      <c r="I3" t="str">
        <v>CAMPEONES:</v>
      </c>
    </row>
    <row r="4">
      <c r="A4" t="str">
        <v>DESIREE DE LA PEÐA OROZCO</v>
      </c>
      <c r="B4">
        <v>2</v>
      </c>
      <c r="C4">
        <v>2</v>
      </c>
      <c r="D4">
        <v>71108.24392390001</v>
      </c>
      <c r="E4">
        <v>0</v>
      </c>
      <c r="F4">
        <v>0</v>
      </c>
      <c r="G4">
        <v>71108.24392390001</v>
      </c>
      <c r="I4" t="str">
        <v>NOVATO POLIZAS VIDA</v>
      </c>
      <c r="J4" t="str">
        <v>IVAN</v>
      </c>
    </row>
    <row r="5">
      <c r="A5" t="str">
        <v>PAULINA LIZBETH SOTO MUÐIZ</v>
      </c>
      <c r="B5">
        <v>1.5</v>
      </c>
      <c r="C5">
        <v>1</v>
      </c>
      <c r="D5">
        <v>11237.05142364</v>
      </c>
      <c r="E5">
        <v>0.5</v>
      </c>
      <c r="F5">
        <v>56328.79</v>
      </c>
      <c r="G5">
        <v>67565.84142364</v>
      </c>
      <c r="I5" t="str">
        <v>PRO POLIZAS VIDA</v>
      </c>
      <c r="J5" t="str">
        <v>DARINKA</v>
      </c>
    </row>
    <row r="6">
      <c r="A6" t="str">
        <v>RAFAEL ALBERTO SUAREZ BAQUEDANO</v>
      </c>
      <c r="B6">
        <v>2.5</v>
      </c>
      <c r="C6">
        <v>2</v>
      </c>
      <c r="D6">
        <v>45574.18840671</v>
      </c>
      <c r="E6">
        <v>0.5</v>
      </c>
      <c r="F6">
        <v>14673.25</v>
      </c>
      <c r="G6">
        <v>60247.43840671</v>
      </c>
      <c r="I6" t="str">
        <v>NOVATO PRIMA VIDA</v>
      </c>
      <c r="J6" t="str">
        <v>MONSE</v>
      </c>
    </row>
    <row r="7">
      <c r="A7" t="str">
        <v>GABRIELA CASTAÐEDA SALAZAR</v>
      </c>
      <c r="B7">
        <v>2</v>
      </c>
      <c r="C7">
        <v>2</v>
      </c>
      <c r="D7">
        <v>36662.53761354</v>
      </c>
      <c r="E7">
        <v>0</v>
      </c>
      <c r="F7">
        <v>0</v>
      </c>
      <c r="G7">
        <v>36662.53761354</v>
      </c>
      <c r="I7" t="str">
        <v>PRO PRIMA VIDA</v>
      </c>
      <c r="J7" t="str">
        <v>DARINKA</v>
      </c>
    </row>
    <row r="8">
      <c r="A8" t="str">
        <v>MONSERRAT VELASCO SANTOS</v>
      </c>
      <c r="B8">
        <v>1</v>
      </c>
      <c r="C8">
        <v>1</v>
      </c>
      <c r="D8">
        <v>35728.18760385</v>
      </c>
      <c r="E8">
        <v>0</v>
      </c>
      <c r="F8">
        <v>0</v>
      </c>
      <c r="G8">
        <v>35728.18760385</v>
      </c>
      <c r="I8" t="str">
        <v>NOVATO POLIZAS GMM</v>
      </c>
      <c r="J8" t="str">
        <v xml:space="preserve">ANA </v>
      </c>
    </row>
    <row r="9">
      <c r="A9" t="str">
        <v>VELIA PATRICIA BERNAL RAMOS</v>
      </c>
      <c r="B9">
        <v>1</v>
      </c>
      <c r="C9">
        <v>1</v>
      </c>
      <c r="D9">
        <v>30547.31</v>
      </c>
      <c r="E9">
        <v>0</v>
      </c>
      <c r="F9">
        <v>0</v>
      </c>
      <c r="G9">
        <v>30547.31</v>
      </c>
      <c r="I9" t="str">
        <v>PRO POLIZAS GMM</v>
      </c>
      <c r="J9" t="str">
        <v>FER RIOS</v>
      </c>
    </row>
    <row r="10">
      <c r="A10" t="str">
        <v>SOFIA CAMPILLO VASCONCELOS</v>
      </c>
      <c r="B10">
        <v>2</v>
      </c>
      <c r="C10">
        <v>2</v>
      </c>
      <c r="D10">
        <v>29345.32</v>
      </c>
      <c r="E10">
        <v>0</v>
      </c>
      <c r="F10">
        <v>0</v>
      </c>
      <c r="G10">
        <v>29345.32</v>
      </c>
      <c r="I10" t="str">
        <v>NOVATO PRIMA GMM</v>
      </c>
      <c r="J10" t="str">
        <v xml:space="preserve">ANA </v>
      </c>
    </row>
    <row r="11">
      <c r="A11" t="str">
        <v>MARICELA ARREOLA LOPEZ</v>
      </c>
      <c r="B11">
        <v>2</v>
      </c>
      <c r="C11">
        <v>2</v>
      </c>
      <c r="D11">
        <v>25711.745885940003</v>
      </c>
      <c r="E11">
        <v>0</v>
      </c>
      <c r="F11">
        <v>0</v>
      </c>
      <c r="G11">
        <v>25711.745885940003</v>
      </c>
      <c r="I11" t="str">
        <v>PRO PRIMAS GMM</v>
      </c>
      <c r="J11" t="str">
        <v>FER RIOS</v>
      </c>
    </row>
    <row r="12">
      <c r="A12" t="str">
        <v>ANA LAURA CONTRERAS IÐIGUEZ</v>
      </c>
      <c r="B12">
        <v>1.5</v>
      </c>
      <c r="C12">
        <v>1</v>
      </c>
      <c r="D12">
        <v>22666.414424632498</v>
      </c>
      <c r="E12">
        <v>0.5</v>
      </c>
      <c r="F12">
        <v>2724.89</v>
      </c>
      <c r="G12">
        <v>25391.304424632497</v>
      </c>
    </row>
    <row r="13">
      <c r="A13" t="str">
        <v>PAULA ANGELICA LOMELI CAZARES</v>
      </c>
      <c r="B13">
        <v>2</v>
      </c>
      <c r="C13">
        <v>2</v>
      </c>
      <c r="D13">
        <v>20920.49</v>
      </c>
      <c r="E13">
        <v>0</v>
      </c>
      <c r="F13">
        <v>0</v>
      </c>
      <c r="G13">
        <v>20920.49</v>
      </c>
    </row>
    <row r="14">
      <c r="A14" t="str">
        <v>PAULINA RODRIGUEZ DE LA MORA</v>
      </c>
      <c r="B14">
        <v>0.5</v>
      </c>
      <c r="C14">
        <v>0</v>
      </c>
      <c r="D14">
        <v>0</v>
      </c>
      <c r="E14">
        <v>0.5</v>
      </c>
      <c r="F14">
        <v>19825.63</v>
      </c>
      <c r="G14">
        <v>19825.63</v>
      </c>
    </row>
    <row r="15">
      <c r="A15" t="str">
        <v>JOSE ANTEMIO OLIVA SANTOS</v>
      </c>
      <c r="B15">
        <v>1</v>
      </c>
      <c r="C15">
        <v>1</v>
      </c>
      <c r="D15">
        <v>19035.93761868</v>
      </c>
      <c r="E15">
        <v>0</v>
      </c>
      <c r="F15">
        <v>0</v>
      </c>
      <c r="G15">
        <v>19035.93761868</v>
      </c>
    </row>
    <row r="16">
      <c r="A16" t="str">
        <v>ROGELIO TORRES ORTIZ</v>
      </c>
      <c r="B16">
        <v>1</v>
      </c>
      <c r="C16">
        <v>1</v>
      </c>
      <c r="D16">
        <v>17579.406</v>
      </c>
      <c r="E16">
        <v>0</v>
      </c>
      <c r="F16">
        <v>0</v>
      </c>
      <c r="G16">
        <v>17579.406</v>
      </c>
    </row>
    <row r="17">
      <c r="A17" t="str">
        <v>JOCELYN URIBE VARGAS</v>
      </c>
      <c r="B17">
        <v>0.5</v>
      </c>
      <c r="C17">
        <v>0</v>
      </c>
      <c r="D17">
        <v>0</v>
      </c>
      <c r="E17">
        <v>0.5</v>
      </c>
      <c r="F17">
        <v>6304.46</v>
      </c>
      <c r="G17">
        <v>6304.46</v>
      </c>
    </row>
    <row r="18">
      <c r="A18" t="str">
        <v>JULIANA RIASCOS VALENCIA</v>
      </c>
      <c r="B18">
        <v>1</v>
      </c>
      <c r="C18">
        <v>1</v>
      </c>
      <c r="D18">
        <v>5471.023696079999</v>
      </c>
      <c r="E18">
        <v>0</v>
      </c>
      <c r="F18">
        <v>0</v>
      </c>
      <c r="G18">
        <v>5471.023696079999</v>
      </c>
    </row>
    <row r="19">
      <c r="A19" t="str">
        <v>MARIO IVAN ROMERO GONZALEZ</v>
      </c>
      <c r="B19">
        <v>3</v>
      </c>
      <c r="C19">
        <v>3</v>
      </c>
      <c r="D19">
        <v>4872.94</v>
      </c>
      <c r="E19">
        <v>0</v>
      </c>
      <c r="F19">
        <v>0</v>
      </c>
      <c r="G19">
        <v>4872.94</v>
      </c>
    </row>
    <row r="20">
      <c r="A20" t="str">
        <v>JOSE EDUARDO EZQUERRO BARQUERA</v>
      </c>
      <c r="B20">
        <v>1</v>
      </c>
      <c r="C20">
        <v>1</v>
      </c>
      <c r="D20">
        <v>2522.6131549205998</v>
      </c>
      <c r="E20">
        <v>0</v>
      </c>
      <c r="F20">
        <v>0</v>
      </c>
      <c r="G20">
        <v>2522.6131549205998</v>
      </c>
    </row>
    <row r="21">
      <c r="A21" t="str">
        <v>ADRIANA ALEJANDRA JOYA MARTINEZ</v>
      </c>
      <c r="B21">
        <v>1</v>
      </c>
      <c r="C21">
        <v>1</v>
      </c>
      <c r="D21">
        <v>2456.67</v>
      </c>
      <c r="E21">
        <v>0</v>
      </c>
      <c r="F21">
        <v>0</v>
      </c>
      <c r="G21">
        <v>2456.67</v>
      </c>
    </row>
    <row r="22">
      <c r="A22" t="str">
        <v>ANAIS LUA MORENO</v>
      </c>
      <c r="B22">
        <v>1</v>
      </c>
      <c r="C22">
        <v>1</v>
      </c>
      <c r="D22">
        <v>1603.01</v>
      </c>
      <c r="E22">
        <v>0</v>
      </c>
      <c r="F22">
        <v>0</v>
      </c>
      <c r="G22">
        <v>1603.01</v>
      </c>
    </row>
    <row r="23">
      <c r="A23" t="str">
        <v>MONICA ANDREA AMBRIZ GOMEZ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>
      <c r="A24" t="str">
        <v>ORLANDA JIMENA CERVANTES NUÐEZ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>
      <c r="A25" t="str">
        <v>ALEJANDRA IVETTE PEDROZA MACIAS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>
      <c r="A26" t="str">
        <v>JORGE ALBERTO PRECIADO GONZALEZ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>
      <c r="A27" t="str">
        <v>MIREYA LIZETTE TORRES GARCIA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>
      <c r="A28" t="str">
        <v>SAMUEL NUÐO RIVERA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>
      <c r="A29" t="str">
        <v>LUVIA PATRICIA FIGUEROA CASTRO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>
      <c r="A30" t="str">
        <v>HANA SOFIA LOPEZ QUIÐONEZ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>
      <c r="A31" t="str">
        <v>ANDREA CELESTE IBAÐEZ RINCON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>
      <c r="A32" t="str">
        <v>ROCIO YANETH OCHOA IBARRA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>
      <c r="A33" t="str">
        <v>ISAI ANTONIO ROJAS MARTINEZ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>
      <c r="A34" t="str">
        <v>LILIANA IVETTE CASTILLO SANCHEZ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>
      <c r="A35" t="str">
        <v>MARIA ELIZABETH LLAMAS LOPEZ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>
      <c r="A36" t="str">
        <v>BRUNO BRAULIO MACIAS ALVAREZ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>
      <c r="A37" t="str">
        <v>ENRIQUE ADRIAN GUTIERREZ JIMENEZ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>
      <c r="A38" t="str">
        <v>MARIA FERNANDA CARLOS VAZQUEZ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>
      <c r="A39" t="str">
        <v>MARIA JOSE GUZMAN ZAMORA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>
      <c r="A40" t="str">
        <v>EVELYN CAROLINA VENEGAS IÐIGUEZ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>
      <c r="A41" t="str">
        <v>ANA VERONICA GONZALEZ GAYTAN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>
      <c r="A42" t="str">
        <v>MARIA TERESA ASENCIO LOZANO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>
      <c r="A43" t="str">
        <v>LUIS GUILLERMO OLGUIN FERNANDEZ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>
      <c r="A44" t="str">
        <v>LAURA DOLORES MONTAÐO MONTAÐO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 t="str">
        <v>GERARDO DANIEL BARAJAS TORRES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>
      <c r="A46" t="str">
        <v>JORGE ANTONIO LUNA LARA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>
      <c r="A47" t="str">
        <v>JOSE RENE DE ALBA MORALES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</sheetData>
  <autoFilter ref="A1:G47"/>
  <pageMargins left="0.7" right="0.7" top="0.75" bottom="0.75" header="0.3" footer="0.3"/>
  <ignoredErrors>
    <ignoredError numberStoredAsText="1" sqref="A1:J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4:O104"/>
  <sheetViews>
    <sheetView workbookViewId="0" rightToLeft="0"/>
  </sheetViews>
  <sheetData>
    <row r="4">
      <c r="A4" t="str">
        <v>Ventas mensuales junio</v>
      </c>
    </row>
    <row r="5">
      <c r="A5" t="str">
        <v>Asesor</v>
      </c>
      <c r="B5" t="str">
        <v xml:space="preserve">Pólizas </v>
      </c>
      <c r="C5" t="str">
        <v>Vida</v>
      </c>
      <c r="D5" t="str">
        <v>Prima Pagada vida</v>
      </c>
      <c r="E5" t="str">
        <v>Gmm</v>
      </c>
      <c r="F5" t="str">
        <v>Prima Pagada gmm</v>
      </c>
      <c r="G5" t="str">
        <v>Prima total</v>
      </c>
    </row>
    <row r="6">
      <c r="A6" t="str">
        <v>MONICA ANDREA AMBRIZ GOMEZ</v>
      </c>
      <c r="B6" t="e">
        <f>SUM(#REF!,#REF!)</f>
        <v>#REF!</v>
      </c>
      <c r="C6">
        <v>2</v>
      </c>
      <c r="D6">
        <v>11380.54</v>
      </c>
      <c r="E6" t="e">
        <f>_xludf.XLOOKUP(#REF!,#REF!,#REF!,0)</f>
        <v>#NAME?</v>
      </c>
      <c r="F6" t="e">
        <f>_xludf.XLOOKUP(#REF!,#REF!,#REF!,0)</f>
        <v>#NAME?</v>
      </c>
      <c r="G6" t="e">
        <f>SUM(#REF!,#REF!)</f>
        <v>#REF!</v>
      </c>
      <c r="I6" t="str">
        <v>Columna1</v>
      </c>
      <c r="J6" t="str">
        <v>Columna12</v>
      </c>
      <c r="K6" t="str">
        <v>Columna2</v>
      </c>
      <c r="L6" t="str">
        <v>Columna3</v>
      </c>
      <c r="N6" t="str">
        <v>CAMPEONES:</v>
      </c>
    </row>
    <row r="7">
      <c r="A7" t="str">
        <v>MARIA TERESA ASENCIO LOZANO</v>
      </c>
      <c r="B7" t="e">
        <f>SUM(#REF!,#REF!)</f>
        <v>#REF!</v>
      </c>
      <c r="C7">
        <v>0</v>
      </c>
      <c r="D7">
        <v>0</v>
      </c>
      <c r="E7" t="e">
        <f>_xludf.XLOOKUP(#REF!,#REF!,#REF!,0)</f>
        <v>#NAME?</v>
      </c>
      <c r="F7" t="e">
        <f>_xludf.XLOOKUP(#REF!,#REF!,#REF!,0)</f>
        <v>#NAME?</v>
      </c>
      <c r="G7" t="e">
        <f>SUM(#REF!,#REF!)</f>
        <v>#REF!</v>
      </c>
      <c r="I7" t="str">
        <v>MONICA ANDREA AMBRIZ GOMEZ</v>
      </c>
      <c r="J7" t="e">
        <f>#REF!/2</f>
        <v>#REF!</v>
      </c>
      <c r="K7">
        <v>2</v>
      </c>
      <c r="L7">
        <v>182186.96</v>
      </c>
      <c r="N7" t="str">
        <v>NOVATO POLIZAS VIDA</v>
      </c>
      <c r="O7" t="str">
        <v>monse</v>
      </c>
    </row>
    <row r="8">
      <c r="A8" t="str">
        <v>DARINKA UREÐA CASILLAS</v>
      </c>
      <c r="B8" t="e">
        <f>SUM(#REF!,#REF!)</f>
        <v>#REF!</v>
      </c>
      <c r="C8">
        <v>2</v>
      </c>
      <c r="D8">
        <v>96052.28</v>
      </c>
      <c r="E8" t="e">
        <f>_xludf.XLOOKUP(#REF!,#REF!,#REF!,0)</f>
        <v>#NAME?</v>
      </c>
      <c r="F8" t="e">
        <f>_xludf.XLOOKUP(#REF!,#REF!,#REF!,0)</f>
        <v>#NAME?</v>
      </c>
      <c r="G8" t="e">
        <f>SUM(#REF!,#REF!)</f>
        <v>#REF!</v>
      </c>
      <c r="I8" t="str">
        <v>RAFAEL ALBERTO SUAREZ BAQUEDANO</v>
      </c>
      <c r="J8" t="e">
        <f>#REF!/2</f>
        <v>#REF!</v>
      </c>
      <c r="K8">
        <v>1</v>
      </c>
      <c r="L8">
        <v>34372.23</v>
      </c>
      <c r="N8" t="str">
        <v>PRO POLIZAS VIDA</v>
      </c>
      <c r="O8" t="str">
        <v>rafa</v>
      </c>
    </row>
    <row r="9">
      <c r="A9" t="str">
        <v>RAFAEL ALBERTO SUAREZ BAQUEDANO</v>
      </c>
      <c r="B9" t="e">
        <f>SUM(#REF!,#REF!)</f>
        <v>#REF!</v>
      </c>
      <c r="C9">
        <v>6</v>
      </c>
      <c r="D9">
        <v>308451.52</v>
      </c>
      <c r="E9" t="e">
        <f>_xludf.XLOOKUP(#REF!,#REF!,#REF!,0)</f>
        <v>#NAME?</v>
      </c>
      <c r="F9" t="e">
        <f>_xludf.XLOOKUP(#REF!,#REF!,#REF!,0)</f>
        <v>#NAME?</v>
      </c>
      <c r="G9" t="e">
        <f>SUM(#REF!,#REF!)</f>
        <v>#REF!</v>
      </c>
      <c r="I9" t="str">
        <v>MARIA TERESA ASENCIO LOZANO</v>
      </c>
      <c r="J9" t="e">
        <f>#REF!/2</f>
        <v>#REF!</v>
      </c>
      <c r="K9">
        <v>5</v>
      </c>
      <c r="L9">
        <v>54265.49</v>
      </c>
      <c r="N9" t="str">
        <v>NOVATO PRIMA VIDA</v>
      </c>
      <c r="O9" t="str">
        <v>monse</v>
      </c>
    </row>
    <row r="10">
      <c r="A10" t="str">
        <v>JULIANA RIASCOS VALENCIA</v>
      </c>
      <c r="B10" t="e">
        <f>SUM(#REF!,#REF!)</f>
        <v>#REF!</v>
      </c>
      <c r="C10">
        <v>1</v>
      </c>
      <c r="D10">
        <v>0</v>
      </c>
      <c r="E10" t="e">
        <f>_xludf.XLOOKUP(#REF!,#REF!,#REF!,0)</f>
        <v>#NAME?</v>
      </c>
      <c r="F10" t="e">
        <f>_xludf.XLOOKUP(#REF!,#REF!,#REF!,0)</f>
        <v>#NAME?</v>
      </c>
      <c r="G10" t="e">
        <f>SUM(#REF!,#REF!)</f>
        <v>#REF!</v>
      </c>
      <c r="I10" t="str">
        <v>DARINKA UREÐA CASILLAS</v>
      </c>
      <c r="J10" t="e">
        <f>#REF!/2</f>
        <v>#REF!</v>
      </c>
      <c r="K10">
        <v>1</v>
      </c>
      <c r="L10">
        <v>35721.82</v>
      </c>
      <c r="N10" t="str">
        <v>PRO PRIMA VIDA</v>
      </c>
      <c r="O10" t="str">
        <v>anais</v>
      </c>
    </row>
    <row r="11">
      <c r="A11" t="str">
        <v>JORGE ALBERTO PRECIADO GONZALEZ</v>
      </c>
      <c r="B11" t="e">
        <f>SUM(#REF!,#REF!)</f>
        <v>#REF!</v>
      </c>
      <c r="C11">
        <v>0</v>
      </c>
      <c r="D11">
        <v>0</v>
      </c>
      <c r="E11" t="e">
        <f>_xludf.XLOOKUP(#REF!,#REF!,#REF!,0)</f>
        <v>#NAME?</v>
      </c>
      <c r="F11" t="e">
        <f>_xludf.XLOOKUP(#REF!,#REF!,#REF!,0)</f>
        <v>#NAME?</v>
      </c>
      <c r="G11" t="e">
        <f>SUM(#REF!,#REF!)</f>
        <v>#REF!</v>
      </c>
      <c r="I11" t="str">
        <v>JULIANA RIASCOS VALENCIA</v>
      </c>
      <c r="J11" t="e">
        <f>#REF!/2</f>
        <v>#REF!</v>
      </c>
      <c r="K11">
        <v>1</v>
      </c>
      <c r="L11">
        <v>24780</v>
      </c>
      <c r="N11" t="str">
        <v>NOVATO POLIZAS GMM</v>
      </c>
      <c r="O11" t="str">
        <v>ivan</v>
      </c>
    </row>
    <row r="12">
      <c r="A12" t="str">
        <v>MARIO IVAN ROMERO GONZALEZ</v>
      </c>
      <c r="B12" t="e">
        <f>SUM(#REF!,#REF!)</f>
        <v>#REF!</v>
      </c>
      <c r="C12">
        <v>1</v>
      </c>
      <c r="D12">
        <v>1188.91</v>
      </c>
      <c r="E12" t="e">
        <f>_xludf.XLOOKUP(#REF!,#REF!,#REF!,0)</f>
        <v>#NAME?</v>
      </c>
      <c r="F12" t="e">
        <f>_xludf.XLOOKUP(#REF!,#REF!,#REF!,0)</f>
        <v>#NAME?</v>
      </c>
      <c r="G12" t="e">
        <f>SUM(#REF!,#REF!)</f>
        <v>#REF!</v>
      </c>
      <c r="I12" t="str">
        <v>ENRIQUE ADRIAN GUTIERREZ JIMENEZ</v>
      </c>
      <c r="J12" t="e">
        <f>#REF!/2</f>
        <v>#REF!</v>
      </c>
      <c r="K12">
        <v>1</v>
      </c>
      <c r="L12">
        <v>3285.35</v>
      </c>
      <c r="N12" t="str">
        <v>PRO POLIZAS GMM</v>
      </c>
      <c r="O12" t="str">
        <v>mayte</v>
      </c>
    </row>
    <row r="13">
      <c r="A13" t="str">
        <v>ENRIQUE ADRIAN GUTIERREZ JIMENEZ</v>
      </c>
      <c r="B13" t="e">
        <f>SUM(#REF!,#REF!)</f>
        <v>#REF!</v>
      </c>
      <c r="C13">
        <v>3</v>
      </c>
      <c r="D13">
        <v>5872.79</v>
      </c>
      <c r="E13" t="e">
        <f>_xludf.XLOOKUP(#REF!,#REF!,#REF!,0)</f>
        <v>#NAME?</v>
      </c>
      <c r="F13" t="e">
        <f>_xludf.XLOOKUP(#REF!,#REF!,#REF!,0)</f>
        <v>#NAME?</v>
      </c>
      <c r="G13" t="e">
        <f>SUM(#REF!,#REF!)</f>
        <v>#REF!</v>
      </c>
      <c r="I13" t="str">
        <v>JORGE ALBERTO PRECIADO GONZALEZ</v>
      </c>
      <c r="J13" t="e">
        <f>#REF!/2</f>
        <v>#REF!</v>
      </c>
      <c r="K13">
        <v>2</v>
      </c>
      <c r="L13">
        <v>6734.74</v>
      </c>
      <c r="N13" t="str">
        <v>NOVATO PRIMA GMM</v>
      </c>
      <c r="O13" t="str">
        <v>ivan</v>
      </c>
    </row>
    <row r="14">
      <c r="A14" t="str">
        <v>ANAIS LUA MORENO</v>
      </c>
      <c r="B14" t="e">
        <f>SUM(#REF!,#REF!)</f>
        <v>#REF!</v>
      </c>
      <c r="C14">
        <v>4</v>
      </c>
      <c r="D14">
        <v>1421726.6</v>
      </c>
      <c r="E14" t="e">
        <f>_xludf.XLOOKUP(#REF!,#REF!,#REF!,0)</f>
        <v>#NAME?</v>
      </c>
      <c r="F14" t="e">
        <f>_xludf.XLOOKUP(#REF!,#REF!,#REF!,0)</f>
        <v>#NAME?</v>
      </c>
      <c r="G14" t="e">
        <f>SUM(#REF!,#REF!)</f>
        <v>#REF!</v>
      </c>
      <c r="I14" t="str">
        <v>JOCELYN URIBE VARGAS</v>
      </c>
      <c r="J14" t="e">
        <f>#REF!/2</f>
        <v>#REF!</v>
      </c>
      <c r="K14">
        <v>0</v>
      </c>
      <c r="L14">
        <v>0</v>
      </c>
      <c r="N14" t="str">
        <v>PRO PRIMAS GMM</v>
      </c>
      <c r="O14" t="str">
        <v>mayte</v>
      </c>
    </row>
    <row r="15">
      <c r="A15" t="str">
        <v>JOSE RENE DE ALBA MORALES</v>
      </c>
      <c r="B15" t="e">
        <f>SUM(#REF!,#REF!)</f>
        <v>#REF!</v>
      </c>
      <c r="C15">
        <v>1</v>
      </c>
      <c r="D15">
        <v>191362.05</v>
      </c>
      <c r="E15" t="e">
        <f>_xludf.XLOOKUP(#REF!,#REF!,#REF!,0)</f>
        <v>#NAME?</v>
      </c>
      <c r="F15" t="e">
        <f>_xludf.XLOOKUP(#REF!,#REF!,#REF!,0)</f>
        <v>#NAME?</v>
      </c>
      <c r="G15" t="e">
        <f>SUM(#REF!,#REF!)</f>
        <v>#REF!</v>
      </c>
      <c r="I15" t="str">
        <v>JORGE ANTONIO LUNA LARA</v>
      </c>
      <c r="J15" t="e">
        <f>#REF!/2</f>
        <v>#REF!</v>
      </c>
      <c r="K15">
        <v>0</v>
      </c>
      <c r="L15">
        <v>0</v>
      </c>
    </row>
    <row r="16">
      <c r="A16" t="str">
        <v>DESIREE DE LA PEÐA OROZCO</v>
      </c>
      <c r="B16" t="e">
        <f>SUM(#REF!,#REF!)</f>
        <v>#REF!</v>
      </c>
      <c r="C16">
        <v>1</v>
      </c>
      <c r="D16">
        <v>63633.32</v>
      </c>
      <c r="E16" t="e">
        <f>_xludf.XLOOKUP(#REF!,#REF!,#REF!,0)</f>
        <v>#NAME?</v>
      </c>
      <c r="F16" t="e">
        <f>_xludf.XLOOKUP(#REF!,#REF!,#REF!,0)</f>
        <v>#NAME?</v>
      </c>
      <c r="G16" t="e">
        <f>SUM(#REF!,#REF!)</f>
        <v>#REF!</v>
      </c>
      <c r="I16" t="str">
        <v>ANA VERONICA GONZALEZ GAYTAN</v>
      </c>
      <c r="J16" t="e">
        <f>#REF!/2</f>
        <v>#REF!</v>
      </c>
      <c r="K16">
        <v>0</v>
      </c>
      <c r="L16">
        <v>0</v>
      </c>
    </row>
    <row r="17">
      <c r="A17" t="str">
        <v>MONSERRAT VELASCO SANTOS</v>
      </c>
      <c r="B17" t="e">
        <f>SUM(#REF!,#REF!)</f>
        <v>#REF!</v>
      </c>
      <c r="C17">
        <v>2</v>
      </c>
      <c r="D17">
        <v>52787.07</v>
      </c>
      <c r="E17" t="e">
        <f>_xludf.XLOOKUP(#REF!,#REF!,#REF!,0)</f>
        <v>#NAME?</v>
      </c>
      <c r="F17" t="e">
        <f>_xludf.XLOOKUP(#REF!,#REF!,#REF!,0)</f>
        <v>#NAME?</v>
      </c>
      <c r="G17" t="e">
        <f>SUM(#REF!,#REF!)</f>
        <v>#REF!</v>
      </c>
      <c r="I17" t="str">
        <v>VELIA PATRICIA BERNAL RAMOS</v>
      </c>
      <c r="J17" t="e">
        <f>#REF!/2</f>
        <v>#REF!</v>
      </c>
      <c r="K17">
        <v>0</v>
      </c>
      <c r="L17">
        <v>0</v>
      </c>
    </row>
    <row r="18">
      <c r="A18" t="str">
        <v>HUMBERTO EMMANUEL SANDOVAL MOLINS</v>
      </c>
      <c r="B18" t="e">
        <f>SUM(#REF!,#REF!)</f>
        <v>#REF!</v>
      </c>
      <c r="C18">
        <v>2</v>
      </c>
      <c r="D18">
        <v>16380.01</v>
      </c>
      <c r="E18" t="e">
        <f>_xludf.XLOOKUP(#REF!,#REF!,#REF!,0)</f>
        <v>#NAME?</v>
      </c>
      <c r="F18" t="e">
        <f>_xludf.XLOOKUP(#REF!,#REF!,#REF!,0)</f>
        <v>#NAME?</v>
      </c>
      <c r="G18" t="e">
        <f>SUM(#REF!,#REF!)</f>
        <v>#REF!</v>
      </c>
      <c r="I18" t="str">
        <v>MARIO IVAN ROMERO GONZALEZ</v>
      </c>
      <c r="J18" t="e">
        <f>#REF!/2</f>
        <v>#REF!</v>
      </c>
      <c r="K18">
        <v>2</v>
      </c>
      <c r="L18">
        <v>5295.33</v>
      </c>
    </row>
    <row r="19">
      <c r="A19" t="str">
        <v>MARICELA ARREOLA LOPEZ</v>
      </c>
      <c r="B19" t="e">
        <f>SUM(#REF!,#REF!)</f>
        <v>#REF!</v>
      </c>
      <c r="C19">
        <v>4</v>
      </c>
      <c r="D19">
        <v>11737.38</v>
      </c>
      <c r="E19" t="e">
        <f>_xludf.XLOOKUP(#REF!,#REF!,#REF!,0)</f>
        <v>#NAME?</v>
      </c>
      <c r="F19" t="e">
        <f>_xludf.XLOOKUP(#REF!,#REF!,#REF!,0)</f>
        <v>#NAME?</v>
      </c>
      <c r="G19" t="e">
        <f>SUM(#REF!,#REF!)</f>
        <v>#REF!</v>
      </c>
      <c r="J19" t="e">
        <f>#REF!/2</f>
        <v>#REF!</v>
      </c>
    </row>
    <row r="20">
      <c r="A20" t="str">
        <v>LILIANA IVETTE CASTILLO SANCHEZ</v>
      </c>
      <c r="B20" t="e">
        <f>SUM(#REF!,#REF!)</f>
        <v>#REF!</v>
      </c>
      <c r="C20">
        <v>2</v>
      </c>
      <c r="D20">
        <v>11392.35</v>
      </c>
      <c r="E20" t="e">
        <f>_xludf.XLOOKUP(#REF!,#REF!,#REF!,0)</f>
        <v>#NAME?</v>
      </c>
      <c r="F20" t="e">
        <f>_xludf.XLOOKUP(#REF!,#REF!,#REF!,0)</f>
        <v>#NAME?</v>
      </c>
      <c r="G20" t="e">
        <f>SUM(#REF!,#REF!)</f>
        <v>#REF!</v>
      </c>
      <c r="J20" t="e">
        <f>#REF!/2</f>
        <v>#REF!</v>
      </c>
    </row>
    <row r="21">
      <c r="A21" t="str">
        <v>JORGE ANTONIO LUNA LARA</v>
      </c>
      <c r="B21" t="e">
        <f>SUM(#REF!,#REF!)</f>
        <v>#REF!</v>
      </c>
      <c r="C21">
        <v>1</v>
      </c>
      <c r="D21">
        <v>6316.29</v>
      </c>
      <c r="E21" t="e">
        <f>_xludf.XLOOKUP(#REF!,#REF!,#REF!,0)</f>
        <v>#NAME?</v>
      </c>
      <c r="F21" t="e">
        <f>_xludf.XLOOKUP(#REF!,#REF!,#REF!,0)</f>
        <v>#NAME?</v>
      </c>
      <c r="G21" t="e">
        <f>SUM(#REF!,#REF!)</f>
        <v>#REF!</v>
      </c>
      <c r="J21" t="e">
        <f>#REF!/2</f>
        <v>#REF!</v>
      </c>
    </row>
    <row r="22">
      <c r="A22" t="str">
        <v>ORLANDA JIMENA CERVANTES NUÐEZ</v>
      </c>
      <c r="B22" t="e">
        <f>SUM(#REF!,#REF!)</f>
        <v>#REF!</v>
      </c>
      <c r="C22">
        <v>2</v>
      </c>
      <c r="D22">
        <v>3925.24</v>
      </c>
      <c r="E22" t="e">
        <f>_xludf.XLOOKUP(#REF!,#REF!,#REF!,0)</f>
        <v>#NAME?</v>
      </c>
      <c r="F22" t="e">
        <f>_xludf.XLOOKUP(#REF!,#REF!,#REF!,0)</f>
        <v>#NAME?</v>
      </c>
      <c r="G22" t="e">
        <f>SUM(#REF!,#REF!)</f>
        <v>#REF!</v>
      </c>
      <c r="J22" t="e">
        <f>#REF!/2</f>
        <v>#REF!</v>
      </c>
    </row>
    <row r="23">
      <c r="A23" t="str">
        <v>SOFIA CAMPILLO VASCONCELOS</v>
      </c>
      <c r="B23" t="e">
        <f>SUM(#REF!,#REF!)</f>
        <v>#REF!</v>
      </c>
      <c r="C23">
        <v>2</v>
      </c>
      <c r="D23">
        <v>3215.45</v>
      </c>
      <c r="E23" t="e">
        <f>_xludf.XLOOKUP(#REF!,#REF!,#REF!,0)</f>
        <v>#NAME?</v>
      </c>
      <c r="F23" t="e">
        <f>_xludf.XLOOKUP(#REF!,#REF!,#REF!,0)</f>
        <v>#NAME?</v>
      </c>
      <c r="G23" t="e">
        <f>SUM(#REF!,#REF!)</f>
        <v>#REF!</v>
      </c>
      <c r="J23" t="e">
        <f>#REF!/2</f>
        <v>#REF!</v>
      </c>
    </row>
    <row r="24">
      <c r="A24" t="str">
        <v>GABRIELA CASTAÐEDA SALAZAR</v>
      </c>
      <c r="B24" t="e">
        <f>SUM(#REF!,#REF!)</f>
        <v>#REF!</v>
      </c>
      <c r="C24">
        <v>1</v>
      </c>
      <c r="D24">
        <v>3013.57</v>
      </c>
      <c r="E24" t="e">
        <f>_xludf.XLOOKUP(#REF!,#REF!,#REF!,0)</f>
        <v>#NAME?</v>
      </c>
      <c r="F24" t="e">
        <f>_xludf.XLOOKUP(#REF!,#REF!,#REF!,0)</f>
        <v>#NAME?</v>
      </c>
      <c r="G24" t="e">
        <f>SUM(#REF!,#REF!)</f>
        <v>#REF!</v>
      </c>
      <c r="J24" t="e">
        <f>#REF!/2</f>
        <v>#REF!</v>
      </c>
    </row>
    <row r="25">
      <c r="A25" t="str">
        <v>ANA LAURA CONTRERAS IÐIGUEZ</v>
      </c>
      <c r="B25" t="e">
        <f>SUM(#REF!,#REF!)</f>
        <v>#REF!</v>
      </c>
      <c r="C25">
        <v>1</v>
      </c>
      <c r="D25">
        <v>2073.34</v>
      </c>
      <c r="E25" t="e">
        <f>_xludf.XLOOKUP(#REF!,#REF!,#REF!,0)</f>
        <v>#NAME?</v>
      </c>
      <c r="F25" t="e">
        <f>_xludf.XLOOKUP(#REF!,#REF!,#REF!,0)</f>
        <v>#NAME?</v>
      </c>
      <c r="G25" t="e">
        <f>SUM(#REF!,#REF!)</f>
        <v>#REF!</v>
      </c>
      <c r="J25" t="e">
        <f>#REF!/2</f>
        <v>#REF!</v>
      </c>
    </row>
    <row r="26">
      <c r="A26" t="str">
        <v>ANDREA CELESTE IBAÐEZ RINCON</v>
      </c>
      <c r="B26" t="e">
        <f>SUM(#REF!,#REF!)</f>
        <v>#REF!</v>
      </c>
      <c r="C26">
        <v>1</v>
      </c>
      <c r="D26">
        <v>1671.19</v>
      </c>
      <c r="E26" t="e">
        <f>_xludf.XLOOKUP(#REF!,#REF!,#REF!,0)</f>
        <v>#NAME?</v>
      </c>
      <c r="F26" t="e">
        <f>_xludf.XLOOKUP(#REF!,#REF!,#REF!,0)</f>
        <v>#NAME?</v>
      </c>
      <c r="G26" t="e">
        <f>SUM(#REF!,#REF!)</f>
        <v>#REF!</v>
      </c>
      <c r="J26" t="e">
        <f>#REF!/2</f>
        <v>#REF!</v>
      </c>
    </row>
    <row r="27">
      <c r="A27" t="str">
        <v>ISAI ANTONIO ROJAS MARTINEZ</v>
      </c>
      <c r="B27" t="e">
        <f>SUM(#REF!,#REF!)</f>
        <v>#REF!</v>
      </c>
      <c r="C27">
        <v>1</v>
      </c>
      <c r="D27">
        <v>88.15</v>
      </c>
      <c r="E27" t="e">
        <f>_xludf.XLOOKUP(#REF!,#REF!,#REF!,0)</f>
        <v>#NAME?</v>
      </c>
      <c r="F27" t="e">
        <f>_xludf.XLOOKUP(#REF!,#REF!,#REF!,0)</f>
        <v>#NAME?</v>
      </c>
      <c r="G27" t="e">
        <f>SUM(#REF!,#REF!)</f>
        <v>#REF!</v>
      </c>
      <c r="J27" t="e">
        <f>#REF!/2</f>
        <v>#REF!</v>
      </c>
    </row>
    <row r="28">
      <c r="A28" t="str">
        <v>JOSE ALBERTO CORONADO ROSAS</v>
      </c>
      <c r="B28" t="e">
        <f>SUM(#REF!,#REF!)</f>
        <v>#REF!</v>
      </c>
      <c r="C28">
        <v>0</v>
      </c>
      <c r="D28">
        <v>0</v>
      </c>
      <c r="E28" t="e">
        <f>_xludf.XLOOKUP(#REF!,#REF!,#REF!,0)</f>
        <v>#NAME?</v>
      </c>
      <c r="F28" t="e">
        <f>_xludf.XLOOKUP(#REF!,#REF!,#REF!,0)</f>
        <v>#NAME?</v>
      </c>
      <c r="G28" t="e">
        <f>SUM(#REF!,#REF!)</f>
        <v>#REF!</v>
      </c>
      <c r="J28" t="e">
        <f>#REF!/2</f>
        <v>#REF!</v>
      </c>
    </row>
    <row r="29">
      <c r="A29" t="str">
        <v>HANA SOFIA LOPEZ QUIÐONEZ</v>
      </c>
      <c r="B29" t="e">
        <f>SUM(#REF!,#REF!)</f>
        <v>#REF!</v>
      </c>
      <c r="C29">
        <v>0</v>
      </c>
      <c r="D29">
        <v>0</v>
      </c>
      <c r="E29" t="e">
        <f>_xludf.XLOOKUP(#REF!,#REF!,#REF!,0)</f>
        <v>#NAME?</v>
      </c>
      <c r="F29" t="e">
        <f>_xludf.XLOOKUP(#REF!,#REF!,#REF!,0)</f>
        <v>#NAME?</v>
      </c>
      <c r="G29" t="e">
        <f>SUM(#REF!,#REF!)</f>
        <v>#REF!</v>
      </c>
      <c r="J29" t="e">
        <f>#REF!/2</f>
        <v>#REF!</v>
      </c>
    </row>
    <row r="30">
      <c r="A30" t="str">
        <v>ROGELIO TORRES ORTIZ</v>
      </c>
      <c r="B30" t="e">
        <f>SUM(#REF!,#REF!)</f>
        <v>#REF!</v>
      </c>
      <c r="C30">
        <v>0</v>
      </c>
      <c r="D30">
        <v>0</v>
      </c>
      <c r="E30" t="e">
        <f>_xludf.XLOOKUP(#REF!,#REF!,#REF!,0)</f>
        <v>#NAME?</v>
      </c>
      <c r="F30" t="e">
        <f>_xludf.XLOOKUP(#REF!,#REF!,#REF!,0)</f>
        <v>#NAME?</v>
      </c>
      <c r="G30" t="e">
        <f>SUM(#REF!,#REF!)</f>
        <v>#REF!</v>
      </c>
      <c r="J30" t="e">
        <f>#REF!/2</f>
        <v>#REF!</v>
      </c>
    </row>
    <row r="31">
      <c r="A31" t="str">
        <v>VELIA PATRICIA BERNAL RAMOS</v>
      </c>
      <c r="B31" t="e">
        <f>SUM(#REF!,#REF!)</f>
        <v>#REF!</v>
      </c>
      <c r="C31">
        <v>0</v>
      </c>
      <c r="D31">
        <v>0</v>
      </c>
      <c r="E31" t="e">
        <f>_xludf.XLOOKUP(#REF!,#REF!,#REF!,0)</f>
        <v>#NAME?</v>
      </c>
      <c r="F31" t="e">
        <f>_xludf.XLOOKUP(#REF!,#REF!,#REF!,0)</f>
        <v>#NAME?</v>
      </c>
      <c r="G31" t="e">
        <f>SUM(#REF!,#REF!)</f>
        <v>#REF!</v>
      </c>
      <c r="J31" t="e">
        <f>#REF!/2</f>
        <v>#REF!</v>
      </c>
    </row>
    <row r="32">
      <c r="A32" t="str">
        <v>SAMUEL NUÐO RIVERA</v>
      </c>
      <c r="B32" t="e">
        <f>SUM(#REF!,#REF!)</f>
        <v>#REF!</v>
      </c>
      <c r="C32">
        <v>0</v>
      </c>
      <c r="D32">
        <v>0</v>
      </c>
      <c r="E32" t="e">
        <f>_xludf.XLOOKUP(#REF!,#REF!,#REF!,0)</f>
        <v>#NAME?</v>
      </c>
      <c r="F32" t="e">
        <f>_xludf.XLOOKUP(#REF!,#REF!,#REF!,0)</f>
        <v>#NAME?</v>
      </c>
      <c r="G32" t="e">
        <f>SUM(#REF!,#REF!)</f>
        <v>#REF!</v>
      </c>
    </row>
    <row r="33">
      <c r="A33" t="str">
        <v>ADRIANA ALEJANDRA JOYA MARTINEZ</v>
      </c>
      <c r="B33" t="e">
        <f>SUM(#REF!,#REF!)</f>
        <v>#REF!</v>
      </c>
      <c r="C33">
        <v>0</v>
      </c>
      <c r="D33">
        <v>0</v>
      </c>
      <c r="E33" t="e">
        <f>_xludf.XLOOKUP(#REF!,#REF!,#REF!,0)</f>
        <v>#NAME?</v>
      </c>
      <c r="F33" t="e">
        <f>_xludf.XLOOKUP(#REF!,#REF!,#REF!,0)</f>
        <v>#NAME?</v>
      </c>
      <c r="G33" t="e">
        <f>SUM(#REF!,#REF!)</f>
        <v>#REF!</v>
      </c>
      <c r="M33" t="str">
        <v>=SUMAR.SI.CONJUNTO(Tabla2652[MONTO REAL],Tabla2652[ASESOR],[@Asesor],Tabla2652[RAMO],"VIDA")</v>
      </c>
    </row>
    <row r="34">
      <c r="A34" t="str">
        <v>ROCIO YANETH OCHOA IBARRA</v>
      </c>
      <c r="B34" t="e">
        <f>SUM(#REF!,#REF!)</f>
        <v>#REF!</v>
      </c>
      <c r="C34">
        <v>0</v>
      </c>
      <c r="D34">
        <v>0</v>
      </c>
      <c r="E34" t="e">
        <f>_xludf.XLOOKUP(#REF!,#REF!,#REF!,0)</f>
        <v>#NAME?</v>
      </c>
      <c r="F34" t="e">
        <f>_xludf.XLOOKUP(#REF!,#REF!,#REF!,0)</f>
        <v>#NAME?</v>
      </c>
      <c r="G34" t="e">
        <f>SUM(#REF!,#REF!)</f>
        <v>#REF!</v>
      </c>
    </row>
    <row r="35">
      <c r="A35" t="str">
        <v>PAULINA LIZBETH SOTO MUÐIZ</v>
      </c>
      <c r="B35" t="e">
        <f>SUM(#REF!,#REF!)</f>
        <v>#REF!</v>
      </c>
      <c r="C35">
        <v>0</v>
      </c>
      <c r="D35">
        <v>0</v>
      </c>
      <c r="E35" t="e">
        <f>_xludf.XLOOKUP(#REF!,#REF!,#REF!,0)</f>
        <v>#NAME?</v>
      </c>
      <c r="F35" t="e">
        <f>_xludf.XLOOKUP(#REF!,#REF!,#REF!,0)</f>
        <v>#NAME?</v>
      </c>
      <c r="G35" t="e">
        <f>SUM(#REF!,#REF!)</f>
        <v>#REF!</v>
      </c>
    </row>
    <row r="36">
      <c r="A36" t="str">
        <v>MARIA FERNANDA RIOS BERNAL</v>
      </c>
      <c r="B36" t="e">
        <f>SUM(#REF!,#REF!)</f>
        <v>#REF!</v>
      </c>
      <c r="C36">
        <v>0</v>
      </c>
      <c r="D36">
        <v>0</v>
      </c>
      <c r="E36" t="e">
        <f>_xludf.XLOOKUP(#REF!,#REF!,#REF!,0)</f>
        <v>#NAME?</v>
      </c>
      <c r="F36" t="e">
        <f>_xludf.XLOOKUP(#REF!,#REF!,#REF!,0)</f>
        <v>#NAME?</v>
      </c>
      <c r="G36" t="e">
        <f>SUM(#REF!,#REF!)</f>
        <v>#REF!</v>
      </c>
    </row>
    <row r="37">
      <c r="A37" t="str">
        <v>MARIA ELIZABETH LLAMAS LOPEZ</v>
      </c>
      <c r="B37" t="e">
        <f>SUM(#REF!,#REF!)</f>
        <v>#REF!</v>
      </c>
      <c r="C37">
        <v>0</v>
      </c>
      <c r="D37">
        <v>0</v>
      </c>
      <c r="E37" t="e">
        <f>_xludf.XLOOKUP(#REF!,#REF!,#REF!,0)</f>
        <v>#NAME?</v>
      </c>
      <c r="F37" t="e">
        <f>_xludf.XLOOKUP(#REF!,#REF!,#REF!,0)</f>
        <v>#NAME?</v>
      </c>
      <c r="G37" t="e">
        <f>SUM(#REF!,#REF!)</f>
        <v>#REF!</v>
      </c>
    </row>
    <row r="38">
      <c r="A38" t="str">
        <v>LUVIA PATRICIA FIGUEROA CASTRO</v>
      </c>
      <c r="B38" t="e">
        <f>SUM(#REF!,#REF!)</f>
        <v>#REF!</v>
      </c>
      <c r="C38">
        <v>0</v>
      </c>
      <c r="D38">
        <v>0</v>
      </c>
      <c r="E38" t="e">
        <f>_xludf.XLOOKUP(#REF!,#REF!,#REF!,0)</f>
        <v>#NAME?</v>
      </c>
      <c r="F38" t="e">
        <f>_xludf.XLOOKUP(#REF!,#REF!,#REF!,0)</f>
        <v>#NAME?</v>
      </c>
      <c r="G38" t="e">
        <f>SUM(#REF!,#REF!)</f>
        <v>#REF!</v>
      </c>
    </row>
    <row r="39">
      <c r="A39" t="str">
        <v>JOSE EDUARDO EZQUERRO BARQUERA</v>
      </c>
      <c r="B39" t="e">
        <f>SUM(#REF!,#REF!)</f>
        <v>#REF!</v>
      </c>
      <c r="C39">
        <v>0</v>
      </c>
      <c r="D39">
        <v>0</v>
      </c>
      <c r="E39" t="e">
        <f>_xludf.XLOOKUP(#REF!,#REF!,#REF!,0)</f>
        <v>#NAME?</v>
      </c>
      <c r="F39" t="e">
        <f>_xludf.XLOOKUP(#REF!,#REF!,#REF!,0)</f>
        <v>#NAME?</v>
      </c>
      <c r="G39" t="e">
        <f>SUM(#REF!,#REF!)</f>
        <v>#REF!</v>
      </c>
    </row>
    <row r="40">
      <c r="A40" t="str">
        <v>MIREYA LIZETTE TORRES GARCIA</v>
      </c>
      <c r="B40" t="e">
        <f>SUM(#REF!,#REF!)</f>
        <v>#REF!</v>
      </c>
      <c r="C40">
        <v>0</v>
      </c>
      <c r="D40">
        <v>0</v>
      </c>
      <c r="E40" t="e">
        <f>_xludf.XLOOKUP(#REF!,#REF!,#REF!,0)</f>
        <v>#NAME?</v>
      </c>
      <c r="F40" t="e">
        <f>_xludf.XLOOKUP(#REF!,#REF!,#REF!,0)</f>
        <v>#NAME?</v>
      </c>
      <c r="G40" t="e">
        <f>SUM(#REF!,#REF!)</f>
        <v>#REF!</v>
      </c>
    </row>
    <row r="41">
      <c r="A41" t="str">
        <v>MARIA JOSE GUZMAN ZAMORA</v>
      </c>
      <c r="B41" t="e">
        <f>SUM(#REF!,#REF!)</f>
        <v>#REF!</v>
      </c>
      <c r="C41">
        <v>0</v>
      </c>
      <c r="D41">
        <v>0</v>
      </c>
      <c r="E41" t="e">
        <f>_xludf.XLOOKUP(#REF!,#REF!,#REF!,0)</f>
        <v>#NAME?</v>
      </c>
      <c r="F41" t="e">
        <f>_xludf.XLOOKUP(#REF!,#REF!,#REF!,0)</f>
        <v>#NAME?</v>
      </c>
      <c r="G41" t="e">
        <f>SUM(#REF!,#REF!)</f>
        <v>#REF!</v>
      </c>
    </row>
    <row r="42">
      <c r="A42" t="str">
        <v>EVELYN CAROLINA VENEGAS IÐIGUEZ</v>
      </c>
      <c r="B42" t="e">
        <f>SUM(#REF!,#REF!)</f>
        <v>#REF!</v>
      </c>
      <c r="C42">
        <v>0</v>
      </c>
      <c r="D42">
        <v>0</v>
      </c>
      <c r="E42" t="e">
        <f>_xludf.XLOOKUP(#REF!,#REF!,#REF!,0)</f>
        <v>#NAME?</v>
      </c>
      <c r="F42" t="e">
        <f>_xludf.XLOOKUP(#REF!,#REF!,#REF!,0)</f>
        <v>#NAME?</v>
      </c>
      <c r="G42" t="e">
        <f>SUM(#REF!,#REF!)</f>
        <v>#REF!</v>
      </c>
    </row>
    <row r="43">
      <c r="A43" t="str">
        <v>PAULINA RODRIGUEZ DE LA MORA</v>
      </c>
      <c r="B43" t="e">
        <f>SUM(#REF!,#REF!)</f>
        <v>#REF!</v>
      </c>
      <c r="C43">
        <v>0</v>
      </c>
      <c r="D43">
        <v>0</v>
      </c>
      <c r="E43" t="e">
        <f>_xludf.XLOOKUP(#REF!,#REF!,#REF!,0)</f>
        <v>#NAME?</v>
      </c>
      <c r="F43" t="e">
        <f>_xludf.XLOOKUP(#REF!,#REF!,#REF!,0)</f>
        <v>#NAME?</v>
      </c>
      <c r="G43" t="e">
        <f>SUM(#REF!,#REF!)</f>
        <v>#REF!</v>
      </c>
    </row>
    <row r="44">
      <c r="A44" t="str">
        <v>PAULA ANGELICA LOMELI CAZARES</v>
      </c>
      <c r="B44" t="e">
        <f>SUM(#REF!,#REF!)</f>
        <v>#REF!</v>
      </c>
      <c r="C44">
        <v>0</v>
      </c>
      <c r="D44">
        <v>0</v>
      </c>
      <c r="E44" t="e">
        <f>_xludf.XLOOKUP(#REF!,#REF!,#REF!,0)</f>
        <v>#NAME?</v>
      </c>
      <c r="F44" t="e">
        <f>_xludf.XLOOKUP(#REF!,#REF!,#REF!,0)</f>
        <v>#NAME?</v>
      </c>
      <c r="G44" t="e">
        <f>SUM(#REF!,#REF!)</f>
        <v>#REF!</v>
      </c>
    </row>
    <row r="45">
      <c r="A45" t="str">
        <v>MARIA FERNANDA CARLOS VAZQUEZ</v>
      </c>
      <c r="B45" t="e">
        <f>SUM(#REF!,#REF!)</f>
        <v>#REF!</v>
      </c>
      <c r="C45">
        <v>0</v>
      </c>
      <c r="D45">
        <v>0</v>
      </c>
      <c r="E45" t="e">
        <f>_xludf.XLOOKUP(#REF!,#REF!,#REF!,0)</f>
        <v>#NAME?</v>
      </c>
      <c r="F45" t="e">
        <f>_xludf.XLOOKUP(#REF!,#REF!,#REF!,0)</f>
        <v>#NAME?</v>
      </c>
      <c r="G45" t="e">
        <f>SUM(#REF!,#REF!)</f>
        <v>#REF!</v>
      </c>
    </row>
    <row r="46">
      <c r="A46" t="str">
        <v>LUIS GUILLERMO OLGUIN FERNANDEZ</v>
      </c>
      <c r="B46" t="e">
        <f>SUM(#REF!,#REF!)</f>
        <v>#REF!</v>
      </c>
      <c r="C46">
        <v>0</v>
      </c>
      <c r="D46">
        <v>0</v>
      </c>
      <c r="E46" t="e">
        <f>_xludf.XLOOKUP(#REF!,#REF!,#REF!,0)</f>
        <v>#NAME?</v>
      </c>
      <c r="F46" t="e">
        <f>_xludf.XLOOKUP(#REF!,#REF!,#REF!,0)</f>
        <v>#NAME?</v>
      </c>
      <c r="G46" t="e">
        <f>SUM(#REF!,#REF!)</f>
        <v>#REF!</v>
      </c>
    </row>
    <row r="47">
      <c r="A47" t="str">
        <v>GERARDO DANIEL BARAJAS TORRES</v>
      </c>
      <c r="B47" t="e">
        <f>SUM(#REF!,#REF!)</f>
        <v>#REF!</v>
      </c>
      <c r="C47">
        <v>0</v>
      </c>
      <c r="D47">
        <v>0</v>
      </c>
      <c r="E47" t="e">
        <f>_xludf.XLOOKUP(#REF!,#REF!,#REF!,0)</f>
        <v>#NAME?</v>
      </c>
      <c r="F47" t="e">
        <f>_xludf.XLOOKUP(#REF!,#REF!,#REF!,0)</f>
        <v>#NAME?</v>
      </c>
      <c r="G47" t="e">
        <f>SUM(#REF!,#REF!)</f>
        <v>#REF!</v>
      </c>
    </row>
    <row r="48">
      <c r="A48" t="str">
        <v>ANA VERONICA GONZALEZ GAYTAN</v>
      </c>
      <c r="B48" t="e">
        <f>SUM(#REF!,#REF!)</f>
        <v>#REF!</v>
      </c>
      <c r="C48">
        <v>0</v>
      </c>
      <c r="D48">
        <v>0</v>
      </c>
      <c r="E48" t="e">
        <f>_xludf.XLOOKUP(#REF!,#REF!,#REF!,0)</f>
        <v>#NAME?</v>
      </c>
      <c r="F48" t="e">
        <f>_xludf.XLOOKUP(#REF!,#REF!,#REF!,0)</f>
        <v>#NAME?</v>
      </c>
      <c r="G48" t="e">
        <f>SUM(#REF!,#REF!)</f>
        <v>#REF!</v>
      </c>
    </row>
    <row r="49">
      <c r="B49" t="e">
        <f>SUM(#REF!,#REF!)</f>
        <v>#REF!</v>
      </c>
      <c r="C49">
        <v>0</v>
      </c>
      <c r="D49">
        <v>0</v>
      </c>
      <c r="E49" t="e">
        <f>_xludf.XLOOKUP(#REF!,#REF!,#REF!,0)</f>
        <v>#NAME?</v>
      </c>
      <c r="F49" t="e">
        <f>_xludf.XLOOKUP(#REF!,#REF!,#REF!,0)</f>
        <v>#NAME?</v>
      </c>
      <c r="G49" t="e">
        <f>SUM(#REF!,#REF!)</f>
        <v>#REF!</v>
      </c>
    </row>
    <row r="50">
      <c r="B50" t="e">
        <f>SUM(#REF!,#REF!)</f>
        <v>#REF!</v>
      </c>
      <c r="C50">
        <v>0</v>
      </c>
      <c r="D50">
        <v>0</v>
      </c>
      <c r="E50" t="e">
        <f>_xludf.XLOOKUP(#REF!,#REF!,#REF!,0)</f>
        <v>#NAME?</v>
      </c>
      <c r="F50" t="e">
        <f>_xludf.XLOOKUP(#REF!,#REF!,#REF!,0)</f>
        <v>#NAME?</v>
      </c>
      <c r="G50" t="e">
        <f>SUM(#REF!,#REF!)</f>
        <v>#REF!</v>
      </c>
    </row>
    <row r="51">
      <c r="B51" t="e">
        <f>SUM(#REF!,#REF!)</f>
        <v>#REF!</v>
      </c>
      <c r="C51">
        <v>0</v>
      </c>
      <c r="E51" t="e">
        <f>_xludf.XLOOKUP(#REF!,#REF!,#REF!,0)</f>
        <v>#NAME?</v>
      </c>
      <c r="F51" t="e">
        <f>_xludf.XLOOKUP(#REF!,#REF!,#REF!,0)</f>
        <v>#NAME?</v>
      </c>
      <c r="G51" t="e">
        <f>SUM(#REF!,#REF!)</f>
        <v>#REF!</v>
      </c>
    </row>
    <row r="52">
      <c r="A52" t="str">
        <v>Total</v>
      </c>
      <c r="B52" t="e">
        <f>SUM(#REF!)</f>
        <v>#REF!</v>
      </c>
      <c r="C52" t="e">
        <f>SUM(#REF!)</f>
        <v>#REF!</v>
      </c>
      <c r="D52" t="e">
        <f>SUM(#REF!)</f>
        <v>#REF!</v>
      </c>
      <c r="E52" t="e">
        <f>SUM(#REF!)</f>
        <v>#REF!</v>
      </c>
      <c r="F52" t="e">
        <f>SUM(#REF!)</f>
        <v>#REF!</v>
      </c>
      <c r="G52" t="e">
        <f>SUM(#REF!)</f>
        <v>#REF!</v>
      </c>
    </row>
    <row r="58">
      <c r="A58" t="str">
        <v>ASESOR</v>
      </c>
      <c r="B58" t="str">
        <v>FRECUENCIA</v>
      </c>
      <c r="C58" t="str">
        <v>RAMO</v>
      </c>
      <c r="D58" t="str">
        <v>MONTO ANUAL</v>
      </c>
      <c r="E58" t="str">
        <v>MONTO REAL</v>
      </c>
    </row>
    <row r="59">
      <c r="A59" t="str">
        <v>ANA LAURA CONTRERAS IÑIGUEZ 113450</v>
      </c>
      <c r="B59" t="str">
        <v>MENSUAL</v>
      </c>
      <c r="C59" t="str">
        <v>VIDA</v>
      </c>
      <c r="D59">
        <v>24906.443788799996</v>
      </c>
      <c r="E59" t="e" cm="1">
        <f t="array" ref="E59">D59/_xludf.IFS(B59="MENSUAL",12,B59="TRIMESTRAL",4,B59="SEMESTRAL",2,B59="ANUAL",1)</f>
        <v>#NAME?</v>
      </c>
    </row>
    <row r="60">
      <c r="A60" t="str">
        <v>ANDREA CELESTE IBAÑEZ RINCON 88234</v>
      </c>
      <c r="B60" t="str">
        <v>MENSUAL</v>
      </c>
      <c r="C60" t="str">
        <v>VIDA</v>
      </c>
      <c r="D60">
        <v>37328.31826426799</v>
      </c>
      <c r="E60" t="e" cm="1">
        <f t="array" ref="E60">D60/_xludf.IFS(B60="MENSUAL",12,B60="TRIMESTRAL",4,B60="SEMESTRAL",2,B60="ANUAL",1)</f>
        <v>#NAME?</v>
      </c>
    </row>
    <row r="61">
      <c r="A61" t="str">
        <v>DARINKA UREÑA CASILLAS 90355</v>
      </c>
      <c r="B61" t="str">
        <v>ANUAL</v>
      </c>
      <c r="C61" t="str">
        <v>GMM</v>
      </c>
      <c r="D61">
        <v>35721.82</v>
      </c>
      <c r="E61" t="e" cm="1">
        <f t="array" ref="E61">D61/_xludf.IFS(B61="MENSUAL",12,B61="TRIMESTRAL",4,B61="SEMESTRAL",2,B61="ANUAL",1)</f>
        <v>#NAME?</v>
      </c>
    </row>
    <row r="62">
      <c r="A62" t="str">
        <v>DARINKA UREÑA CASILLAS 90355</v>
      </c>
      <c r="B62" t="str">
        <v>ANUAL</v>
      </c>
      <c r="C62" t="str">
        <v>VIDA</v>
      </c>
      <c r="D62">
        <v>59995.9216588</v>
      </c>
      <c r="E62" t="e" cm="1">
        <f t="array" ref="E62">D62/_xludf.IFS(B62="MENSUAL",12,B62="TRIMESTRAL",4,B62="SEMESTRAL",2,B62="ANUAL",1)</f>
        <v>#NAME?</v>
      </c>
    </row>
    <row r="63">
      <c r="A63" t="str">
        <v>DARINKA UREÑA CASILLAS 90355</v>
      </c>
      <c r="B63" t="str">
        <v>ANUAL</v>
      </c>
      <c r="C63" t="str">
        <v>VIDA</v>
      </c>
      <c r="D63">
        <v>36063.31934072</v>
      </c>
      <c r="E63" t="e" cm="1">
        <f t="array" ref="E63">D63/_xludf.IFS(B63="MENSUAL",12,B63="TRIMESTRAL",4,B63="SEMESTRAL",2,B63="ANUAL",1)</f>
        <v>#NAME?</v>
      </c>
    </row>
    <row r="64">
      <c r="A64" t="str">
        <v>DESIREE DE LA PEÑA OROZCO 80122</v>
      </c>
      <c r="B64" t="str">
        <v>ANUAL</v>
      </c>
      <c r="C64" t="str">
        <v>VIDA</v>
      </c>
      <c r="D64">
        <v>49779.00217629</v>
      </c>
      <c r="E64" t="e" cm="1">
        <f t="array" ref="E64">D64/_xludf.IFS(B64="MENSUAL",12,B64="TRIMESTRAL",4,B64="SEMESTRAL",2,B64="ANUAL",1)</f>
        <v>#NAME?</v>
      </c>
    </row>
    <row r="65">
      <c r="A65" t="str">
        <v>DESIREE DE LA PEÑA OROZCO 80122</v>
      </c>
      <c r="B65" t="str">
        <v>ANUAL</v>
      </c>
      <c r="C65" t="str">
        <v>VIDA</v>
      </c>
      <c r="D65">
        <v>65650.1002488</v>
      </c>
      <c r="E65" t="e" cm="1">
        <f t="array" ref="E65">D65/_xludf.IFS(B65="MENSUAL",12,B65="TRIMESTRAL",4,B65="SEMESTRAL",2,B65="ANUAL",1)</f>
        <v>#NAME?</v>
      </c>
    </row>
    <row r="66">
      <c r="A66" t="str">
        <v>ENRIQUE ADRIAN GUTIERREZ JIMENEZ 95148</v>
      </c>
      <c r="B66" t="str">
        <v>MENSUAL</v>
      </c>
      <c r="C66" t="str">
        <v>GMM</v>
      </c>
      <c r="D66">
        <v>39424.2</v>
      </c>
      <c r="E66" t="e" cm="1">
        <f t="array" ref="E66">D66/_xludf.IFS(B66="MENSUAL",12,B66="TRIMESTRAL",4,B66="SEMESTRAL",2,B66="ANUAL",1)</f>
        <v>#NAME?</v>
      </c>
    </row>
    <row r="67">
      <c r="A67" t="str">
        <v>ENRIQUE ADRIAN GUTIERREZ JIMENEZ 95148</v>
      </c>
      <c r="B67" t="str">
        <v>MENSUAL</v>
      </c>
      <c r="C67" t="str">
        <v>VIDA</v>
      </c>
      <c r="D67">
        <v>18971.418459840002</v>
      </c>
      <c r="E67" t="e" cm="1">
        <f t="array" ref="E67">D67/_xludf.IFS(B67="MENSUAL",12,B67="TRIMESTRAL",4,B67="SEMESTRAL",2,B67="ANUAL",1)</f>
        <v>#NAME?</v>
      </c>
    </row>
    <row r="68">
      <c r="A68" t="str">
        <v>ENRIQUE ADRIAN GUTIERREZ JIMENEZ 95148</v>
      </c>
      <c r="B68" t="str">
        <v>MENSUAL</v>
      </c>
      <c r="C68" t="str">
        <v>VIDA</v>
      </c>
      <c r="D68">
        <v>21503.62498944</v>
      </c>
      <c r="E68" t="e" cm="1">
        <f t="array" ref="E68">D68/_xludf.IFS(B68="MENSUAL",12,B68="TRIMESTRAL",4,B68="SEMESTRAL",2,B68="ANUAL",1)</f>
        <v>#NAME?</v>
      </c>
    </row>
    <row r="69">
      <c r="A69" t="str">
        <v>ENRIQUE ADRIAN GUTIERREZ JIMENEZ 95148</v>
      </c>
      <c r="B69" t="str">
        <v>MENSUAL</v>
      </c>
      <c r="C69" t="str">
        <v>VIDA</v>
      </c>
      <c r="D69">
        <v>30109.94868816</v>
      </c>
      <c r="E69" t="e" cm="1">
        <f t="array" ref="E69">D69/_xludf.IFS(B69="MENSUAL",12,B69="TRIMESTRAL",4,B69="SEMESTRAL",2,B69="ANUAL",1)</f>
        <v>#NAME?</v>
      </c>
    </row>
    <row r="70">
      <c r="A70" t="str">
        <v>GABRIELA CASTAÑEDA SALAZAR 105696</v>
      </c>
      <c r="B70" t="str">
        <v>MENSUAL</v>
      </c>
      <c r="C70" t="str">
        <v>VIDA</v>
      </c>
      <c r="D70">
        <v>36223.2394608</v>
      </c>
      <c r="E70" t="e" cm="1">
        <f t="array" ref="E70">D70/_xludf.IFS(B70="MENSUAL",12,B70="TRIMESTRAL",4,B70="SEMESTRAL",2,B70="ANUAL",1)</f>
        <v>#NAME?</v>
      </c>
    </row>
    <row r="71">
      <c r="A71" t="str">
        <v>HUMBERTO EMMANUEL SANDOVAL MOLINS 118915</v>
      </c>
      <c r="B71" t="str">
        <v>TRIMESTRAL</v>
      </c>
      <c r="C71" t="str">
        <v>VIDA</v>
      </c>
      <c r="D71">
        <v>33075.08213532</v>
      </c>
      <c r="E71" t="e" cm="1">
        <f t="array" ref="E71">D71/_xludf.IFS(B71="MENSUAL",12,B71="TRIMESTRAL",4,B71="SEMESTRAL",2,B71="ANUAL",1)</f>
        <v>#NAME?</v>
      </c>
    </row>
    <row r="72">
      <c r="A72" t="str">
        <v>HUMBERTO EMMANUEL SANDOVAL MOLINS 118915</v>
      </c>
      <c r="B72" t="str">
        <v>TRIMESTRAL</v>
      </c>
      <c r="C72" t="str">
        <v>VIDA</v>
      </c>
      <c r="D72">
        <v>32503.75161096</v>
      </c>
      <c r="E72" t="e" cm="1">
        <f t="array" ref="E72">D72/_xludf.IFS(B72="MENSUAL",12,B72="TRIMESTRAL",4,B72="SEMESTRAL",2,B72="ANUAL",1)</f>
        <v>#NAME?</v>
      </c>
    </row>
    <row r="73">
      <c r="A73" t="str">
        <v>ISAI ANTONIO ROJAS MARTINEZ 109007</v>
      </c>
      <c r="B73" t="str">
        <v>MENSUAL</v>
      </c>
      <c r="C73" t="str">
        <v>VIDA</v>
      </c>
      <c r="D73">
        <v>17161.679819451598</v>
      </c>
      <c r="E73" t="e" cm="1">
        <f t="array" ref="E73">D73/_xludf.IFS(B73="MENSUAL",12,B73="TRIMESTRAL",4,B73="SEMESTRAL",2,B73="ANUAL",1)</f>
        <v>#NAME?</v>
      </c>
    </row>
    <row r="74">
      <c r="A74" t="str">
        <v>JORGE ALBERTO PRECIADO GONZALEZ 104343</v>
      </c>
      <c r="B74" t="str">
        <v>MENSUAL</v>
      </c>
      <c r="C74" t="str">
        <v>GMM</v>
      </c>
      <c r="D74">
        <v>30041.28</v>
      </c>
      <c r="E74" t="e" cm="1">
        <f t="array" ref="E74">D74/_xludf.IFS(B74="MENSUAL",12,B74="TRIMESTRAL",4,B74="SEMESTRAL",2,B74="ANUAL",1)</f>
        <v>#NAME?</v>
      </c>
    </row>
    <row r="75">
      <c r="A75" t="str">
        <v>JORGE ALBERTO PRECIADO GONZALEZ 104343</v>
      </c>
      <c r="B75" t="str">
        <v>MENSUAL</v>
      </c>
      <c r="C75" t="str">
        <v>GMM</v>
      </c>
      <c r="D75">
        <v>50775.600000000006</v>
      </c>
      <c r="E75" t="e" cm="1">
        <f t="array" ref="E75">D75/_xludf.IFS(B75="MENSUAL",12,B75="TRIMESTRAL",4,B75="SEMESTRAL",2,B75="ANUAL",1)</f>
        <v>#NAME?</v>
      </c>
    </row>
    <row r="76">
      <c r="A76" t="str">
        <v>JORGE ANTONIO LUNA LARA 111056</v>
      </c>
      <c r="B76" t="str">
        <v>ANUAL</v>
      </c>
      <c r="C76" t="str">
        <v>VIDA</v>
      </c>
      <c r="D76">
        <v>145893.4610406</v>
      </c>
      <c r="E76" t="e" cm="1">
        <f t="array" ref="E76">D76/_xludf.IFS(B76="MENSUAL",12,B76="TRIMESTRAL",4,B76="SEMESTRAL",2,B76="ANUAL",1)</f>
        <v>#NAME?</v>
      </c>
    </row>
    <row r="77">
      <c r="A77" t="str">
        <v>JOSE RENE DE ALBA MORALES 110575</v>
      </c>
      <c r="B77" t="str">
        <v>ANUAL</v>
      </c>
      <c r="C77" t="str">
        <v>VIDA</v>
      </c>
      <c r="D77">
        <v>191564.73908906002</v>
      </c>
      <c r="E77" t="e" cm="1">
        <f t="array" ref="E77">D77/_xludf.IFS(B77="MENSUAL",12,B77="TRIMESTRAL",4,B77="SEMESTRAL",2,B77="ANUAL",1)</f>
        <v>#NAME?</v>
      </c>
    </row>
    <row r="78">
      <c r="A78" t="str">
        <v>JULIANA RIASCOS VALENCIA 100677</v>
      </c>
      <c r="B78" t="str">
        <v>SEMESTRAL</v>
      </c>
      <c r="C78" t="str">
        <v>VIDA</v>
      </c>
      <c r="D78">
        <v>35758.326685800006</v>
      </c>
      <c r="E78" t="e" cm="1">
        <f t="array" ref="E78">D78/_xludf.IFS(B78="MENSUAL",12,B78="TRIMESTRAL",4,B78="SEMESTRAL",2,B78="ANUAL",1)</f>
        <v>#NAME?</v>
      </c>
    </row>
    <row r="79">
      <c r="A79" t="str">
        <v>JULIANA RIASCOS VALENCIA 100677</v>
      </c>
      <c r="B79" t="str">
        <v>ANUAL</v>
      </c>
      <c r="C79" t="str">
        <v>GMM</v>
      </c>
      <c r="D79">
        <v>24780</v>
      </c>
      <c r="E79" t="e" cm="1">
        <f t="array" ref="E79">D79/_xludf.IFS(B79="MENSUAL",12,B79="TRIMESTRAL",4,B79="SEMESTRAL",2,B79="ANUAL",1)</f>
        <v>#NAME?</v>
      </c>
    </row>
    <row r="80">
      <c r="A80" t="str">
        <v>LILIANA IVETTE CASTILLO SANCHEZ 108404</v>
      </c>
      <c r="B80" t="str">
        <v>SEMESTRAL</v>
      </c>
      <c r="C80" t="str">
        <v>VIDA</v>
      </c>
      <c r="D80">
        <v>19756.742717399997</v>
      </c>
      <c r="E80" t="e" cm="1">
        <f t="array" ref="E80">D80/_xludf.IFS(B80="MENSUAL",12,B80="TRIMESTRAL",4,B80="SEMESTRAL",2,B80="ANUAL",1)</f>
        <v>#NAME?</v>
      </c>
    </row>
    <row r="81">
      <c r="A81" t="str">
        <v>LILIANA IVETTE CASTILLO SANCHEZ 108404</v>
      </c>
      <c r="B81" t="str">
        <v>MENSUAL</v>
      </c>
      <c r="C81" t="str">
        <v>VIDA</v>
      </c>
      <c r="D81">
        <v>28714.2149941752</v>
      </c>
      <c r="E81" t="e" cm="1">
        <f t="array" ref="E81">D81/_xludf.IFS(B81="MENSUAL",12,B81="TRIMESTRAL",4,B81="SEMESTRAL",2,B81="ANUAL",1)</f>
        <v>#NAME?</v>
      </c>
    </row>
    <row r="82">
      <c r="A82" t="str">
        <v>MARIA TERESA ASENCIO LOZANO 94156</v>
      </c>
      <c r="B82" t="str">
        <v>ANUAL</v>
      </c>
      <c r="C82" t="str">
        <v>GMM</v>
      </c>
      <c r="D82">
        <v>10508.23</v>
      </c>
      <c r="E82" t="e" cm="1">
        <f t="array" ref="E82">D82/_xludf.IFS(B82="MENSUAL",12,B82="TRIMESTRAL",4,B82="SEMESTRAL",2,B82="ANUAL",1)</f>
        <v>#NAME?</v>
      </c>
    </row>
    <row r="83">
      <c r="A83" t="str">
        <v>MARIA TERESA ASENCIO LOZANO 94156</v>
      </c>
      <c r="B83" t="str">
        <v>ANUAL</v>
      </c>
      <c r="C83" t="str">
        <v>GMM</v>
      </c>
      <c r="D83">
        <v>19875.68</v>
      </c>
      <c r="E83" t="e" cm="1">
        <f t="array" ref="E83">D83/_xludf.IFS(B83="MENSUAL",12,B83="TRIMESTRAL",4,B83="SEMESTRAL",2,B83="ANUAL",1)</f>
        <v>#NAME?</v>
      </c>
    </row>
    <row r="84">
      <c r="A84" t="str">
        <v>MARIA TERESA ASENCIO LOZANO 94156</v>
      </c>
      <c r="B84" t="str">
        <v>ANUAL</v>
      </c>
      <c r="C84" t="str">
        <v>GMM</v>
      </c>
      <c r="D84">
        <v>13844.84</v>
      </c>
      <c r="E84" t="e" cm="1">
        <f t="array" ref="E84">D84/_xludf.IFS(B84="MENSUAL",12,B84="TRIMESTRAL",4,B84="SEMESTRAL",2,B84="ANUAL",1)</f>
        <v>#NAME?</v>
      </c>
    </row>
    <row r="85">
      <c r="A85" t="str">
        <v>MARIA TERESA ASENCIO LOZANO 94156</v>
      </c>
      <c r="B85" t="str">
        <v>MENSUAL</v>
      </c>
      <c r="C85" t="str">
        <v>GMM</v>
      </c>
      <c r="D85">
        <v>37671.96</v>
      </c>
      <c r="E85" t="e" cm="1">
        <f t="array" ref="E85">D85/_xludf.IFS(B85="MENSUAL",12,B85="TRIMESTRAL",4,B85="SEMESTRAL",2,B85="ANUAL",1)</f>
        <v>#NAME?</v>
      </c>
    </row>
    <row r="86">
      <c r="A86" t="str">
        <v>MARIA TERESA ASENCIO LOZANO 94156</v>
      </c>
      <c r="B86" t="str">
        <v>ANUAL</v>
      </c>
      <c r="C86" t="str">
        <v>GMM</v>
      </c>
      <c r="D86">
        <v>6897.41</v>
      </c>
      <c r="E86" t="e" cm="1">
        <f t="array" ref="E86">D86/_xludf.IFS(B86="MENSUAL",12,B86="TRIMESTRAL",4,B86="SEMESTRAL",2,B86="ANUAL",1)</f>
        <v>#NAME?</v>
      </c>
    </row>
    <row r="87">
      <c r="A87" t="str">
        <v>MARICELA ARREOLA LOPEZ 80925</v>
      </c>
      <c r="B87" t="str">
        <v>MENSUAL</v>
      </c>
      <c r="C87" t="str">
        <v>VIDA</v>
      </c>
      <c r="D87">
        <v>65400.11121374999</v>
      </c>
      <c r="E87" t="e" cm="1">
        <f t="array" ref="E87">D87/_xludf.IFS(B87="MENSUAL",12,B87="TRIMESTRAL",4,B87="SEMESTRAL",2,B87="ANUAL",1)</f>
        <v>#NAME?</v>
      </c>
    </row>
    <row r="88">
      <c r="A88" t="str">
        <v>MARICELA ARREOLA LOPEZ 80925</v>
      </c>
      <c r="B88" t="str">
        <v>MENSUAL</v>
      </c>
      <c r="C88" t="str">
        <v>VIDA</v>
      </c>
      <c r="D88">
        <v>65765.734326636</v>
      </c>
      <c r="E88" t="e" cm="1">
        <f t="array" ref="E88">D88/_xludf.IFS(B88="MENSUAL",12,B88="TRIMESTRAL",4,B88="SEMESTRAL",2,B88="ANUAL",1)</f>
        <v>#NAME?</v>
      </c>
    </row>
    <row r="89">
      <c r="A89" t="str">
        <v>MARICELA ARREOLA LOPEZ 80925</v>
      </c>
      <c r="B89" t="str">
        <v>MENSUAL</v>
      </c>
      <c r="C89" t="str">
        <v>VIDA</v>
      </c>
      <c r="D89">
        <v>64994.05453169999</v>
      </c>
      <c r="E89" t="e" cm="1">
        <f t="array" ref="E89">D89/_xludf.IFS(B89="MENSUAL",12,B89="TRIMESTRAL",4,B89="SEMESTRAL",2,B89="ANUAL",1)</f>
        <v>#NAME?</v>
      </c>
    </row>
    <row r="90">
      <c r="A90" t="str">
        <v>MONICA ANDREA AMBRIZ GOMEZ 87538</v>
      </c>
      <c r="B90" t="str">
        <v>ANUAL</v>
      </c>
      <c r="C90" t="str">
        <v>GMM</v>
      </c>
      <c r="D90">
        <v>20551.52</v>
      </c>
      <c r="E90" t="e" cm="1">
        <f t="array" ref="E90">D90/_xludf.IFS(B90="MENSUAL",12,B90="TRIMESTRAL",4,B90="SEMESTRAL",2,B90="ANUAL",1)</f>
        <v>#NAME?</v>
      </c>
    </row>
    <row r="91">
      <c r="A91" t="str">
        <v>MONICA ANDREA AMBRIZ GOMEZ 87538</v>
      </c>
      <c r="B91" t="str">
        <v>ANUAL</v>
      </c>
      <c r="C91" t="str">
        <v>GMM</v>
      </c>
      <c r="D91">
        <v>161635.44</v>
      </c>
      <c r="E91" t="e" cm="1">
        <f t="array" ref="E91">D91/_xludf.IFS(B91="MENSUAL",12,B91="TRIMESTRAL",4,B91="SEMESTRAL",2,B91="ANUAL",1)</f>
        <v>#NAME?</v>
      </c>
    </row>
    <row r="92">
      <c r="A92" t="str">
        <v>MONICA ANDREA AMBRIZ GOMEZ 87538</v>
      </c>
      <c r="B92" t="str">
        <v>MENSUAL</v>
      </c>
      <c r="C92" t="str">
        <v>VIDA</v>
      </c>
      <c r="D92">
        <v>47674.43560836</v>
      </c>
      <c r="E92" t="e" cm="1">
        <f t="array" ref="E92">D92/_xludf.IFS(B92="MENSUAL",12,B92="TRIMESTRAL",4,B92="SEMESTRAL",2,B92="ANUAL",1)</f>
        <v>#NAME?</v>
      </c>
    </row>
    <row r="93">
      <c r="A93" t="str">
        <v>MONICA ANDREA AMBRIZ GOMEZ 87538</v>
      </c>
      <c r="B93" t="str">
        <v>MENSUAL</v>
      </c>
      <c r="C93" t="str">
        <v>VIDA</v>
      </c>
      <c r="D93">
        <v>88995.49463999999</v>
      </c>
      <c r="E93" t="e" cm="1">
        <f t="array" ref="E93">D93/_xludf.IFS(B93="MENSUAL",12,B93="TRIMESTRAL",4,B93="SEMESTRAL",2,B93="ANUAL",1)</f>
        <v>#NAME?</v>
      </c>
    </row>
    <row r="94">
      <c r="A94" t="str">
        <v>MONSERRAT VELASCO SANTOS 117440</v>
      </c>
      <c r="B94" t="str">
        <v>ANUAL</v>
      </c>
      <c r="C94" t="str">
        <v>VIDA</v>
      </c>
      <c r="D94">
        <v>28936.07741836</v>
      </c>
      <c r="E94" t="e" cm="1">
        <f t="array" ref="E94">D94/_xludf.IFS(B94="MENSUAL",12,B94="TRIMESTRAL",4,B94="SEMESTRAL",2,B94="ANUAL",1)</f>
        <v>#NAME?</v>
      </c>
    </row>
    <row r="95">
      <c r="A95" t="str">
        <v>MONSERRAT VELASCO SANTOS 117440</v>
      </c>
      <c r="B95" t="str">
        <v>ANUAL</v>
      </c>
      <c r="C95" t="str">
        <v>VIDA</v>
      </c>
      <c r="D95">
        <v>23866.29423241</v>
      </c>
      <c r="E95" t="e" cm="1">
        <f t="array" ref="E95">D95/_xludf.IFS(B95="MENSUAL",12,B95="TRIMESTRAL",4,B95="SEMESTRAL",2,B95="ANUAL",1)</f>
        <v>#NAME?</v>
      </c>
    </row>
    <row r="96">
      <c r="A96" t="str">
        <v>ORLANDA JIMENA CERVANTES NUÑEZ 107488</v>
      </c>
      <c r="B96" t="str">
        <v>MENSUAL</v>
      </c>
      <c r="C96" t="str">
        <v>VIDA</v>
      </c>
      <c r="D96">
        <v>25856.183505600005</v>
      </c>
      <c r="E96" t="e" cm="1">
        <f t="array" ref="E96">D96/_xludf.IFS(B96="MENSUAL",12,B96="TRIMESTRAL",4,B96="SEMESTRAL",2,B96="ANUAL",1)</f>
        <v>#NAME?</v>
      </c>
    </row>
    <row r="97">
      <c r="A97" t="str">
        <v>ORLANDA JIMENA CERVANTES NUÑEZ 107488</v>
      </c>
      <c r="B97" t="str">
        <v>MENSUAL</v>
      </c>
      <c r="C97" t="str">
        <v>VIDA</v>
      </c>
      <c r="D97">
        <v>21291.36946368</v>
      </c>
      <c r="E97" t="e" cm="1">
        <f t="array" ref="E97">D97/_xludf.IFS(B97="MENSUAL",12,B97="TRIMESTRAL",4,B97="SEMESTRAL",2,B97="ANUAL",1)</f>
        <v>#NAME?</v>
      </c>
    </row>
    <row r="98">
      <c r="A98" t="str">
        <v>RAFAEL ALBERTO SUAREZ BAQUEDANO 47116</v>
      </c>
      <c r="B98" t="str">
        <v>ANUAL</v>
      </c>
      <c r="C98" t="str">
        <v>VIDA</v>
      </c>
      <c r="D98">
        <v>138938.2231</v>
      </c>
      <c r="E98" t="e" cm="1">
        <f t="array" ref="E98">D98/_xludf.IFS(B98="MENSUAL",12,B98="TRIMESTRAL",4,B98="SEMESTRAL",2,B98="ANUAL",1)</f>
        <v>#NAME?</v>
      </c>
    </row>
    <row r="99">
      <c r="A99" t="str">
        <v>RAFAEL ALBERTO SUAREZ BAQUEDANO 47116</v>
      </c>
      <c r="B99" t="str">
        <v>ANUAL</v>
      </c>
      <c r="C99" t="str">
        <v>VIDA</v>
      </c>
      <c r="D99">
        <v>20123.50344</v>
      </c>
      <c r="E99" t="e" cm="1">
        <f t="array" ref="E99">D99/_xludf.IFS(B99="MENSUAL",12,B99="TRIMESTRAL",4,B99="SEMESTRAL",2,B99="ANUAL",1)</f>
        <v>#NAME?</v>
      </c>
    </row>
    <row r="100">
      <c r="A100" t="str">
        <v>RAFAEL ALBERTO SUAREZ BAQUEDANO 47116</v>
      </c>
      <c r="B100" t="str">
        <v>ANUAL</v>
      </c>
      <c r="C100" t="str">
        <v>VIDA</v>
      </c>
      <c r="D100">
        <v>121996.848</v>
      </c>
      <c r="E100" t="e" cm="1">
        <f t="array" ref="E100">D100/_xludf.IFS(B100="MENSUAL",12,B100="TRIMESTRAL",4,B100="SEMESTRAL",2,B100="ANUAL",1)</f>
        <v>#NAME?</v>
      </c>
    </row>
    <row r="101">
      <c r="A101" t="str">
        <v>RAFAEL ALBERTO SUAREZ BAQUEDANO 47116</v>
      </c>
      <c r="B101" t="str">
        <v>ANUAL</v>
      </c>
      <c r="C101" t="str">
        <v>GMM</v>
      </c>
      <c r="D101">
        <v>34372.23</v>
      </c>
      <c r="E101" t="e" cm="1">
        <f t="array" ref="E101">D101/_xludf.IFS(B101="MENSUAL",12,B101="TRIMESTRAL",4,B101="SEMESTRAL",2,B101="ANUAL",1)</f>
        <v>#NAME?</v>
      </c>
    </row>
    <row r="102">
      <c r="A102" t="str">
        <v>RAFAEL ALBERTO SUAREZ BAQUEDANO 47116</v>
      </c>
      <c r="B102" t="str">
        <v>ANUAL</v>
      </c>
      <c r="C102" t="str">
        <v>VIDA</v>
      </c>
      <c r="D102">
        <v>19944.1291272</v>
      </c>
      <c r="E102" t="e" cm="1">
        <f t="array" ref="E102">D102/_xludf.IFS(B102="MENSUAL",12,B102="TRIMESTRAL",4,B102="SEMESTRAL",2,B102="ANUAL",1)</f>
        <v>#NAME?</v>
      </c>
    </row>
    <row r="103">
      <c r="A103" t="str">
        <v>RAFAEL ALBERTO SUAREZ BAQUEDANO 47116</v>
      </c>
      <c r="B103" t="str">
        <v>MENSUAL</v>
      </c>
      <c r="C103" t="str">
        <v>VIDA</v>
      </c>
      <c r="D103">
        <v>21385.522891200002</v>
      </c>
      <c r="E103" t="e" cm="1">
        <f t="array" ref="E103">D103/_xludf.IFS(B103="MENSUAL",12,B103="TRIMESTRAL",4,B103="SEMESTRAL",2,B103="ANUAL",1)</f>
        <v>#NAME?</v>
      </c>
    </row>
    <row r="104">
      <c r="A104" t="str">
        <v>RAFAEL ALBERTO SUAREZ BAQUEDANO 47116</v>
      </c>
      <c r="B104" t="str">
        <v>MENSUAL</v>
      </c>
      <c r="C104" t="str">
        <v>VIDA</v>
      </c>
      <c r="D104">
        <v>18435.808956</v>
      </c>
      <c r="E104" t="e" cm="1">
        <f t="array" ref="E104">D104/_xludf.IFS(B104="MENSUAL",12,B104="TRIMESTRAL",4,B104="SEMESTRAL",2,B104="ANUAL",1)</f>
        <v>#NAME?</v>
      </c>
    </row>
  </sheetData>
  <mergeCells count="1">
    <mergeCell ref="A4:H4"/>
  </mergeCells>
  <pageMargins left="0.7" right="0.7" top="0.75" bottom="0.75" header="0.3" footer="0.3"/>
  <ignoredErrors>
    <ignoredError numberStoredAsText="1" sqref="A4:O10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5"/>
  <sheetViews>
    <sheetView workbookViewId="0" rightToLeft="0"/>
  </sheetViews>
  <sheetData>
    <row r="1">
      <c r="A1" t="str">
        <v>Asesor</v>
      </c>
      <c r="B1" t="str">
        <v xml:space="preserve">Pólizas </v>
      </c>
      <c r="C1" t="str">
        <v>Vida</v>
      </c>
      <c r="D1" t="str">
        <v>Prima Pagada vida</v>
      </c>
      <c r="E1" t="str">
        <v>Gmm</v>
      </c>
      <c r="F1" t="str">
        <v>Prima Pagada gmm</v>
      </c>
      <c r="G1" t="str">
        <v>Prima total</v>
      </c>
      <c r="I1" t="str">
        <v>TOTAL</v>
      </c>
    </row>
    <row r="2">
      <c r="A2" t="str">
        <v>ANAIS LUA MORENO</v>
      </c>
      <c r="B2">
        <v>6</v>
      </c>
      <c r="C2">
        <v>6</v>
      </c>
      <c r="D2">
        <v>1421726.6</v>
      </c>
      <c r="E2">
        <v>0</v>
      </c>
      <c r="F2">
        <v>0</v>
      </c>
      <c r="G2">
        <v>1421726.6</v>
      </c>
      <c r="I2" t="str">
        <v>PRIMA VIDA</v>
      </c>
      <c r="J2">
        <f>SUM(D2:D45)</f>
        <v>2426188.505643899</v>
      </c>
    </row>
    <row r="3">
      <c r="A3" t="str">
        <v>RAFAEL ALBERTO SUAREZ BAQUEDANO</v>
      </c>
      <c r="B3">
        <v>6.5</v>
      </c>
      <c r="C3">
        <v>6</v>
      </c>
      <c r="D3">
        <v>304321.14798779995</v>
      </c>
      <c r="E3">
        <v>0.5</v>
      </c>
      <c r="F3">
        <v>34372.23</v>
      </c>
      <c r="G3">
        <v>338693.37798779993</v>
      </c>
      <c r="I3" t="str">
        <v>POLIZAS VIDA</v>
      </c>
      <c r="J3">
        <f>SUM(C2:C46)</f>
        <v>42</v>
      </c>
    </row>
    <row r="4">
      <c r="A4" t="str">
        <v>MONICA ANDREA AMBRIZ GOMEZ</v>
      </c>
      <c r="B4">
        <v>3</v>
      </c>
      <c r="C4">
        <v>2</v>
      </c>
      <c r="D4">
        <v>11389.160854029999</v>
      </c>
      <c r="E4">
        <v>1</v>
      </c>
      <c r="F4">
        <v>182186.96</v>
      </c>
      <c r="G4">
        <v>193576.12085402998</v>
      </c>
      <c r="I4" t="str">
        <v>PRIMA GMM</v>
      </c>
      <c r="J4">
        <f>SUM(F2:F46)</f>
        <v>346641.92</v>
      </c>
    </row>
    <row r="5">
      <c r="A5" t="str">
        <v>JOSE RENE DE ALBA MORALES</v>
      </c>
      <c r="B5">
        <v>1</v>
      </c>
      <c r="C5">
        <v>1</v>
      </c>
      <c r="D5">
        <v>191564.73908906002</v>
      </c>
      <c r="E5">
        <v>0</v>
      </c>
      <c r="F5">
        <v>0</v>
      </c>
      <c r="G5">
        <v>191564.73908906002</v>
      </c>
      <c r="I5" t="str">
        <v>POLIZAS GMM</v>
      </c>
      <c r="J5">
        <f>SUM(E2:E46)</f>
        <v>7.5</v>
      </c>
    </row>
    <row r="6">
      <c r="A6" t="str">
        <v>JORGE ANTONIO LUNA LARA</v>
      </c>
      <c r="B6">
        <v>1</v>
      </c>
      <c r="C6">
        <v>1</v>
      </c>
      <c r="D6">
        <v>145893.4610406</v>
      </c>
      <c r="E6">
        <v>0</v>
      </c>
      <c r="F6">
        <v>0</v>
      </c>
      <c r="G6">
        <v>145893.4610406</v>
      </c>
      <c r="I6" t="str">
        <v>POLIZAS V+GMM</v>
      </c>
      <c r="J6">
        <f>SUM(J3,J5)</f>
        <v>49.5</v>
      </c>
    </row>
    <row r="7">
      <c r="A7" t="str">
        <v>DARINKA UREÑA CASILLAS</v>
      </c>
      <c r="B7">
        <v>2.5</v>
      </c>
      <c r="C7">
        <v>2</v>
      </c>
      <c r="D7">
        <v>96059.24099952</v>
      </c>
      <c r="E7">
        <v>0.5</v>
      </c>
      <c r="F7">
        <v>35721.82</v>
      </c>
      <c r="G7">
        <v>131781.06099952</v>
      </c>
      <c r="I7" t="str">
        <v>PRIMA VI+GMM</v>
      </c>
      <c r="J7">
        <f>SUM(J2,J4)</f>
        <v>2772830.425643899</v>
      </c>
    </row>
    <row r="8">
      <c r="A8" t="str">
        <v>DESIREE DE LA PEÑA OROZCO</v>
      </c>
      <c r="B8">
        <v>2</v>
      </c>
      <c r="C8">
        <v>2</v>
      </c>
      <c r="D8">
        <v>115429.10242509</v>
      </c>
      <c r="E8">
        <v>0</v>
      </c>
      <c r="F8">
        <v>0</v>
      </c>
      <c r="G8">
        <v>115429.10242509</v>
      </c>
    </row>
    <row r="9">
      <c r="A9" t="str">
        <v>MARIA TERESA ASENCIO LOZANO</v>
      </c>
      <c r="B9">
        <v>2.5</v>
      </c>
      <c r="C9">
        <v>0</v>
      </c>
      <c r="D9">
        <v>0</v>
      </c>
      <c r="E9">
        <v>2.5</v>
      </c>
      <c r="F9">
        <v>54265.49</v>
      </c>
      <c r="G9">
        <v>54265.49</v>
      </c>
    </row>
    <row r="10">
      <c r="A10" t="str">
        <v>MONSERRAT VELASCO SANTOS</v>
      </c>
      <c r="B10">
        <v>2</v>
      </c>
      <c r="C10">
        <v>2</v>
      </c>
      <c r="D10">
        <v>52802.37165077</v>
      </c>
      <c r="E10">
        <v>0</v>
      </c>
      <c r="F10">
        <v>0</v>
      </c>
      <c r="G10">
        <v>52802.37165077</v>
      </c>
    </row>
    <row r="11">
      <c r="A11" t="str">
        <v>JULIANA RIASCOS VALENCIA</v>
      </c>
      <c r="B11">
        <v>1.5</v>
      </c>
      <c r="C11">
        <v>1</v>
      </c>
      <c r="D11">
        <v>17879.163342900003</v>
      </c>
      <c r="E11">
        <v>0.5</v>
      </c>
      <c r="F11">
        <v>24780</v>
      </c>
      <c r="G11">
        <v>42659.16334290001</v>
      </c>
      <c r="I11" t="str">
        <v>CAMPEONES:</v>
      </c>
    </row>
    <row r="12">
      <c r="A12" t="str">
        <v>HUMBERTO EMMANUEL SANDOVAL MOLINS</v>
      </c>
      <c r="B12">
        <v>2</v>
      </c>
      <c r="C12">
        <v>2</v>
      </c>
      <c r="D12">
        <v>16394.70843657</v>
      </c>
      <c r="E12">
        <v>0</v>
      </c>
      <c r="F12">
        <v>0</v>
      </c>
      <c r="G12">
        <v>16394.70843657</v>
      </c>
      <c r="I12" t="str">
        <v>NOVATO POLIZAS VIDA</v>
      </c>
      <c r="J12" t="str">
        <v>monse</v>
      </c>
    </row>
    <row r="13">
      <c r="A13" t="str">
        <v>MARICELA ARREOLA LOPEZ</v>
      </c>
      <c r="B13">
        <v>3</v>
      </c>
      <c r="C13">
        <v>3</v>
      </c>
      <c r="D13">
        <v>16346.658339340498</v>
      </c>
      <c r="E13">
        <v>0</v>
      </c>
      <c r="F13">
        <v>0</v>
      </c>
      <c r="G13">
        <v>16346.658339340498</v>
      </c>
      <c r="I13" t="str">
        <v>PRO POLIZAS VIDA</v>
      </c>
      <c r="J13" t="str">
        <v>anais</v>
      </c>
    </row>
    <row r="14">
      <c r="A14" t="str">
        <v>LILIANA IVETTE CASTILLO SANCHEZ</v>
      </c>
      <c r="B14">
        <v>2</v>
      </c>
      <c r="C14">
        <v>2</v>
      </c>
      <c r="D14">
        <v>12271.222608214599</v>
      </c>
      <c r="E14">
        <v>0</v>
      </c>
      <c r="F14">
        <v>0</v>
      </c>
      <c r="G14">
        <v>12271.222608214599</v>
      </c>
      <c r="I14" t="str">
        <v>NOVATO PRIMA VIDA</v>
      </c>
      <c r="J14" t="str">
        <v>monse</v>
      </c>
    </row>
    <row r="15">
      <c r="A15" t="str">
        <v>ENRIQUE ADRIAN GUTIERREZ JIMENEZ</v>
      </c>
      <c r="B15">
        <v>3.5</v>
      </c>
      <c r="C15">
        <v>3</v>
      </c>
      <c r="D15">
        <v>5882.08267812</v>
      </c>
      <c r="E15">
        <v>0.5</v>
      </c>
      <c r="F15">
        <v>3285.35</v>
      </c>
      <c r="G15">
        <v>9167.43267812</v>
      </c>
      <c r="I15" t="str">
        <v>PRO PRIMA VIDA</v>
      </c>
      <c r="J15" t="str">
        <v>anais</v>
      </c>
    </row>
    <row r="16">
      <c r="A16" t="str">
        <v>JORGE ALBERTO PRECIADO GONZALEZ</v>
      </c>
      <c r="B16">
        <v>1</v>
      </c>
      <c r="C16">
        <v>0</v>
      </c>
      <c r="D16">
        <v>0</v>
      </c>
      <c r="E16">
        <v>1</v>
      </c>
      <c r="F16">
        <v>6734.74</v>
      </c>
      <c r="G16">
        <v>6734.74</v>
      </c>
      <c r="I16" t="str">
        <v>NOVATO POLIZAS GMM</v>
      </c>
      <c r="J16" t="str">
        <v>ivan</v>
      </c>
    </row>
    <row r="17">
      <c r="A17" t="str">
        <v>MARIO IVAN ROMERO GONZALEZ</v>
      </c>
      <c r="B17">
        <v>2</v>
      </c>
      <c r="C17">
        <v>1</v>
      </c>
      <c r="D17">
        <v>1188.91</v>
      </c>
      <c r="E17">
        <v>1</v>
      </c>
      <c r="F17">
        <v>5295.33</v>
      </c>
      <c r="G17">
        <v>6484.24</v>
      </c>
      <c r="I17" t="str">
        <v>PRO POLIZAS GMM</v>
      </c>
      <c r="J17" t="str">
        <v>mayte</v>
      </c>
    </row>
    <row r="18">
      <c r="A18" t="str">
        <v>ORLANDA JIMENA CERVANTES NUÑEZ</v>
      </c>
      <c r="B18">
        <v>2</v>
      </c>
      <c r="C18">
        <v>2</v>
      </c>
      <c r="D18">
        <v>3928.9627474400004</v>
      </c>
      <c r="E18">
        <v>0</v>
      </c>
      <c r="F18">
        <v>0</v>
      </c>
      <c r="G18">
        <v>3928.9627474400004</v>
      </c>
      <c r="I18" t="str">
        <v>NOVATO PRIMA GMM</v>
      </c>
      <c r="J18" t="str">
        <v>ivan</v>
      </c>
    </row>
    <row r="19">
      <c r="A19" t="str">
        <v>SOFIA CAMPILLO VASCONCELOS</v>
      </c>
      <c r="B19">
        <v>2</v>
      </c>
      <c r="C19">
        <v>2</v>
      </c>
      <c r="D19">
        <v>3476</v>
      </c>
      <c r="E19">
        <v>0</v>
      </c>
      <c r="F19">
        <v>0</v>
      </c>
      <c r="G19">
        <v>3215.45</v>
      </c>
      <c r="I19" t="str">
        <v>PRO PRIMAS GMM</v>
      </c>
      <c r="J19" t="str">
        <v>moni</v>
      </c>
    </row>
    <row r="20">
      <c r="A20" t="str">
        <v>ANDREA CELESTE IBAÑEZ RINCON</v>
      </c>
      <c r="B20">
        <v>1</v>
      </c>
      <c r="C20">
        <v>1</v>
      </c>
      <c r="D20">
        <v>3110.6931886889993</v>
      </c>
      <c r="E20">
        <v>0</v>
      </c>
      <c r="F20">
        <v>0</v>
      </c>
      <c r="G20">
        <v>3110.6931886889993</v>
      </c>
    </row>
    <row r="21">
      <c r="A21" t="str">
        <v>GABRIELA CASTAÑEDA SALAZAR</v>
      </c>
      <c r="B21">
        <v>1</v>
      </c>
      <c r="C21">
        <v>1</v>
      </c>
      <c r="D21">
        <v>3018.6032884</v>
      </c>
      <c r="E21">
        <v>0</v>
      </c>
      <c r="F21">
        <v>0</v>
      </c>
      <c r="G21">
        <v>3018.6032884</v>
      </c>
    </row>
    <row r="22">
      <c r="A22" t="str">
        <v>ANA LAURA CONTRERAS IÑIGUEZ</v>
      </c>
      <c r="B22">
        <v>1</v>
      </c>
      <c r="C22">
        <v>1</v>
      </c>
      <c r="D22">
        <v>2075.5369823999995</v>
      </c>
      <c r="E22">
        <v>0</v>
      </c>
      <c r="F22">
        <v>0</v>
      </c>
      <c r="G22">
        <v>2075.5369823999995</v>
      </c>
    </row>
    <row r="23">
      <c r="A23" t="str">
        <v>ISAI ANTONIO ROJAS MARTINEZ</v>
      </c>
      <c r="B23">
        <v>1</v>
      </c>
      <c r="C23">
        <v>1</v>
      </c>
      <c r="D23">
        <v>1430.1399849542997</v>
      </c>
      <c r="E23">
        <v>0</v>
      </c>
      <c r="F23">
        <v>0</v>
      </c>
      <c r="G23">
        <v>1430.1399849542997</v>
      </c>
    </row>
    <row r="24">
      <c r="A24" t="str">
        <v>JOSE ALBERTO CORONADO ROSAS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>
      <c r="A25" t="str">
        <v>HANA SOFIA LOPEZ QUIÑONEZ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>
      <c r="A26" t="str">
        <v>ROGELIO TORRES ORTIZ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>
      <c r="A27" t="str">
        <v>VELIA PATRICIA BERNAL RAMOS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>
      <c r="A28" t="str">
        <v>SAMUEL NUÑO RIVERA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>
      <c r="A29" t="str">
        <v>ADRIANA ALEJANDRA JOYA MARTINEZ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>
      <c r="A30" t="str">
        <v>ROCIO YANETH OCHOA IBARRA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>
      <c r="A31" t="str">
        <v>PAULINA LIZBETH SOTO MUÑIZ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>
      <c r="A32" t="str">
        <v>MARIA FERNANDA RIOS BERNAL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>
      <c r="A33" t="str">
        <v>MARIA ELIZABETH LLAMAS LOPEZ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>
      <c r="A34" t="str">
        <v>LUVIA PATRICIA FIGUEROA CASTRO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>
      <c r="A35" t="str">
        <v>JOSE EDUARDO EZQUERRO BARQUERA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>
      <c r="A36" t="str">
        <v>MIREYA LIZETTE TORRES GARCIA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>
      <c r="A37" t="str">
        <v>MARIA JOSE GUZMAN ZAMORA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>
      <c r="A38" t="str">
        <v>EVELYN CAROLINA VENEGAS IÑIGUEZ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>
      <c r="A39" t="str">
        <v>PAULINA RODRIGUEZ DE LA MORA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>
      <c r="A40" t="str">
        <v>PAULA ANGELICA LOMELI CAZARES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>
      <c r="A41" t="str">
        <v>MARIA FERNANDA CARLOS VAZQUEZ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>
      <c r="A42" t="str">
        <v>LUIS GUILLERMO OLGUIN FERNANDEZ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>
      <c r="A43" t="str">
        <v>GERARDO DANIEL BARAJAS TORRES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>
      <c r="A44" t="str">
        <v>ANA VERONICA GONZALEZ GAYTAN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 t="str">
        <v>JOCELYN URIBE VARGAS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</sheetData>
  <autoFilter ref="A1:G47"/>
  <mergeCells count="2">
    <mergeCell ref="I1:J1"/>
    <mergeCell ref="I11:J11"/>
  </mergeCells>
  <pageMargins left="0.7" right="0.7" top="0.75" bottom="0.75" header="0.3" footer="0.3"/>
  <ignoredErrors>
    <ignoredError numberStoredAsText="1" sqref="A1:J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8"/>
  <sheetViews>
    <sheetView workbookViewId="0" rightToLeft="0"/>
  </sheetViews>
  <sheetData>
    <row r="1">
      <c r="A1" t="str">
        <v>ASESOR</v>
      </c>
      <c r="B1" t="str">
        <v>FRECUENCIA</v>
      </c>
      <c r="C1" t="str">
        <v>RAMO</v>
      </c>
      <c r="D1" t="str">
        <v>MONTO ANUAL</v>
      </c>
      <c r="E1" t="str">
        <v>MONTO REAL</v>
      </c>
      <c r="F1" t="str">
        <v/>
      </c>
      <c r="G1" t="str">
        <v>TOTAL</v>
      </c>
      <c r="H1" t="str">
        <v/>
      </c>
    </row>
    <row r="2">
      <c r="A2" t="str">
        <v>DARINKA UREÑA CASILLAS 90355</v>
      </c>
      <c r="B2" t="str">
        <v>ANUAL</v>
      </c>
      <c r="C2" t="str">
        <v>GMM</v>
      </c>
      <c r="D2">
        <v>7566.33</v>
      </c>
      <c r="E2">
        <f>D2/IF(B2="MENSUAL",12,IF(B2="TRIMESTRAL",4,IF(B2="SEMESTRAL",2,1)))</f>
        <v>7566.33</v>
      </c>
      <c r="G2" t="str">
        <v>PRIMA VIDA</v>
      </c>
      <c r="H2">
        <f>SUMIF(C2:C28,"VIDA",E2:E28)</f>
        <v>417724.250233325</v>
      </c>
    </row>
    <row r="3">
      <c r="A3" t="str">
        <v>DARINKA UREÑA CASILLAS 90355</v>
      </c>
      <c r="B3" t="str">
        <v>ANUAL</v>
      </c>
      <c r="C3" t="str">
        <v>GMM</v>
      </c>
      <c r="D3">
        <v>24047.93</v>
      </c>
      <c r="E3">
        <f>D3/IF(B3="MENSUAL",12,IF(B3="TRIMESTRAL",4,IF(B3="SEMESTRAL",2,1)))</f>
        <v>24047.93</v>
      </c>
      <c r="G3" t="str">
        <v>PRIMA GMM</v>
      </c>
      <c r="H3">
        <f>SUMIF(C2:C28,"GMM",E2:E28)</f>
        <v>116326.43000000001</v>
      </c>
    </row>
    <row r="4">
      <c r="A4" t="str">
        <v>DARINKA UREÑA CASILLAS 90355</v>
      </c>
      <c r="B4" t="str">
        <v>SEMESTRAL</v>
      </c>
      <c r="C4" t="str">
        <v>VIDA</v>
      </c>
      <c r="D4">
        <v>36919.06090228</v>
      </c>
      <c r="E4">
        <f>D4/IF(B4="MENSUAL",12,IF(B4="TRIMESTRAL",4,IF(B4="SEMESTRAL",2,1)))</f>
        <v>18459.53045114</v>
      </c>
      <c r="G4" t="str">
        <v>POLIZAS GMM</v>
      </c>
      <c r="H4">
        <f>COUNTIF(C2:C28,"GMM")</f>
        <v>9</v>
      </c>
    </row>
    <row r="5">
      <c r="A5" t="str">
        <v>DESIREE DE LA PEÑA OROZCO 80122</v>
      </c>
      <c r="B5" t="str">
        <v>ANUAL</v>
      </c>
      <c r="C5" t="str">
        <v>GMM</v>
      </c>
      <c r="D5">
        <v>23043.64</v>
      </c>
      <c r="E5">
        <f>D5/IF(B5="MENSUAL",12,IF(B5="TRIMESTRAL",4,IF(B5="SEMESTRAL",2,1)))</f>
        <v>23043.64</v>
      </c>
      <c r="G5" t="str">
        <v>POLIZAS VIDA</v>
      </c>
      <c r="H5">
        <f>COUNTIF(C2:C28,"VIDA")</f>
        <v>18</v>
      </c>
    </row>
    <row r="6">
      <c r="A6" t="str">
        <v>JOSE ANTEMIO OLIVA SANTOS 118246</v>
      </c>
      <c r="B6" t="str">
        <v>MENSUAL</v>
      </c>
      <c r="C6" t="str">
        <v>VIDA</v>
      </c>
      <c r="D6">
        <v>25689.492069239997</v>
      </c>
      <c r="E6">
        <f>D6/IF(B6="MENSUAL",12,IF(B6="TRIMESTRAL",4,IF(B6="SEMESTRAL",2,1)))</f>
        <v>2140.7910057699996</v>
      </c>
    </row>
    <row r="7">
      <c r="A7" t="str">
        <v>JOSE ANTEMIO OLIVA SANTOS 118246</v>
      </c>
      <c r="B7" t="str">
        <v>MENSUAL</v>
      </c>
      <c r="C7" t="str">
        <v>VIDA</v>
      </c>
      <c r="D7">
        <v>25691.35546992</v>
      </c>
      <c r="E7">
        <f>D7/IF(B7="MENSUAL",12,IF(B7="TRIMESTRAL",4,IF(B7="SEMESTRAL",2,1)))</f>
        <v>2140.94628916</v>
      </c>
    </row>
    <row r="8">
      <c r="A8" t="str">
        <v>JOSE ANTEMIO OLIVA SANTOS 118246</v>
      </c>
      <c r="B8" t="str">
        <v>MENSUAL</v>
      </c>
      <c r="C8" t="str">
        <v>VIDA</v>
      </c>
      <c r="D8">
        <v>32843.66834094</v>
      </c>
      <c r="E8">
        <f>D8/IF(B8="MENSUAL",12,IF(B8="TRIMESTRAL",4,IF(B8="SEMESTRAL",2,1)))</f>
        <v>2736.972361745</v>
      </c>
    </row>
    <row r="9">
      <c r="A9" t="str">
        <v>JOSE ANTEMIO OLIVA SANTOS 118246</v>
      </c>
      <c r="B9" t="str">
        <v>ANUAL</v>
      </c>
      <c r="C9" t="str">
        <v>VIDA</v>
      </c>
      <c r="D9">
        <v>22338.46158136</v>
      </c>
      <c r="E9">
        <f>D9/IF(B9="MENSUAL",12,IF(B9="TRIMESTRAL",4,IF(B9="SEMESTRAL",2,1)))</f>
        <v>22338.46158136</v>
      </c>
    </row>
    <row r="10">
      <c r="A10" t="str">
        <v>JULIANA RIASCOS VALENCIA 100677</v>
      </c>
      <c r="B10" t="str">
        <v>ANUAL</v>
      </c>
      <c r="C10" t="str">
        <v>VIDA</v>
      </c>
      <c r="D10">
        <v>73579.6728483</v>
      </c>
      <c r="E10">
        <f>D10/IF(B10="MENSUAL",12,IF(B10="TRIMESTRAL",4,IF(B10="SEMESTRAL",2,1)))</f>
        <v>73579.6728483</v>
      </c>
    </row>
    <row r="11">
      <c r="A11" t="str">
        <v>LILIANA IVETTE CASTILLO SANCHEZ 108404</v>
      </c>
      <c r="B11" t="str">
        <v>SEMESTRAL</v>
      </c>
      <c r="C11" t="str">
        <v>VIDA</v>
      </c>
      <c r="D11">
        <v>66329.34684455</v>
      </c>
      <c r="E11">
        <f>D11/IF(B11="MENSUAL",12,IF(B11="TRIMESTRAL",4,IF(B11="SEMESTRAL",2,1)))</f>
        <v>33164.673422275</v>
      </c>
    </row>
    <row r="12">
      <c r="A12" t="str">
        <v>MARIA TERESA ASENCIO LOZANO 94156</v>
      </c>
      <c r="B12" t="str">
        <v>ANUAL</v>
      </c>
      <c r="C12" t="str">
        <v>VIDA</v>
      </c>
      <c r="D12">
        <v>79247.94524436</v>
      </c>
      <c r="E12">
        <f>D12/IF(B12="MENSUAL",12,IF(B12="TRIMESTRAL",4,IF(B12="SEMESTRAL",2,1)))</f>
        <v>79247.94524436</v>
      </c>
    </row>
    <row r="13">
      <c r="A13" t="str">
        <v>MARIA TERESA ASENCIO LOZANO 94156</v>
      </c>
      <c r="B13" t="str">
        <v>MENSUAL</v>
      </c>
      <c r="C13" t="str">
        <v>GMM</v>
      </c>
      <c r="D13">
        <v>55804.68000000001</v>
      </c>
      <c r="E13">
        <f>D13/IF(B13="MENSUAL",12,IF(B13="TRIMESTRAL",4,IF(B13="SEMESTRAL",2,1)))</f>
        <v>4650.39</v>
      </c>
    </row>
    <row r="14">
      <c r="A14" t="str">
        <v>MARIA TERESA ASENCIO LOZANO 94156</v>
      </c>
      <c r="B14" t="str">
        <v>ANUAL</v>
      </c>
      <c r="C14" t="str">
        <v>VIDA</v>
      </c>
      <c r="D14">
        <v>28598.62818912</v>
      </c>
      <c r="E14">
        <f>D14/IF(B14="MENSUAL",12,IF(B14="TRIMESTRAL",4,IF(B14="SEMESTRAL",2,1)))</f>
        <v>28598.62818912</v>
      </c>
    </row>
    <row r="15">
      <c r="A15" t="str">
        <v>MIREYA LIZETTE TORRES GARCIA 106018</v>
      </c>
      <c r="B15" t="str">
        <v>MENSUAL</v>
      </c>
      <c r="C15" t="str">
        <v>VIDA</v>
      </c>
      <c r="D15">
        <v>21286.739678640002</v>
      </c>
      <c r="E15">
        <f>D15/IF(B15="MENSUAL",12,IF(B15="TRIMESTRAL",4,IF(B15="SEMESTRAL",2,1)))</f>
        <v>1773.89497322</v>
      </c>
    </row>
    <row r="16">
      <c r="A16" t="str">
        <v>MONICA ANDREA AMBRIZ GOMEZ 87538</v>
      </c>
      <c r="B16" t="str">
        <v>MENSUAL</v>
      </c>
      <c r="C16" t="str">
        <v>GMM</v>
      </c>
      <c r="D16">
        <v>18271.199999999997</v>
      </c>
      <c r="E16">
        <f>D16/IF(B16="MENSUAL",12,IF(B16="TRIMESTRAL",4,IF(B16="SEMESTRAL",2,1)))</f>
        <v>1522.5999999999997</v>
      </c>
    </row>
    <row r="17">
      <c r="A17" t="str">
        <v>MONSERRAT VELASCO SANTOS 117440</v>
      </c>
      <c r="B17" t="str">
        <v>ANUAL</v>
      </c>
      <c r="C17" t="str">
        <v>VIDA</v>
      </c>
      <c r="D17">
        <v>20275.59173244</v>
      </c>
      <c r="E17">
        <f>D17/IF(B17="MENSUAL",12,IF(B17="TRIMESTRAL",4,IF(B17="SEMESTRAL",2,1)))</f>
        <v>20275.59173244</v>
      </c>
    </row>
    <row r="18">
      <c r="A18" t="str">
        <v>MONSERRAT VELASCO SANTOS 117440</v>
      </c>
      <c r="B18" t="str">
        <v>ANUAL</v>
      </c>
      <c r="C18" t="str">
        <v>VIDA</v>
      </c>
      <c r="D18">
        <v>20228.412000800003</v>
      </c>
      <c r="E18">
        <f>D18/IF(B18="MENSUAL",12,IF(B18="TRIMESTRAL",4,IF(B18="SEMESTRAL",2,1)))</f>
        <v>20228.412000800003</v>
      </c>
    </row>
    <row r="19">
      <c r="A19" t="str">
        <v>MONSERRAT VELASCO SANTOS 117440</v>
      </c>
      <c r="B19" t="str">
        <v>MENSUAL</v>
      </c>
      <c r="C19" t="str">
        <v>VIDA</v>
      </c>
      <c r="D19">
        <v>26291.70604416</v>
      </c>
      <c r="E19">
        <f>D19/IF(B19="MENSUAL",12,IF(B19="TRIMESTRAL",4,IF(B19="SEMESTRAL",2,1)))</f>
        <v>2190.97550368</v>
      </c>
    </row>
    <row r="20">
      <c r="A20" t="str">
        <v>ROGELIO TORRES ORTIZ 104718</v>
      </c>
      <c r="B20" t="str">
        <v>MENSUAL</v>
      </c>
      <c r="C20" t="str">
        <v>GMM</v>
      </c>
      <c r="D20">
        <v>31578.72</v>
      </c>
      <c r="E20">
        <f>D20/IF(B20="MENSUAL",12,IF(B20="TRIMESTRAL",4,IF(B20="SEMESTRAL",2,1)))</f>
        <v>2631.56</v>
      </c>
    </row>
    <row r="21">
      <c r="A21" t="str">
        <v>ROGELIO TORRES ORTIZ 104718</v>
      </c>
      <c r="B21" t="str">
        <v>ANUAL</v>
      </c>
      <c r="C21" t="str">
        <v>GMM</v>
      </c>
      <c r="D21">
        <v>24102.77</v>
      </c>
      <c r="E21">
        <f>D21/IF(B21="MENSUAL",12,IF(B21="TRIMESTRAL",4,IF(B21="SEMESTRAL",2,1)))</f>
        <v>24102.77</v>
      </c>
    </row>
    <row r="22">
      <c r="A22" t="str">
        <v>ROGELIO TORRES ORTIZ 104718</v>
      </c>
      <c r="B22" t="str">
        <v>SEMESTRAL</v>
      </c>
      <c r="C22" t="str">
        <v>VIDA</v>
      </c>
      <c r="D22">
        <v>86356.47303065</v>
      </c>
      <c r="E22">
        <f>D22/IF(B22="MENSUAL",12,IF(B22="TRIMESTRAL",4,IF(B22="SEMESTRAL",2,1)))</f>
        <v>43178.236515325</v>
      </c>
    </row>
    <row r="23">
      <c r="A23" t="str">
        <v>MARIO IVAN ROMERO GONZALEZ 118069</v>
      </c>
      <c r="B23" t="str">
        <v>ANUAL</v>
      </c>
      <c r="C23" t="str">
        <v>VIDA</v>
      </c>
      <c r="D23">
        <v>56188.06012974</v>
      </c>
      <c r="E23">
        <f>D23/IF(B23="MENSUAL",12,IF(B23="TRIMESTRAL",4,IF(B23="SEMESTRAL",2,1)))</f>
        <v>56188.06012974</v>
      </c>
    </row>
    <row r="24">
      <c r="A24" t="str">
        <v>MARIO IVAN ROMERO GONZALEZ 118069</v>
      </c>
      <c r="B24" t="str">
        <v>ANUAL</v>
      </c>
      <c r="C24" t="str">
        <v>GMM</v>
      </c>
      <c r="D24">
        <v>28021.74</v>
      </c>
      <c r="E24">
        <f>D24/IF(B24="MENSUAL",12,IF(B24="TRIMESTRAL",4,IF(B24="SEMESTRAL",2,1)))</f>
        <v>28021.74</v>
      </c>
    </row>
    <row r="25">
      <c r="A25" t="str">
        <v>SOFIA CAMPILLO VASCONCELOS 116883</v>
      </c>
      <c r="B25" t="str">
        <v>MENSUAL</v>
      </c>
      <c r="C25" t="str">
        <v>VIDA</v>
      </c>
      <c r="D25">
        <v>30381.0414582</v>
      </c>
      <c r="E25">
        <f>D25/IF(B25="MENSUAL",12,IF(B25="TRIMESTRAL",4,IF(B25="SEMESTRAL",2,1)))</f>
        <v>2531.7534548500003</v>
      </c>
    </row>
    <row r="26">
      <c r="A26" t="str">
        <v>SOFIA CAMPILLO VASCONCELOS 116883</v>
      </c>
      <c r="B26" t="str">
        <v>TRIMESTRAL</v>
      </c>
      <c r="C26" t="str">
        <v>VIDA</v>
      </c>
      <c r="D26">
        <v>28633.7140712</v>
      </c>
      <c r="E26">
        <f>D26/IF(B26="MENSUAL",12,IF(B26="TRIMESTRAL",4,IF(B26="SEMESTRAL",2,1)))</f>
        <v>7158.4285178</v>
      </c>
    </row>
    <row r="27">
      <c r="A27" t="str">
        <v>VELIA PATRICIA BERNAL RAMOS 115047</v>
      </c>
      <c r="B27" t="str">
        <v>MENSUAL</v>
      </c>
      <c r="C27" t="str">
        <v>VIDA</v>
      </c>
      <c r="D27">
        <v>21495.312146880002</v>
      </c>
      <c r="E27">
        <f>D27/IF(B27="MENSUAL",12,IF(B27="TRIMESTRAL",4,IF(B27="SEMESTRAL",2,1)))</f>
        <v>1791.2760122400002</v>
      </c>
    </row>
    <row r="28">
      <c r="A28" t="str">
        <v>VELIA PATRICIA BERNAL RAMOS 115047</v>
      </c>
      <c r="B28" t="str">
        <v>MENSUAL</v>
      </c>
      <c r="C28" t="str">
        <v>GMM</v>
      </c>
      <c r="D28">
        <v>8873.64</v>
      </c>
      <c r="E28">
        <f>D28/IF(B28="MENSUAL",12,IF(B28="TRIMESTRAL",4,IF(B28="SEMESTRAL",2,1)))</f>
        <v>739.4699999999999</v>
      </c>
    </row>
  </sheetData>
  <pageMargins left="0.7" right="0.7" top="0.75" bottom="0.75" header="0.3" footer="0.3"/>
  <ignoredErrors>
    <ignoredError numberStoredAsText="1" sqref="A1:H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9"/>
  <sheetViews>
    <sheetView workbookViewId="0" rightToLeft="0"/>
  </sheetViews>
  <sheetData>
    <row r="1">
      <c r="A1" t="str">
        <v>Asesor</v>
      </c>
      <c r="B1" t="str">
        <v xml:space="preserve">Pólizas </v>
      </c>
      <c r="C1" t="str">
        <v>Vida</v>
      </c>
      <c r="D1" t="str">
        <v>Prima Pagada vida</v>
      </c>
      <c r="E1" t="str">
        <v>Gmm</v>
      </c>
      <c r="F1" t="str">
        <v>Prima Pagada gmm</v>
      </c>
      <c r="G1" t="str">
        <v>Prima total</v>
      </c>
      <c r="H1" t="str">
        <v/>
      </c>
      <c r="I1" t="str">
        <v>TOTAL</v>
      </c>
      <c r="J1" t="str">
        <v/>
      </c>
    </row>
    <row r="2">
      <c r="A2" t="str">
        <v>DARINKA UREÑA CASILLAS</v>
      </c>
      <c r="B2">
        <f>C2+E2</f>
        <v>2</v>
      </c>
      <c r="C2">
        <v>1</v>
      </c>
      <c r="D2">
        <v>18459.53045114</v>
      </c>
      <c r="E2">
        <v>1</v>
      </c>
      <c r="F2">
        <v>31614.260000000002</v>
      </c>
      <c r="G2">
        <f>D2+F2</f>
        <v>50073.79045114</v>
      </c>
      <c r="H2" t="str">
        <v/>
      </c>
      <c r="I2" t="str">
        <v>PRIMA VIDA</v>
      </c>
      <c r="J2">
        <f>SUM(D2:D14)</f>
        <v>417724.25023332506</v>
      </c>
    </row>
    <row r="3">
      <c r="A3" t="str">
        <v>MARIO IVAN ROMERO GONZALEZ</v>
      </c>
      <c r="B3">
        <f>C3+E3</f>
        <v>1.5</v>
      </c>
      <c r="C3">
        <v>1</v>
      </c>
      <c r="D3">
        <v>56188.06012974</v>
      </c>
      <c r="E3">
        <v>0.5</v>
      </c>
      <c r="F3">
        <v>28021.74</v>
      </c>
      <c r="G3">
        <f>D3+F3</f>
        <v>84209.80012974</v>
      </c>
      <c r="H3" t="str">
        <v/>
      </c>
      <c r="I3" t="str">
        <v>POLIZAS VIDA</v>
      </c>
      <c r="J3">
        <f>SUM(C2:C14)</f>
        <v>18</v>
      </c>
    </row>
    <row r="4">
      <c r="A4" t="str">
        <v>ROGELIO TORRES ORTIZ</v>
      </c>
      <c r="B4">
        <f>C4+E4</f>
        <v>2</v>
      </c>
      <c r="C4">
        <v>1</v>
      </c>
      <c r="D4">
        <v>43178.236515325</v>
      </c>
      <c r="E4">
        <v>1</v>
      </c>
      <c r="F4">
        <v>26734.33</v>
      </c>
      <c r="G4">
        <f>D4+F4</f>
        <v>69912.566515325</v>
      </c>
      <c r="H4" t="str">
        <v/>
      </c>
      <c r="I4" t="str">
        <v>PRIMA GMM</v>
      </c>
      <c r="J4">
        <f>SUM(F2:F14)</f>
        <v>116326.43000000001</v>
      </c>
    </row>
    <row r="5">
      <c r="A5" t="str">
        <v>DESIREE DE LA PEÑA OROZCO</v>
      </c>
      <c r="B5">
        <f>C5+E5</f>
        <v>0.5</v>
      </c>
      <c r="C5">
        <v>0</v>
      </c>
      <c r="D5">
        <v>0</v>
      </c>
      <c r="E5">
        <v>0.5</v>
      </c>
      <c r="F5">
        <v>23043.64</v>
      </c>
      <c r="G5">
        <f>D5+F5</f>
        <v>23043.64</v>
      </c>
      <c r="H5" t="str">
        <v/>
      </c>
      <c r="I5" t="str">
        <v>POLIZAS GMM</v>
      </c>
      <c r="J5">
        <f>SUM(E2:E14)</f>
        <v>4.5</v>
      </c>
    </row>
    <row r="6">
      <c r="A6" t="str">
        <v>MARIA TERESA ASENCIO LOZANO</v>
      </c>
      <c r="B6">
        <f>C6+E6</f>
        <v>2.5</v>
      </c>
      <c r="C6">
        <v>2</v>
      </c>
      <c r="D6">
        <v>107846.57343348</v>
      </c>
      <c r="E6">
        <v>0.5</v>
      </c>
      <c r="F6">
        <v>4650.39</v>
      </c>
      <c r="G6">
        <f>D6+F6</f>
        <v>112496.96343348</v>
      </c>
      <c r="H6" t="str">
        <v/>
      </c>
      <c r="I6" t="str">
        <v>POLIZAS V+GMM</v>
      </c>
      <c r="J6">
        <f>SUM(B2:B14)</f>
        <v>22.5</v>
      </c>
    </row>
    <row r="7">
      <c r="A7" t="str">
        <v>MONICA ANDREA AMBRIZ GOMEZ</v>
      </c>
      <c r="B7">
        <f>C7+E7</f>
        <v>0.5</v>
      </c>
      <c r="C7">
        <v>0</v>
      </c>
      <c r="D7">
        <v>0</v>
      </c>
      <c r="E7">
        <v>0.5</v>
      </c>
      <c r="F7">
        <v>1522.5999999999997</v>
      </c>
      <c r="G7">
        <f>D7+F7</f>
        <v>1522.5999999999997</v>
      </c>
      <c r="H7" t="str">
        <v/>
      </c>
      <c r="I7" t="str">
        <v>PRIMA VI+GMM</v>
      </c>
      <c r="J7">
        <f>SUM(G2:G14)</f>
        <v>534050.680233325</v>
      </c>
    </row>
    <row r="8">
      <c r="A8" t="str">
        <v>VELIA PATRICIA BERNAL RAMOS</v>
      </c>
      <c r="B8">
        <f>C8+E8</f>
        <v>1.5</v>
      </c>
      <c r="C8">
        <v>1</v>
      </c>
      <c r="D8">
        <v>1791.2760122400002</v>
      </c>
      <c r="E8">
        <v>0.5</v>
      </c>
      <c r="F8">
        <v>739.4699999999999</v>
      </c>
      <c r="G8">
        <f>D8+F8</f>
        <v>2530.7460122400003</v>
      </c>
      <c r="H8" t="str">
        <v/>
      </c>
      <c r="I8" t="str">
        <v/>
      </c>
      <c r="J8" t="str">
        <v/>
      </c>
    </row>
    <row r="9">
      <c r="A9" t="str">
        <v>JULIANA RIASCOS VALENCIA</v>
      </c>
      <c r="B9">
        <f>C9+E9</f>
        <v>1</v>
      </c>
      <c r="C9">
        <v>1</v>
      </c>
      <c r="D9">
        <v>73579.6728483</v>
      </c>
      <c r="E9">
        <v>0</v>
      </c>
      <c r="F9">
        <v>0</v>
      </c>
      <c r="G9">
        <f>D9+F9</f>
        <v>73579.6728483</v>
      </c>
      <c r="H9" t="str">
        <v/>
      </c>
      <c r="I9" t="str">
        <v/>
      </c>
      <c r="J9" t="str">
        <v/>
      </c>
    </row>
    <row r="10">
      <c r="A10" t="str">
        <v>MONSERRAT VELASCO SANTOS</v>
      </c>
      <c r="B10">
        <f>C10+E10</f>
        <v>3</v>
      </c>
      <c r="C10">
        <v>3</v>
      </c>
      <c r="D10">
        <v>42694.97923692</v>
      </c>
      <c r="E10">
        <v>0</v>
      </c>
      <c r="F10">
        <v>0</v>
      </c>
      <c r="G10">
        <f>D10+F10</f>
        <v>42694.97923692</v>
      </c>
      <c r="H10" t="str">
        <v/>
      </c>
      <c r="I10" t="str">
        <v/>
      </c>
      <c r="J10" t="str">
        <v/>
      </c>
    </row>
    <row r="11">
      <c r="A11" t="str">
        <v>LILIANA IVETTE CASTILLO SANCHEZ</v>
      </c>
      <c r="B11">
        <f>C11+E11</f>
        <v>1</v>
      </c>
      <c r="C11">
        <v>1</v>
      </c>
      <c r="D11">
        <v>33164.673422275</v>
      </c>
      <c r="E11">
        <v>0</v>
      </c>
      <c r="F11">
        <v>0</v>
      </c>
      <c r="G11">
        <f>D11+F11</f>
        <v>33164.673422275</v>
      </c>
      <c r="H11" t="str">
        <v/>
      </c>
      <c r="I11" t="str">
        <v>CAMPEONES:</v>
      </c>
    </row>
    <row r="12">
      <c r="A12" t="str">
        <v>JOSE ANTEMIO OLIVA SANTOS</v>
      </c>
      <c r="B12">
        <f>C12+E12</f>
        <v>4</v>
      </c>
      <c r="C12">
        <v>4</v>
      </c>
      <c r="D12">
        <v>29357.171238035</v>
      </c>
      <c r="E12">
        <v>0</v>
      </c>
      <c r="F12">
        <v>0</v>
      </c>
      <c r="G12">
        <f>D12+F12</f>
        <v>29357.171238035</v>
      </c>
      <c r="H12" t="str">
        <v/>
      </c>
      <c r="I12" t="str">
        <v>NOVATO POLIZAS VIDA</v>
      </c>
      <c r="J12" t="str">
        <v>antemio</v>
      </c>
    </row>
    <row r="13">
      <c r="A13" t="str">
        <v>SOFIA CAMPILLO VASCONCELOS</v>
      </c>
      <c r="B13">
        <f>C13+E13</f>
        <v>2</v>
      </c>
      <c r="C13">
        <v>2</v>
      </c>
      <c r="D13">
        <v>9690.18197265</v>
      </c>
      <c r="E13">
        <v>0</v>
      </c>
      <c r="F13">
        <v>0</v>
      </c>
      <c r="G13">
        <f>D13+F13</f>
        <v>9690.18197265</v>
      </c>
      <c r="H13" t="str">
        <v/>
      </c>
      <c r="I13" t="str">
        <v>PRO POLIZAS VIDA</v>
      </c>
      <c r="J13" t="str">
        <v>mayte</v>
      </c>
    </row>
    <row r="14">
      <c r="A14" t="str">
        <v>MIREYA LIZETTE TORRES GARCIA</v>
      </c>
      <c r="B14">
        <f>C14+E14</f>
        <v>1</v>
      </c>
      <c r="C14">
        <v>1</v>
      </c>
      <c r="D14">
        <v>1773.89497322</v>
      </c>
      <c r="E14">
        <v>0</v>
      </c>
      <c r="F14">
        <v>0</v>
      </c>
      <c r="G14">
        <f>D14+F14</f>
        <v>1773.89497322</v>
      </c>
      <c r="H14" t="str">
        <v/>
      </c>
      <c r="I14" t="str">
        <v>NOVATO PRIMA VIDA</v>
      </c>
      <c r="J14" t="str">
        <v>ivan</v>
      </c>
    </row>
    <row r="15">
      <c r="I15" t="str">
        <v>PRO PRIMA VIDA</v>
      </c>
      <c r="J15" t="str">
        <v>mayte</v>
      </c>
    </row>
    <row r="16">
      <c r="I16" t="str">
        <v>NOVATO POLIZAS GMM</v>
      </c>
      <c r="J16" t="str">
        <v>ivan</v>
      </c>
    </row>
    <row r="17">
      <c r="I17" t="str">
        <v>PRO POLIZAS GMM</v>
      </c>
      <c r="J17" t="str">
        <v>darinka</v>
      </c>
    </row>
    <row r="18">
      <c r="I18" t="str">
        <v>NOVATO PRIMA GMM</v>
      </c>
      <c r="J18" t="str">
        <v>ivan</v>
      </c>
    </row>
    <row r="19">
      <c r="I19" t="str">
        <v>PRO PRIMAS GMM</v>
      </c>
      <c r="J19" t="str">
        <v>darinka</v>
      </c>
    </row>
  </sheetData>
  <autoFilter ref="A1:G19"/>
  <mergeCells count="1">
    <mergeCell ref="I11:J11"/>
  </mergeCells>
  <pageMargins left="0.7" right="0.7" top="0.75" bottom="0.75" header="0.3" footer="0.3"/>
  <ignoredErrors>
    <ignoredError numberStoredAsText="1" sqref="A1:J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 rightToLeft="0"/>
  </sheetViews>
  <sheetData>
    <row r="1">
      <c r="A1" t="str">
        <v>ASESOR</v>
      </c>
      <c r="B1" t="str">
        <v>FRECUENCIA</v>
      </c>
      <c r="C1" t="str">
        <v>RAMO</v>
      </c>
      <c r="D1" t="str">
        <v>MONTO ANUAL</v>
      </c>
      <c r="E1" t="str">
        <v>MONTO REAL</v>
      </c>
      <c r="F1" t="str">
        <v/>
      </c>
      <c r="G1" t="str">
        <v>TOTAL</v>
      </c>
      <c r="H1" t="str">
        <v/>
      </c>
    </row>
    <row r="2">
      <c r="A2" t="str">
        <v>DARINKA UREÑA CASILLAS 90355</v>
      </c>
      <c r="B2" t="str">
        <v>MENSUAL</v>
      </c>
      <c r="C2" t="str">
        <v>VIDA</v>
      </c>
      <c r="D2">
        <v>28355.0347050036</v>
      </c>
      <c r="E2">
        <f>D2/IF(B2="MENSUAL",12,IF(B2="TRIMESTRAL",4,IF(B2="SEMESTRAL",2,1)))</f>
        <v>2362.9195587503</v>
      </c>
      <c r="G2" t="str">
        <v>PRIMA VIDA</v>
      </c>
      <c r="H2">
        <f>SUMIF(C2:C25,"VIDA",E2:E25)</f>
        <v>561595.3677871429</v>
      </c>
    </row>
    <row r="3">
      <c r="A3" t="str">
        <v>DARINKA UREÑA CASILLAS 90355</v>
      </c>
      <c r="B3" t="str">
        <v>SEMESTRAL</v>
      </c>
      <c r="C3" t="str">
        <v>VIDA</v>
      </c>
      <c r="D3">
        <v>24718.650359059997</v>
      </c>
      <c r="E3">
        <f>D3/IF(B3="MENSUAL",12,IF(B3="TRIMESTRAL",4,IF(B3="SEMESTRAL",2,1)))</f>
        <v>12359.325179529998</v>
      </c>
      <c r="G3" t="str">
        <v>PRIMA GMM</v>
      </c>
      <c r="H3">
        <f>SUMIF(C2:C25,"GMM",E2:E25)</f>
        <v>37128.26</v>
      </c>
    </row>
    <row r="4">
      <c r="A4" t="str">
        <v>DESIREE DE LA PEÑA OROZCO 80122</v>
      </c>
      <c r="B4" t="str">
        <v>ANUAL</v>
      </c>
      <c r="C4" t="str">
        <v>VIDA</v>
      </c>
      <c r="D4">
        <v>96899.18338314</v>
      </c>
      <c r="E4">
        <f>D4/IF(B4="MENSUAL",12,IF(B4="TRIMESTRAL",4,IF(B4="SEMESTRAL",2,1)))</f>
        <v>96899.18338314</v>
      </c>
      <c r="G4" t="str">
        <v>POLIZAS GMM</v>
      </c>
      <c r="H4">
        <f>COUNTIF(C2:C25,"GMM")</f>
        <v>5</v>
      </c>
    </row>
    <row r="5">
      <c r="A5" t="str">
        <v>DESIREE DE LA PEÑA OROZCO 80122</v>
      </c>
      <c r="B5" t="str">
        <v>ANUAL</v>
      </c>
      <c r="C5" t="str">
        <v>VIDA</v>
      </c>
      <c r="D5">
        <v>66100.98507036999</v>
      </c>
      <c r="E5">
        <f>D5/IF(B5="MENSUAL",12,IF(B5="TRIMESTRAL",4,IF(B5="SEMESTRAL",2,1)))</f>
        <v>66100.98507036999</v>
      </c>
      <c r="G5" t="str">
        <v>POLIZAS VIDA</v>
      </c>
      <c r="H5">
        <f>COUNTIF(C2:C25,"VIDA")</f>
        <v>19</v>
      </c>
    </row>
    <row r="6">
      <c r="A6" t="str">
        <v>HUMBERTO EMMANUEL SANDOVAL MOLINS 118915</v>
      </c>
      <c r="B6" t="str">
        <v>ANUAL</v>
      </c>
      <c r="C6" t="str">
        <v>VIDA</v>
      </c>
      <c r="D6">
        <v>33322.85476690999</v>
      </c>
      <c r="E6">
        <f>D6/IF(B6="MENSUAL",12,IF(B6="TRIMESTRAL",4,IF(B6="SEMESTRAL",2,1)))</f>
        <v>33322.85476690999</v>
      </c>
    </row>
    <row r="7">
      <c r="A7" t="str">
        <v>JORGE ANTONIO LUNA LARA 111056</v>
      </c>
      <c r="B7" t="str">
        <v>MENSUAL</v>
      </c>
      <c r="C7" t="str">
        <v>VIDA</v>
      </c>
      <c r="D7">
        <v>73112.78347548</v>
      </c>
      <c r="E7">
        <f>D7/IF(B7="MENSUAL",12,IF(B7="TRIMESTRAL",4,IF(B7="SEMESTRAL",2,1)))</f>
        <v>6092.73195629</v>
      </c>
    </row>
    <row r="8">
      <c r="A8" t="str">
        <v>JOSE ANTEMIO OLIVA SANTOS 118246</v>
      </c>
      <c r="B8" t="str">
        <v>MENSUAL</v>
      </c>
      <c r="C8" t="str">
        <v>VIDA</v>
      </c>
      <c r="D8">
        <v>23580.4172538624</v>
      </c>
      <c r="E8">
        <f>D8/IF(B8="MENSUAL",12,IF(B8="TRIMESTRAL",4,IF(B8="SEMESTRAL",2,1)))</f>
        <v>1965.0347711552001</v>
      </c>
    </row>
    <row r="9">
      <c r="A9" t="str">
        <v>JOSE ANTEMIO OLIVA SANTOS 118246</v>
      </c>
      <c r="B9" t="str">
        <v>MENSUAL</v>
      </c>
      <c r="C9" t="str">
        <v>GMM</v>
      </c>
      <c r="D9">
        <v>65420.399999999994</v>
      </c>
      <c r="E9">
        <f>D9/IF(B9="MENSUAL",12,IF(B9="TRIMESTRAL",4,IF(B9="SEMESTRAL",2,1)))</f>
        <v>5451.7</v>
      </c>
    </row>
    <row r="10">
      <c r="A10" t="str">
        <v>JOSE RENE DE ALBA MORALES 110575</v>
      </c>
      <c r="B10" t="str">
        <v>ANUAL</v>
      </c>
      <c r="C10" t="str">
        <v>VIDA</v>
      </c>
      <c r="D10">
        <v>90033.45425668</v>
      </c>
      <c r="E10">
        <f>D10/IF(B10="MENSUAL",12,IF(B10="TRIMESTRAL",4,IF(B10="SEMESTRAL",2,1)))</f>
        <v>90033.45425668</v>
      </c>
    </row>
    <row r="11">
      <c r="A11" t="str">
        <v>LILIANA IVETTE CASTILLO SANCHEZ 108404</v>
      </c>
      <c r="B11" t="str">
        <v>MENSUAL</v>
      </c>
      <c r="C11" t="str">
        <v>VIDA</v>
      </c>
      <c r="D11">
        <v>23527.39078944</v>
      </c>
      <c r="E11">
        <f>D11/IF(B11="MENSUAL",12,IF(B11="TRIMESTRAL",4,IF(B11="SEMESTRAL",2,1)))</f>
        <v>1960.61589912</v>
      </c>
    </row>
    <row r="12">
      <c r="A12" t="str">
        <v>MONICA ANDREA AMBRIZ GOMEZ 87538</v>
      </c>
      <c r="B12" t="str">
        <v>MENSUAL</v>
      </c>
      <c r="C12" t="str">
        <v>GMM</v>
      </c>
      <c r="D12">
        <v>27662.28</v>
      </c>
      <c r="E12">
        <f>D12/IF(B12="MENSUAL",12,IF(B12="TRIMESTRAL",4,IF(B12="SEMESTRAL",2,1)))</f>
        <v>2305.19</v>
      </c>
    </row>
    <row r="13">
      <c r="A13" t="str">
        <v>MONICA ANDREA AMBRIZ GOMEZ 87538</v>
      </c>
      <c r="B13" t="str">
        <v>ANUAL</v>
      </c>
      <c r="C13" t="str">
        <v>VIDA</v>
      </c>
      <c r="D13">
        <v>83019.2</v>
      </c>
      <c r="E13">
        <f>D13/IF(B13="MENSUAL",12,IF(B13="TRIMESTRAL",4,IF(B13="SEMESTRAL",2,1)))</f>
        <v>83019.2</v>
      </c>
    </row>
    <row r="14">
      <c r="A14" t="str">
        <v>MONICA ANDREA AMBRIZ GOMEZ 87538</v>
      </c>
      <c r="B14" t="str">
        <v>MENSUAL</v>
      </c>
      <c r="C14" t="str">
        <v>VIDA</v>
      </c>
      <c r="D14">
        <v>36338.3997381288</v>
      </c>
      <c r="E14">
        <f>D14/IF(B14="MENSUAL",12,IF(B14="TRIMESTRAL",4,IF(B14="SEMESTRAL",2,1)))</f>
        <v>3028.1999781773998</v>
      </c>
    </row>
    <row r="15">
      <c r="A15" t="str">
        <v>MONSERRAT VELASCO SANTOS 117440</v>
      </c>
      <c r="B15" t="str">
        <v>ANUAL</v>
      </c>
      <c r="C15" t="str">
        <v>VIDA</v>
      </c>
      <c r="D15">
        <v>58335.86210191999</v>
      </c>
      <c r="E15">
        <f>D15/IF(B15="MENSUAL",12,IF(B15="TRIMESTRAL",4,IF(B15="SEMESTRAL",2,1)))</f>
        <v>58335.86210191999</v>
      </c>
    </row>
    <row r="16">
      <c r="A16" t="str">
        <v>OSCAR RAMIREZ RUIZ 119223</v>
      </c>
      <c r="B16" t="str">
        <v>MENSUAL</v>
      </c>
      <c r="C16" t="str">
        <v>VIDA</v>
      </c>
      <c r="D16">
        <v>28766.235240000005</v>
      </c>
      <c r="E16">
        <f>D16/IF(B16="MENSUAL",12,IF(B16="TRIMESTRAL",4,IF(B16="SEMESTRAL",2,1)))</f>
        <v>2397.1862700000006</v>
      </c>
    </row>
    <row r="17">
      <c r="A17" t="str">
        <v>PAULINA LIZBETH SOTO MUÑIZ 104750</v>
      </c>
      <c r="B17" t="str">
        <v>ANUAL</v>
      </c>
      <c r="C17" t="str">
        <v>VIDA</v>
      </c>
      <c r="D17">
        <v>34327.82543427</v>
      </c>
      <c r="E17">
        <f>D17/IF(B17="MENSUAL",12,IF(B17="TRIMESTRAL",4,IF(B17="SEMESTRAL",2,1)))</f>
        <v>34327.82543427</v>
      </c>
    </row>
    <row r="18">
      <c r="A18" t="str">
        <v>PAULINA LIZBETH SOTO MUÑIZ 104750</v>
      </c>
      <c r="B18" t="str">
        <v>ANUAL</v>
      </c>
      <c r="C18" t="str">
        <v>VIDA</v>
      </c>
      <c r="D18">
        <v>29809.2060079</v>
      </c>
      <c r="E18">
        <f>D18/IF(B18="MENSUAL",12,IF(B18="TRIMESTRAL",4,IF(B18="SEMESTRAL",2,1)))</f>
        <v>29809.2060079</v>
      </c>
    </row>
    <row r="19">
      <c r="A19" t="str">
        <v>PAULINA LIZBETH SOTO MUÑIZ 104750</v>
      </c>
      <c r="B19" t="str">
        <v>ANUAL</v>
      </c>
      <c r="C19" t="str">
        <v>GMM</v>
      </c>
      <c r="D19">
        <v>26627.46</v>
      </c>
      <c r="E19">
        <f>D19/IF(B19="MENSUAL",12,IF(B19="TRIMESTRAL",4,IF(B19="SEMESTRAL",2,1)))</f>
        <v>26627.46</v>
      </c>
    </row>
    <row r="20">
      <c r="A20" t="str">
        <v>LUIS ANTONIO SALAZAR ESPINOSA 119447</v>
      </c>
      <c r="B20" t="str">
        <v>MENSUAL</v>
      </c>
      <c r="C20" t="str">
        <v>VIDA</v>
      </c>
      <c r="D20">
        <v>36672.00498072</v>
      </c>
      <c r="E20">
        <f>D20/IF(B20="MENSUAL",12,IF(B20="TRIMESTRAL",4,IF(B20="SEMESTRAL",2,1)))</f>
        <v>3056.00041506</v>
      </c>
    </row>
    <row r="21">
      <c r="A21" t="str">
        <v>LUIS ANTONIO SALAZAR ESPINOSA 119447</v>
      </c>
      <c r="B21" t="str">
        <v>MENSUAL</v>
      </c>
      <c r="C21" t="str">
        <v>VIDA</v>
      </c>
      <c r="D21">
        <v>20910.71027808</v>
      </c>
      <c r="E21">
        <f>D21/IF(B21="MENSUAL",12,IF(B21="TRIMESTRAL",4,IF(B21="SEMESTRAL",2,1)))</f>
        <v>1742.55918984</v>
      </c>
    </row>
    <row r="22">
      <c r="A22" t="str">
        <v>MARIO IVAN ROMERO GONZALEZ 118069</v>
      </c>
      <c r="B22" t="str">
        <v>SEMESTRAL</v>
      </c>
      <c r="C22" t="str">
        <v>VIDA</v>
      </c>
      <c r="D22">
        <v>36755.1864975</v>
      </c>
      <c r="E22">
        <f>D22/IF(B22="MENSUAL",12,IF(B22="TRIMESTRAL",4,IF(B22="SEMESTRAL",2,1)))</f>
        <v>18377.59324875</v>
      </c>
    </row>
    <row r="23">
      <c r="A23" t="str">
        <v>MARIO IVAN ROMERO GONZALEZ 118069</v>
      </c>
      <c r="B23" t="str">
        <v>MENSUAL</v>
      </c>
      <c r="C23" t="str">
        <v>GMM</v>
      </c>
      <c r="D23">
        <v>24314.64</v>
      </c>
      <c r="E23">
        <f>D23/IF(B23="MENSUAL",12,IF(B23="TRIMESTRAL",4,IF(B23="SEMESTRAL",2,1)))</f>
        <v>2026.22</v>
      </c>
    </row>
    <row r="24">
      <c r="A24" t="str">
        <v>PAULA ANGELICA LOMELI CAZARES 116876</v>
      </c>
      <c r="B24" t="str">
        <v>SEMESTRAL</v>
      </c>
      <c r="C24" t="str">
        <v>VIDA</v>
      </c>
      <c r="D24">
        <v>32809.260598559995</v>
      </c>
      <c r="E24">
        <f>D24/IF(B24="MENSUAL",12,IF(B24="TRIMESTRAL",4,IF(B24="SEMESTRAL",2,1)))</f>
        <v>16404.630299279997</v>
      </c>
    </row>
    <row r="25">
      <c r="A25" t="str">
        <v>VELIA PATRICIA BERNAL RAMOS 115047</v>
      </c>
      <c r="B25" t="str">
        <v>MENSUAL</v>
      </c>
      <c r="C25" t="str">
        <v>GMM</v>
      </c>
      <c r="D25">
        <v>8612.28</v>
      </c>
      <c r="E25">
        <f>D25/IF(B25="MENSUAL",12,IF(B25="TRIMESTRAL",4,IF(B25="SEMESTRAL",2,1)))</f>
        <v>717.69</v>
      </c>
    </row>
  </sheetData>
  <pageMargins left="0.7" right="0.7" top="0.75" bottom="0.75" header="0.3" footer="0.3"/>
  <ignoredErrors>
    <ignoredError numberStoredAsText="1" sqref="A1:H2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19"/>
  <sheetViews>
    <sheetView workbookViewId="0" rightToLeft="0"/>
  </sheetViews>
  <sheetData>
    <row r="1">
      <c r="A1" t="str">
        <v>Asesor</v>
      </c>
      <c r="B1" t="str">
        <v xml:space="preserve">Pólizas </v>
      </c>
      <c r="C1" t="str">
        <v>Vida</v>
      </c>
      <c r="D1" t="str">
        <v>Prima Pagada vida</v>
      </c>
      <c r="E1" t="str">
        <v>Gmm</v>
      </c>
      <c r="F1" t="str">
        <v>Prima Pagada gmm</v>
      </c>
      <c r="G1" t="str">
        <v>Prima total</v>
      </c>
      <c r="H1" t="str">
        <v/>
      </c>
      <c r="I1" t="str">
        <v>TOTAL</v>
      </c>
      <c r="J1" t="str">
        <v/>
      </c>
    </row>
    <row r="2">
      <c r="A2" t="str">
        <v>DESIREE DE LA PEÑA OROZCO</v>
      </c>
      <c r="B2">
        <v>2</v>
      </c>
      <c r="C2">
        <v>2</v>
      </c>
      <c r="D2">
        <v>163000.16845350998</v>
      </c>
      <c r="E2">
        <v>0</v>
      </c>
      <c r="F2">
        <v>0</v>
      </c>
      <c r="G2">
        <v>163000.16845350998</v>
      </c>
      <c r="H2" t="str">
        <v/>
      </c>
      <c r="I2" t="str">
        <v>PRIMA VIDA</v>
      </c>
      <c r="J2">
        <v>563907.975137393</v>
      </c>
    </row>
    <row r="3">
      <c r="A3" t="str">
        <v>PAULINA LIZBETH SOTO MUÑIZ</v>
      </c>
      <c r="B3">
        <v>2.5</v>
      </c>
      <c r="C3">
        <v>2</v>
      </c>
      <c r="D3">
        <v>64137.03144217</v>
      </c>
      <c r="E3">
        <v>0.5</v>
      </c>
      <c r="F3">
        <v>26627.46</v>
      </c>
      <c r="G3">
        <v>90764.49144217</v>
      </c>
      <c r="H3" t="str">
        <v/>
      </c>
      <c r="I3" t="str">
        <v>POLIZAS VIDA</v>
      </c>
      <c r="J3">
        <v>20</v>
      </c>
    </row>
    <row r="4">
      <c r="A4" t="str">
        <v>JOSE RENE DE ALBA MORALES</v>
      </c>
      <c r="B4">
        <v>1</v>
      </c>
      <c r="C4">
        <v>1</v>
      </c>
      <c r="D4">
        <v>90033.45425668</v>
      </c>
      <c r="E4">
        <v>0</v>
      </c>
      <c r="F4">
        <v>0</v>
      </c>
      <c r="G4">
        <v>90033.45425668</v>
      </c>
      <c r="H4" t="str">
        <v/>
      </c>
      <c r="I4" t="str">
        <v>PRIMA GMM</v>
      </c>
      <c r="J4">
        <v>37128.26</v>
      </c>
    </row>
    <row r="5">
      <c r="A5" t="str">
        <v>MONICA ANDREA AMBRIZ GOMEZ</v>
      </c>
      <c r="B5">
        <v>2.5</v>
      </c>
      <c r="C5">
        <v>2</v>
      </c>
      <c r="D5">
        <v>86047.3999781774</v>
      </c>
      <c r="E5">
        <v>0.5</v>
      </c>
      <c r="F5">
        <v>2305.19</v>
      </c>
      <c r="G5">
        <v>88352.5899781774</v>
      </c>
      <c r="H5" t="str">
        <v/>
      </c>
      <c r="I5" t="str">
        <v>POLIZAS GMM</v>
      </c>
      <c r="J5">
        <v>2.5</v>
      </c>
    </row>
    <row r="6">
      <c r="A6" t="str">
        <v>MONSERRAT VELASCO SANTOS</v>
      </c>
      <c r="B6">
        <v>1</v>
      </c>
      <c r="C6">
        <v>1</v>
      </c>
      <c r="D6">
        <v>58335.86210191999</v>
      </c>
      <c r="E6">
        <v>0</v>
      </c>
      <c r="F6">
        <v>0</v>
      </c>
      <c r="G6">
        <v>58335.86210191999</v>
      </c>
      <c r="H6" t="str">
        <v/>
      </c>
      <c r="I6" t="str">
        <v>POLIZAS V+GMM</v>
      </c>
      <c r="J6">
        <v>22.5</v>
      </c>
    </row>
    <row r="7">
      <c r="A7" t="str">
        <v>HUMBERTO EMMANUEL SANDOVAL MOLINS</v>
      </c>
      <c r="B7">
        <v>1</v>
      </c>
      <c r="C7">
        <v>1</v>
      </c>
      <c r="D7">
        <v>33322.85476690999</v>
      </c>
      <c r="E7">
        <v>0</v>
      </c>
      <c r="F7">
        <v>0</v>
      </c>
      <c r="G7">
        <v>33322.85476690999</v>
      </c>
      <c r="H7" t="str">
        <v/>
      </c>
      <c r="I7" t="str">
        <v>PRIMA VI+GMM</v>
      </c>
      <c r="J7">
        <v>601036.2351373928</v>
      </c>
    </row>
    <row r="8">
      <c r="A8" t="str">
        <v>MARIO IVAN ROMERO GONZALEZ</v>
      </c>
      <c r="B8">
        <v>1.5</v>
      </c>
      <c r="C8">
        <v>1</v>
      </c>
      <c r="D8">
        <v>18377.59324875</v>
      </c>
      <c r="E8">
        <v>0.5</v>
      </c>
      <c r="F8">
        <v>2026.22</v>
      </c>
      <c r="G8">
        <v>20403.81324875</v>
      </c>
      <c r="H8" t="str">
        <v/>
      </c>
      <c r="I8" t="str">
        <v/>
      </c>
      <c r="J8" t="str">
        <v/>
      </c>
    </row>
    <row r="9">
      <c r="A9" t="str">
        <v>PAULA ANGELICA LOMELI CAZARES</v>
      </c>
      <c r="B9">
        <v>1</v>
      </c>
      <c r="C9">
        <v>1</v>
      </c>
      <c r="D9">
        <v>16404.630299279997</v>
      </c>
      <c r="E9">
        <v>0</v>
      </c>
      <c r="F9">
        <v>0</v>
      </c>
      <c r="G9">
        <v>18717.237649529998</v>
      </c>
      <c r="H9" t="str">
        <v/>
      </c>
      <c r="I9" t="str">
        <v/>
      </c>
      <c r="J9" t="str">
        <v/>
      </c>
    </row>
    <row r="10">
      <c r="A10" t="str">
        <v>DARINKA UREÑA CASILLAS</v>
      </c>
      <c r="B10">
        <v>2</v>
      </c>
      <c r="C10">
        <v>2</v>
      </c>
      <c r="D10">
        <v>14722.244738280298</v>
      </c>
      <c r="E10">
        <v>0</v>
      </c>
      <c r="F10">
        <v>0</v>
      </c>
      <c r="G10">
        <v>14722.244738280298</v>
      </c>
      <c r="H10" t="str">
        <v/>
      </c>
      <c r="I10" t="str">
        <v/>
      </c>
      <c r="J10" t="str">
        <v/>
      </c>
    </row>
    <row r="11">
      <c r="A11" t="str">
        <v>JOSE ANTEMIO OLIVA SANTOS</v>
      </c>
      <c r="B11">
        <v>1.5</v>
      </c>
      <c r="C11">
        <v>1</v>
      </c>
      <c r="D11">
        <v>1965.0347711552001</v>
      </c>
      <c r="E11">
        <v>0.5</v>
      </c>
      <c r="F11">
        <v>5451.7</v>
      </c>
      <c r="G11">
        <v>7416.7347711552</v>
      </c>
      <c r="H11" t="str">
        <v/>
      </c>
      <c r="I11" t="str">
        <v>CAMPEONES:</v>
      </c>
      <c r="J11" t="str">
        <v/>
      </c>
    </row>
    <row r="12">
      <c r="A12" t="str">
        <v>JORGE ANTONIO LUNA LARA</v>
      </c>
      <c r="B12">
        <v>1</v>
      </c>
      <c r="C12">
        <v>1</v>
      </c>
      <c r="D12">
        <v>6092.73195629</v>
      </c>
      <c r="E12">
        <v>0</v>
      </c>
      <c r="F12">
        <v>0</v>
      </c>
      <c r="G12">
        <v>6092.73195629</v>
      </c>
      <c r="H12" t="str">
        <v/>
      </c>
      <c r="I12" t="str">
        <v>NOVATO POLIZAS VIDA</v>
      </c>
      <c r="J12" t="str">
        <v>MONSE</v>
      </c>
    </row>
    <row r="13">
      <c r="A13" t="str">
        <v>LUIS ANTONIO SALAZAR ESPINOSA</v>
      </c>
      <c r="B13">
        <v>2</v>
      </c>
      <c r="C13">
        <v>2</v>
      </c>
      <c r="D13">
        <v>4798.5596049</v>
      </c>
      <c r="E13">
        <v>0</v>
      </c>
      <c r="F13">
        <v>0</v>
      </c>
      <c r="G13">
        <v>4798.5596049</v>
      </c>
      <c r="H13" t="str">
        <v/>
      </c>
      <c r="I13" t="str">
        <v>PRO POLIZAS VIDA</v>
      </c>
      <c r="J13" t="str">
        <v>DESI</v>
      </c>
    </row>
    <row r="14">
      <c r="A14" t="str">
        <v>OSCAR RAMIREZ RUIZ</v>
      </c>
      <c r="B14">
        <v>1</v>
      </c>
      <c r="C14">
        <v>1</v>
      </c>
      <c r="D14">
        <v>2397.1862700000006</v>
      </c>
      <c r="E14">
        <v>0</v>
      </c>
      <c r="F14">
        <v>0</v>
      </c>
      <c r="G14">
        <v>2397.1862700000006</v>
      </c>
      <c r="H14" t="str">
        <v/>
      </c>
      <c r="I14" t="str">
        <v>NOVATO PRIMA VIDA</v>
      </c>
      <c r="J14" t="str">
        <v>MONSE</v>
      </c>
    </row>
    <row r="15">
      <c r="A15" t="str">
        <v>LILIANA IVETTE CASTILLO SANCHEZ</v>
      </c>
      <c r="B15">
        <v>1</v>
      </c>
      <c r="C15">
        <v>1</v>
      </c>
      <c r="D15">
        <v>1960.61589912</v>
      </c>
      <c r="E15">
        <v>0</v>
      </c>
      <c r="F15">
        <v>0</v>
      </c>
      <c r="G15">
        <v>1960.61589912</v>
      </c>
      <c r="H15" t="str">
        <v/>
      </c>
      <c r="I15" t="str">
        <v>PRO PRIMA VIDA</v>
      </c>
      <c r="J15" t="str">
        <v>DESI</v>
      </c>
    </row>
    <row r="16">
      <c r="A16" t="str">
        <v>VELIA PATRICIA BERNAL RAMOS</v>
      </c>
      <c r="B16">
        <v>0.5</v>
      </c>
      <c r="C16">
        <v>0</v>
      </c>
      <c r="D16">
        <v>0</v>
      </c>
      <c r="E16">
        <v>0.5</v>
      </c>
      <c r="F16">
        <v>717.69</v>
      </c>
      <c r="G16">
        <v>717.69</v>
      </c>
      <c r="H16" t="str">
        <v/>
      </c>
      <c r="I16" t="str">
        <v>NOVATO POLIZAS GMM</v>
      </c>
      <c r="J16" t="str">
        <v>ANTEMIO</v>
      </c>
    </row>
    <row r="17">
      <c r="H17" t="str">
        <v/>
      </c>
      <c r="I17" t="str">
        <v>PRO POLIZAS GMM</v>
      </c>
      <c r="J17" t="str">
        <v>PAU SOTO</v>
      </c>
    </row>
    <row r="18">
      <c r="H18" t="str">
        <v/>
      </c>
      <c r="I18" t="str">
        <v>NOVATO PRIMA GMM</v>
      </c>
      <c r="J18" t="str">
        <v>ANTEMIO</v>
      </c>
    </row>
    <row r="19">
      <c r="H19" t="str">
        <v/>
      </c>
      <c r="I19" t="str">
        <v>PRO PRIMAS GMM</v>
      </c>
      <c r="J19" t="str">
        <v>PAU SOTO</v>
      </c>
    </row>
  </sheetData>
  <autoFilter ref="A1:G19"/>
  <pageMargins left="0.7" right="0.7" top="0.75" bottom="0.75" header="0.3" footer="0.3"/>
  <ignoredErrors>
    <ignoredError numberStoredAsText="1" sqref="A1:J1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8"/>
  <sheetViews>
    <sheetView workbookViewId="0" rightToLeft="0"/>
  </sheetViews>
  <sheetData>
    <row r="1">
      <c r="A1" t="str">
        <v>ASESOR</v>
      </c>
      <c r="B1" t="str">
        <v>FRECUENCIA</v>
      </c>
      <c r="C1" t="str">
        <v>RAMO</v>
      </c>
      <c r="D1" t="str">
        <v>MONTO ANUAL</v>
      </c>
      <c r="E1" t="str">
        <v>MONTO REAL</v>
      </c>
    </row>
    <row r="2">
      <c r="A2" t="str">
        <v>ANAIS LUA MORENO 110453</v>
      </c>
      <c r="B2" t="str">
        <v>TRIMESTRAL</v>
      </c>
      <c r="C2" t="str">
        <v>GMM</v>
      </c>
      <c r="D2">
        <v>38875.16</v>
      </c>
      <c r="E2">
        <f>D2/IF(B2="MENSUAL",12,IF(B2="TRIMESTRAL",4,IF(B2="SEMESTRAL",2,1)))</f>
        <v>9718.79</v>
      </c>
    </row>
    <row r="3">
      <c r="A3" t="str">
        <v>ANAIS LUA MORENO 110453</v>
      </c>
      <c r="B3" t="str">
        <v>ANUAL</v>
      </c>
      <c r="C3" t="str">
        <v>VIDA</v>
      </c>
      <c r="D3">
        <v>29670.206546</v>
      </c>
      <c r="E3">
        <f>D3/IF(B3="MENSUAL",12,IF(B3="TRIMESTRAL",4,IF(B3="SEMESTRAL",2,1)))</f>
        <v>29670.206546</v>
      </c>
    </row>
    <row r="4">
      <c r="A4" t="str">
        <v>ANAIS LUA MORENO 110453</v>
      </c>
      <c r="B4" t="str">
        <v>ANUAL</v>
      </c>
      <c r="C4" t="str">
        <v>VIDA</v>
      </c>
      <c r="D4">
        <v>35729.71879136</v>
      </c>
      <c r="E4">
        <f>D4/IF(B4="MENSUAL",12,IF(B4="TRIMESTRAL",4,IF(B4="SEMESTRAL",2,1)))</f>
        <v>35729.71879136</v>
      </c>
    </row>
    <row r="5">
      <c r="A5" t="str">
        <v>DARINKA UREÑA CASILLAS 90355</v>
      </c>
      <c r="B5" t="str">
        <v>ANUAL</v>
      </c>
      <c r="C5" t="str">
        <v>GMM</v>
      </c>
      <c r="D5">
        <v>31083.59</v>
      </c>
      <c r="E5">
        <f>D5/IF(B5="MENSUAL",12,IF(B5="TRIMESTRAL",4,IF(B5="SEMESTRAL",2,1)))</f>
        <v>31083.59</v>
      </c>
    </row>
    <row r="6">
      <c r="A6" t="str">
        <v>DESIREE DE LA PEÑA OROZCO 80122</v>
      </c>
      <c r="B6" t="str">
        <v>MENSUAL</v>
      </c>
      <c r="C6" t="str">
        <v>VIDA</v>
      </c>
      <c r="D6">
        <v>74588.76149676001</v>
      </c>
      <c r="E6">
        <f>D6/IF(B6="MENSUAL",12,IF(B6="TRIMESTRAL",4,IF(B6="SEMESTRAL",2,1)))</f>
        <v>6215.730124730001</v>
      </c>
    </row>
    <row r="7">
      <c r="A7" t="str">
        <v>DESIREE DE LA PEÑA OROZCO 80122</v>
      </c>
      <c r="B7" t="str">
        <v>MENSUAL</v>
      </c>
      <c r="C7" t="str">
        <v>VIDA</v>
      </c>
      <c r="D7">
        <v>121745.09768733001</v>
      </c>
      <c r="E7">
        <f>D7/IF(B7="MENSUAL",12,IF(B7="TRIMESTRAL",4,IF(B7="SEMESTRAL",2,1)))</f>
        <v>10145.4248072775</v>
      </c>
    </row>
    <row r="8">
      <c r="A8" t="str">
        <v>DESIREE DE LA PEÑA OROZCO 80122</v>
      </c>
      <c r="B8" t="str">
        <v>ANUAL</v>
      </c>
      <c r="C8" t="str">
        <v>GMM</v>
      </c>
      <c r="D8">
        <v>26147.4</v>
      </c>
      <c r="E8">
        <f>D8/IF(B8="MENSUAL",12,IF(B8="TRIMESTRAL",4,IF(B8="SEMESTRAL",2,1)))</f>
        <v>26147.4</v>
      </c>
    </row>
    <row r="9">
      <c r="A9" t="str">
        <v>DESIREE DE LA PEÑA OROZCO 80122</v>
      </c>
      <c r="B9" t="str">
        <v>ANUAL</v>
      </c>
      <c r="C9" t="str">
        <v>VIDA</v>
      </c>
      <c r="D9">
        <v>27134.95070182</v>
      </c>
      <c r="E9">
        <f>D9/IF(B9="MENSUAL",12,IF(B9="TRIMESTRAL",4,IF(B9="SEMESTRAL",2,1)))</f>
        <v>27134.95070182</v>
      </c>
    </row>
    <row r="10">
      <c r="A10" t="str">
        <v>GABRIELA CASTAÑEDA SALAZAR 105696</v>
      </c>
      <c r="B10" t="str">
        <v>MENSUAL</v>
      </c>
      <c r="C10" t="str">
        <v>VIDA</v>
      </c>
      <c r="D10">
        <v>37360.210212</v>
      </c>
      <c r="E10">
        <f>D10/IF(B10="MENSUAL",12,IF(B10="TRIMESTRAL",4,IF(B10="SEMESTRAL",2,1)))</f>
        <v>3113.3508509999997</v>
      </c>
    </row>
    <row r="11">
      <c r="A11" t="str">
        <v>GABRIELA CASTAÑEDA SALAZAR 105696</v>
      </c>
      <c r="B11" t="str">
        <v>MENSUAL</v>
      </c>
      <c r="C11" t="str">
        <v>VIDA</v>
      </c>
      <c r="D11">
        <v>24878.575800000002</v>
      </c>
      <c r="E11">
        <f>D11/IF(B11="MENSUAL",12,IF(B11="TRIMESTRAL",4,IF(B11="SEMESTRAL",2,1)))</f>
        <v>2073.2146500000003</v>
      </c>
    </row>
    <row r="12">
      <c r="A12" t="str">
        <v>GUILLERMO JOSE RAMIREZ RAMIREZ 120051</v>
      </c>
      <c r="B12" t="str">
        <v>MENSUAL</v>
      </c>
      <c r="C12" t="str">
        <v>VIDA</v>
      </c>
      <c r="D12">
        <v>29858.02204836</v>
      </c>
      <c r="E12">
        <f>D12/IF(B12="MENSUAL",12,IF(B12="TRIMESTRAL",4,IF(B12="SEMESTRAL",2,1)))</f>
        <v>2488.16850403</v>
      </c>
    </row>
    <row r="13">
      <c r="A13" t="str">
        <v>JOSE ANTEMIO OLIVA SANTOS 118246</v>
      </c>
      <c r="B13" t="str">
        <v>MENSUAL</v>
      </c>
      <c r="C13" t="str">
        <v>GMM</v>
      </c>
      <c r="D13">
        <v>32494.56</v>
      </c>
      <c r="E13">
        <f>D13/IF(B13="MENSUAL",12,IF(B13="TRIMESTRAL",4,IF(B13="SEMESTRAL",2,1)))</f>
        <v>2707.88</v>
      </c>
    </row>
    <row r="14">
      <c r="A14" t="str">
        <v>JOSE ANTEMIO OLIVA SANTOS 118246</v>
      </c>
      <c r="B14" t="str">
        <v>MENSUAL</v>
      </c>
      <c r="C14" t="str">
        <v>VIDA</v>
      </c>
      <c r="D14">
        <v>22487.40164736</v>
      </c>
      <c r="E14">
        <f>D14/IF(B14="MENSUAL",12,IF(B14="TRIMESTRAL",4,IF(B14="SEMESTRAL",2,1)))</f>
        <v>1873.9501372799998</v>
      </c>
    </row>
    <row r="15">
      <c r="A15" t="str">
        <v>LILIANA IVETTE CASTILLO SANCHEZ 108404</v>
      </c>
      <c r="B15" t="str">
        <v>MENSUAL</v>
      </c>
      <c r="C15" t="str">
        <v>VIDA</v>
      </c>
      <c r="D15">
        <v>17809.9018511904</v>
      </c>
      <c r="E15">
        <f>D15/IF(B15="MENSUAL",12,IF(B15="TRIMESTRAL",4,IF(B15="SEMESTRAL",2,1)))</f>
        <v>1484.1584875992</v>
      </c>
    </row>
    <row r="16">
      <c r="A16" t="str">
        <v>LILIANA IVETTE CASTILLO SANCHEZ 108404</v>
      </c>
      <c r="B16" t="str">
        <v>ANUAL</v>
      </c>
      <c r="C16" t="str">
        <v>VIDA</v>
      </c>
      <c r="D16">
        <v>29684.80680876</v>
      </c>
      <c r="E16">
        <f>D16/IF(B16="MENSUAL",12,IF(B16="TRIMESTRAL",4,IF(B16="SEMESTRAL",2,1)))</f>
        <v>29684.80680876</v>
      </c>
    </row>
    <row r="17">
      <c r="A17" t="str">
        <v>LUIS ANTONIO SALAZAR ESPINOSA 119447</v>
      </c>
      <c r="B17" t="str">
        <v>MENSUAL</v>
      </c>
      <c r="C17" t="str">
        <v>VIDA</v>
      </c>
      <c r="D17">
        <v>20929.22623008</v>
      </c>
      <c r="E17">
        <f>D17/IF(B17="MENSUAL",12,IF(B17="TRIMESTRAL",4,IF(B17="SEMESTRAL",2,1)))</f>
        <v>1744.10218584</v>
      </c>
    </row>
    <row r="18">
      <c r="A18" t="str">
        <v>LUIS ANTONIO SALAZAR ESPINOSA 119447</v>
      </c>
      <c r="B18" t="str">
        <v>ANUAL</v>
      </c>
      <c r="C18" t="str">
        <v>VIDA</v>
      </c>
      <c r="D18">
        <v>27377.668000799997</v>
      </c>
      <c r="E18">
        <f>D18/IF(B18="MENSUAL",12,IF(B18="TRIMESTRAL",4,IF(B18="SEMESTRAL",2,1)))</f>
        <v>27377.668000799997</v>
      </c>
    </row>
    <row r="19">
      <c r="A19" t="str">
        <v>MARICELA ARREOLA LOPEZ 80925</v>
      </c>
      <c r="B19" t="str">
        <v>ANUAL</v>
      </c>
      <c r="C19" t="str">
        <v>GMM</v>
      </c>
      <c r="D19">
        <v>32731.99</v>
      </c>
      <c r="E19">
        <f>D19/IF(B19="MENSUAL",12,IF(B19="TRIMESTRAL",4,IF(B19="SEMESTRAL",2,1)))</f>
        <v>32731.99</v>
      </c>
    </row>
    <row r="20">
      <c r="A20" t="str">
        <v>MONICA ANDREA AMBRIZ GOMEZ 87538</v>
      </c>
      <c r="B20" t="str">
        <v>MENSUAL</v>
      </c>
      <c r="C20" t="str">
        <v>VIDA</v>
      </c>
      <c r="D20">
        <v>118038.33528172677</v>
      </c>
      <c r="E20">
        <f>D20/IF(B20="MENSUAL",12,IF(B20="TRIMESTRAL",4,IF(B20="SEMESTRAL",2,1)))</f>
        <v>9836.527940143898</v>
      </c>
    </row>
    <row r="21">
      <c r="A21" t="str">
        <v>MONICA ANDREA AMBRIZ GOMEZ 87538</v>
      </c>
      <c r="B21" t="str">
        <v>ANUAL</v>
      </c>
      <c r="C21" t="str">
        <v>GMM</v>
      </c>
      <c r="D21">
        <v>26031.2</v>
      </c>
      <c r="E21">
        <f>D21/IF(B21="MENSUAL",12,IF(B21="TRIMESTRAL",4,IF(B21="SEMESTRAL",2,1)))</f>
        <v>26031.2</v>
      </c>
    </row>
    <row r="22">
      <c r="A22" t="str">
        <v>MONICA ANDREA AMBRIZ GOMEZ 87538</v>
      </c>
      <c r="B22" t="str">
        <v>ANUAL</v>
      </c>
      <c r="C22" t="str">
        <v>VIDA</v>
      </c>
      <c r="D22">
        <v>59565.96233988</v>
      </c>
      <c r="E22">
        <f>D22/IF(B22="MENSUAL",12,IF(B22="TRIMESTRAL",4,IF(B22="SEMESTRAL",2,1)))</f>
        <v>59565.96233988</v>
      </c>
    </row>
    <row r="23">
      <c r="A23" t="str">
        <v>MONSERRAT VELASCO SANTOS 117440</v>
      </c>
      <c r="B23" t="str">
        <v>MENSUAL</v>
      </c>
      <c r="C23" t="str">
        <v>VIDA</v>
      </c>
      <c r="D23">
        <v>28653.607434839996</v>
      </c>
      <c r="E23">
        <f>D23/IF(B23="MENSUAL",12,IF(B23="TRIMESTRAL",4,IF(B23="SEMESTRAL",2,1)))</f>
        <v>2387.8006195699995</v>
      </c>
    </row>
    <row r="24">
      <c r="A24" t="str">
        <v>OSCAR RAMIREZ RUIZ 119223</v>
      </c>
      <c r="B24" t="str">
        <v>TRIMESTRAL</v>
      </c>
      <c r="C24" t="str">
        <v>GMM</v>
      </c>
      <c r="D24">
        <v>64831.88</v>
      </c>
      <c r="E24">
        <f>D24/IF(B24="MENSUAL",12,IF(B24="TRIMESTRAL",4,IF(B24="SEMESTRAL",2,1)))</f>
        <v>16207.97</v>
      </c>
    </row>
    <row r="25">
      <c r="A25" t="str">
        <v>OSCAR RAMIREZ RUIZ 119223</v>
      </c>
      <c r="B25" t="str">
        <v>SEMESTRAL</v>
      </c>
      <c r="C25" t="str">
        <v>VIDA</v>
      </c>
      <c r="D25">
        <v>24130.707805399998</v>
      </c>
      <c r="E25">
        <f>D25/IF(B25="MENSUAL",12,IF(B25="TRIMESTRAL",4,IF(B25="SEMESTRAL",2,1)))</f>
        <v>12065.353902699999</v>
      </c>
    </row>
    <row r="26">
      <c r="A26" t="str">
        <v>PAULINA LIZBETH SOTO MUÑIZ 104750</v>
      </c>
      <c r="B26" t="str">
        <v>ANUAL</v>
      </c>
      <c r="C26" t="str">
        <v>VIDA</v>
      </c>
      <c r="D26">
        <v>37248.7885714</v>
      </c>
      <c r="E26">
        <f>D26/IF(B26="MENSUAL",12,IF(B26="TRIMESTRAL",4,IF(B26="SEMESTRAL",2,1)))</f>
        <v>37248.7885714</v>
      </c>
    </row>
    <row r="27">
      <c r="A27" t="str">
        <v>PAULINA LIZBETH SOTO MUÑIZ 104750</v>
      </c>
      <c r="B27" t="str">
        <v>ANUAL</v>
      </c>
      <c r="C27" t="str">
        <v>VIDA</v>
      </c>
      <c r="D27">
        <v>60954.80447940001</v>
      </c>
      <c r="E27">
        <f>D27/IF(B27="MENSUAL",12,IF(B27="TRIMESTRAL",4,IF(B27="SEMESTRAL",2,1)))</f>
        <v>60954.80447940001</v>
      </c>
    </row>
    <row r="28">
      <c r="A28" t="str">
        <v>PAULINA LIZBETH SOTO MUÑIZ 104750</v>
      </c>
      <c r="B28" t="str">
        <v>ANUAL</v>
      </c>
      <c r="C28" t="str">
        <v>VIDA</v>
      </c>
      <c r="D28">
        <v>36085.35248319001</v>
      </c>
      <c r="E28">
        <f>D28/IF(B28="MENSUAL",12,IF(B28="TRIMESTRAL",4,IF(B28="SEMESTRAL",2,1)))</f>
        <v>36085.35248319001</v>
      </c>
    </row>
  </sheetData>
  <ignoredErrors>
    <ignoredError numberStoredAsText="1" sqref="A1:E2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19"/>
  <sheetViews>
    <sheetView workbookViewId="0" rightToLeft="0"/>
  </sheetViews>
  <sheetData>
    <row r="1">
      <c r="A1" t="str">
        <v>Asesor</v>
      </c>
      <c r="B1" t="str">
        <v xml:space="preserve">Pólizas </v>
      </c>
      <c r="C1" t="str">
        <v>Vida</v>
      </c>
      <c r="D1" t="str">
        <v>Prima Pagada vida</v>
      </c>
      <c r="E1" t="str">
        <v>Gmm</v>
      </c>
      <c r="F1" t="str">
        <v>Prima Pagada gmm</v>
      </c>
      <c r="G1" t="str">
        <v>Prima total</v>
      </c>
      <c r="H1" t="str">
        <v/>
      </c>
      <c r="I1" t="str">
        <v>TOTAL</v>
      </c>
      <c r="J1" t="str">
        <v/>
      </c>
    </row>
    <row r="2">
      <c r="A2" t="str">
        <v>PAULINA LIZBETH SOTO MUÑIZ</v>
      </c>
      <c r="B2">
        <v>3</v>
      </c>
      <c r="C2">
        <v>3</v>
      </c>
      <c r="D2">
        <v>134288.94553399002</v>
      </c>
      <c r="E2">
        <v>0</v>
      </c>
      <c r="F2">
        <v>0</v>
      </c>
      <c r="G2">
        <v>134288.94553399002</v>
      </c>
      <c r="H2" t="str">
        <v/>
      </c>
      <c r="I2" t="str">
        <v>PRIMA VIDA</v>
      </c>
      <c r="J2">
        <v>396880.0409327806</v>
      </c>
    </row>
    <row r="3">
      <c r="A3" t="str">
        <v>MONICA ANDREA AMBRIZ GOMEZ</v>
      </c>
      <c r="B3">
        <v>2.5</v>
      </c>
      <c r="C3">
        <v>2</v>
      </c>
      <c r="D3">
        <v>69402.4902800239</v>
      </c>
      <c r="E3">
        <v>0.5</v>
      </c>
      <c r="F3">
        <v>26031.2</v>
      </c>
      <c r="G3">
        <v>95433.6902800239</v>
      </c>
      <c r="H3" t="str">
        <v/>
      </c>
      <c r="I3" t="str">
        <v>POLIZAS VIDA</v>
      </c>
      <c r="J3">
        <v>20</v>
      </c>
    </row>
    <row r="4">
      <c r="A4" t="str">
        <v>ANAIS LUA MORENO</v>
      </c>
      <c r="B4">
        <v>2.5</v>
      </c>
      <c r="C4">
        <v>2</v>
      </c>
      <c r="D4">
        <v>65399.92533736</v>
      </c>
      <c r="E4">
        <v>0.5</v>
      </c>
      <c r="F4">
        <v>9718.79</v>
      </c>
      <c r="G4">
        <v>75118.71533736</v>
      </c>
      <c r="H4" t="str">
        <v/>
      </c>
      <c r="I4" t="str">
        <v>PRIMA GMM</v>
      </c>
      <c r="J4">
        <v>144628.82</v>
      </c>
    </row>
    <row r="5">
      <c r="A5" t="str">
        <v>DESIREE DE LA PEÑA OROZCO</v>
      </c>
      <c r="B5">
        <v>3.5</v>
      </c>
      <c r="C5">
        <v>3</v>
      </c>
      <c r="D5">
        <v>43496.1056338275</v>
      </c>
      <c r="E5">
        <v>0.5</v>
      </c>
      <c r="F5">
        <v>26147.4</v>
      </c>
      <c r="G5">
        <v>69643.5056338275</v>
      </c>
      <c r="H5" t="str">
        <v/>
      </c>
      <c r="I5" t="str">
        <v>POLIZAS GMM</v>
      </c>
      <c r="J5">
        <v>3.5</v>
      </c>
    </row>
    <row r="6">
      <c r="A6" t="str">
        <v>MARICELA ARREOLA LOPEZ</v>
      </c>
      <c r="B6">
        <v>0.5</v>
      </c>
      <c r="C6">
        <v>0</v>
      </c>
      <c r="D6">
        <v>0</v>
      </c>
      <c r="E6">
        <v>0.5</v>
      </c>
      <c r="F6">
        <v>32731.99</v>
      </c>
      <c r="G6">
        <v>32731.99</v>
      </c>
      <c r="H6" t="str">
        <v/>
      </c>
      <c r="I6" t="str">
        <v>POLIZAS V+GMM</v>
      </c>
      <c r="J6">
        <v>23.5</v>
      </c>
    </row>
    <row r="7">
      <c r="A7" t="str">
        <v>LILIANA IVETTE CASTILLO SANCHEZ</v>
      </c>
      <c r="B7">
        <v>2</v>
      </c>
      <c r="C7">
        <v>2</v>
      </c>
      <c r="D7">
        <v>31168.9652963592</v>
      </c>
      <c r="E7">
        <v>0</v>
      </c>
      <c r="F7">
        <v>0</v>
      </c>
      <c r="G7">
        <v>31168.9652963592</v>
      </c>
      <c r="H7" t="str">
        <v/>
      </c>
      <c r="I7" t="str">
        <v>PRIMA VI+GMM</v>
      </c>
      <c r="J7">
        <v>541508.8609327807</v>
      </c>
    </row>
    <row r="8">
      <c r="A8" t="str">
        <v>DARINKA UREÑA CASILLAS</v>
      </c>
      <c r="B8">
        <v>0.5</v>
      </c>
      <c r="C8">
        <v>0</v>
      </c>
      <c r="D8">
        <v>0</v>
      </c>
      <c r="E8">
        <v>0.5</v>
      </c>
      <c r="F8">
        <v>31083.59</v>
      </c>
      <c r="G8">
        <v>31083.59</v>
      </c>
      <c r="H8" t="str">
        <v/>
      </c>
      <c r="I8" t="str">
        <v/>
      </c>
      <c r="J8" t="str">
        <v/>
      </c>
    </row>
    <row r="9">
      <c r="A9" t="str">
        <v>LUIS ANTONIO SALAZAR ESPINOSA</v>
      </c>
      <c r="B9">
        <v>2</v>
      </c>
      <c r="C9">
        <v>2</v>
      </c>
      <c r="D9">
        <v>29121.770186639995</v>
      </c>
      <c r="E9">
        <v>0</v>
      </c>
      <c r="F9">
        <v>0</v>
      </c>
      <c r="G9">
        <v>29121.770186639995</v>
      </c>
      <c r="H9" t="str">
        <v/>
      </c>
      <c r="I9" t="str">
        <v/>
      </c>
      <c r="J9" t="str">
        <v/>
      </c>
    </row>
    <row r="10">
      <c r="A10" t="str">
        <v>OSCAR RAMIREZ RUIZ</v>
      </c>
      <c r="B10">
        <v>1.5</v>
      </c>
      <c r="C10">
        <v>1</v>
      </c>
      <c r="D10">
        <v>12065.353902699999</v>
      </c>
      <c r="E10">
        <v>0.5</v>
      </c>
      <c r="F10">
        <v>16207.97</v>
      </c>
      <c r="G10">
        <v>28273.323902699998</v>
      </c>
      <c r="H10" t="str">
        <v/>
      </c>
      <c r="I10" t="str">
        <v/>
      </c>
      <c r="J10" t="str">
        <v/>
      </c>
    </row>
    <row r="11">
      <c r="A11" t="str">
        <v>GABRIELA CASTAÑEDA SALAZAR</v>
      </c>
      <c r="B11">
        <v>2</v>
      </c>
      <c r="C11">
        <v>2</v>
      </c>
      <c r="D11">
        <v>5186.565501</v>
      </c>
      <c r="E11">
        <v>0</v>
      </c>
      <c r="F11">
        <v>0</v>
      </c>
      <c r="G11">
        <v>5186.565501</v>
      </c>
      <c r="H11" t="str">
        <v/>
      </c>
      <c r="I11" t="str">
        <v>CAMPEONES:</v>
      </c>
      <c r="J11" t="str">
        <v/>
      </c>
    </row>
    <row r="12">
      <c r="A12" t="str">
        <v>JOSE ANTEMIO OLIVA SANTOS</v>
      </c>
      <c r="B12">
        <v>1.5</v>
      </c>
      <c r="C12">
        <v>1</v>
      </c>
      <c r="D12">
        <v>1873.9501372799998</v>
      </c>
      <c r="E12">
        <v>0.5</v>
      </c>
      <c r="F12">
        <v>2707.88</v>
      </c>
      <c r="G12">
        <v>4581.83013728</v>
      </c>
      <c r="H12" t="str">
        <v/>
      </c>
      <c r="I12" t="str">
        <v>NOVATO POLIZAS VIDA</v>
      </c>
      <c r="J12" t="str">
        <v>LUIS SALAZAR</v>
      </c>
    </row>
    <row r="13">
      <c r="A13" t="str">
        <v>GUILLERMO JOSE RAMIREZ RAMIREZ</v>
      </c>
      <c r="B13">
        <v>1</v>
      </c>
      <c r="C13">
        <v>1</v>
      </c>
      <c r="D13">
        <v>2488.16850403</v>
      </c>
      <c r="E13">
        <v>0</v>
      </c>
      <c r="F13">
        <v>0</v>
      </c>
      <c r="G13">
        <v>2488.16850403</v>
      </c>
      <c r="H13" t="str">
        <v/>
      </c>
      <c r="I13" t="str">
        <v>PRO POLIZAS VIDA</v>
      </c>
      <c r="J13" t="str">
        <v>PAU SOTO</v>
      </c>
    </row>
    <row r="14">
      <c r="A14" t="str">
        <v>MONSERRAT VELASCO SANTOS</v>
      </c>
      <c r="B14">
        <v>1</v>
      </c>
      <c r="C14">
        <v>1</v>
      </c>
      <c r="D14">
        <v>2387.8006195699995</v>
      </c>
      <c r="E14">
        <v>0</v>
      </c>
      <c r="F14">
        <v>0</v>
      </c>
      <c r="G14">
        <v>2387.8006195699995</v>
      </c>
      <c r="H14" t="str">
        <v/>
      </c>
      <c r="I14" t="str">
        <v>NOVATO PRIMA VIDA</v>
      </c>
      <c r="J14" t="str">
        <v>LUIS SALAZAR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>PRO PRIMA VIDA</v>
      </c>
      <c r="J15" t="str">
        <v>PAU SOTO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>NOVATO POLIZAS GMM</v>
      </c>
      <c r="J16" t="str">
        <v>OSCAR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PRO POLIZAS GMM</v>
      </c>
      <c r="J17" t="str">
        <v>MARICELA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>NOVATO PRIMA GMM</v>
      </c>
      <c r="J18" t="str">
        <v>OSCAR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PRO PRIMAS GMM</v>
      </c>
      <c r="J19" t="str">
        <v>MARICELA</v>
      </c>
    </row>
  </sheetData>
  <ignoredErrors>
    <ignoredError numberStoredAsText="1" sqref="A1: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Ventas Mensuales </vt:lpstr>
      <vt:lpstr>MAYO</vt:lpstr>
      <vt:lpstr>MAYO_CORREGIDO</vt:lpstr>
      <vt:lpstr>JUNIO</vt:lpstr>
      <vt:lpstr>JUNIO_CORREGIDO </vt:lpstr>
      <vt:lpstr>JULIO</vt:lpstr>
      <vt:lpstr>JULIO_CORREGIDO</vt:lpstr>
      <vt:lpstr>AGOSTO</vt:lpstr>
      <vt:lpstr>AGOSTO_CORREGIDO</vt:lpstr>
      <vt:lpstr>SEPTIEMBRE</vt:lpstr>
      <vt:lpstr>SEPTIEMBRE_CORREGIDO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2026-06-05T00:20:21Z</dcterms:created>
  <dcterms:modified xsi:type="dcterms:W3CDTF">2026-09-03T20:28:02Z</dcterms:modified>
  <cp:lastModifiedBy>FERNANDO DAVALOS</cp:lastModifiedBy>
  <dc:creator>FERNANDO DAVALOS</dc:creator>
</cp:coreProperties>
</file>