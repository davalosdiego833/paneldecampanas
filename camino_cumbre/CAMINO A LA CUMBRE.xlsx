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camino_cumbre/"/>
    </mc:Choice>
  </mc:AlternateContent>
  <xr:revisionPtr revIDLastSave="0" documentId="13_ncr:1_{311E806D-FFE6-AB48-9C47-2F2DF4B9B63C}" xr6:coauthVersionLast="47" xr6:coauthVersionMax="47" xr10:uidLastSave="{00000000-0000-0000-0000-000000000000}"/>
  <bookViews>
    <workbookView xWindow="4340" yWindow="1500" windowWidth="24460" windowHeight="15320" xr2:uid="{745E7AD5-B7FE-F04B-8E22-39A4084D2BA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Q5" i="1"/>
  <c r="R5" i="1"/>
  <c r="S5" i="1"/>
  <c r="T5" i="1"/>
  <c r="U5" i="1"/>
</calcChain>
</file>

<file path=xl/sharedStrings.xml><?xml version="1.0" encoding="utf-8"?>
<sst xmlns="http://schemas.openxmlformats.org/spreadsheetml/2006/main" count="81" uniqueCount="42">
  <si>
    <t>Dir. de Venta</t>
  </si>
  <si>
    <t>Oficina</t>
  </si>
  <si>
    <t>Gerencia / S.P.</t>
  </si>
  <si>
    <t>Mat</t>
  </si>
  <si>
    <t>Suc</t>
  </si>
  <si>
    <t>Asesor</t>
  </si>
  <si>
    <t>LUGAR</t>
  </si>
  <si>
    <t>DESC_VTA</t>
  </si>
  <si>
    <t>DESC_GEREN</t>
  </si>
  <si>
    <t>PROM_MAT</t>
  </si>
  <si>
    <t>PROM_SUC</t>
  </si>
  <si>
    <t>NUM_AGENTE</t>
  </si>
  <si>
    <t>Conexión</t>
  </si>
  <si>
    <t>Concurso</t>
  </si>
  <si>
    <t>LIMRA</t>
  </si>
  <si>
    <t>% Pol. En Vigor</t>
  </si>
  <si>
    <t>Mes</t>
  </si>
  <si>
    <t>FCONCURSO</t>
  </si>
  <si>
    <t>POL01</t>
  </si>
  <si>
    <t>Pólizas</t>
  </si>
  <si>
    <t>Pólizas Canceladas</t>
  </si>
  <si>
    <t xml:space="preserve"> Premios</t>
  </si>
  <si>
    <t>Pólizas Vida</t>
  </si>
  <si>
    <t>Pólizas GMM</t>
  </si>
  <si>
    <t>Total</t>
  </si>
  <si>
    <t>Kubor</t>
  </si>
  <si>
    <t>Mont Blanc</t>
  </si>
  <si>
    <t>UDI01</t>
  </si>
  <si>
    <t>CONV01</t>
  </si>
  <si>
    <t>CUMPLE01</t>
  </si>
  <si>
    <t>DOP</t>
  </si>
  <si>
    <t>GUADALAJARA</t>
  </si>
  <si>
    <t>GUADALAJARA (A. RODRIGUEZ</t>
  </si>
  <si>
    <t>Elbrús</t>
  </si>
  <si>
    <t>Mickinley</t>
  </si>
  <si>
    <t>Kilimanjaro</t>
  </si>
  <si>
    <t>Everest</t>
  </si>
  <si>
    <t>Mes 1</t>
  </si>
  <si>
    <t>Mes 2</t>
  </si>
  <si>
    <t>Mes 3</t>
  </si>
  <si>
    <t>Pólizas Pagadas</t>
  </si>
  <si>
    <t>Avance  al 13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</si>
</sst>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dd/mm/yy;@"/>
  </numFmts>
  <fonts count="11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8"/>
      <color indexed="9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8"/>
      <name val="Arial"/>
      <family val="2"/>
    </font>
    <font>
      <b/>
      <sz val="12"/>
      <color indexed="57"/>
      <name val="Bookshelf Symbol 7"/>
      <family val="2"/>
      <charset val="2"/>
    </font>
    <font>
      <b/>
      <sz val="12"/>
      <color indexed="18"/>
      <name val="Bookshelf Symbol 7"/>
      <family val="2"/>
      <charset val="2"/>
    </font>
    <font>
      <b/>
      <sz val="10"/>
      <color indexed="36"/>
      <name val="Bookshelf Symbol 7"/>
      <family val="2"/>
      <charset val="2"/>
    </font>
    <font>
      <b/>
      <sz val="12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indexed="5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/>
      <diagonal/>
    </border>
    <border>
      <left style="double">
        <color indexed="9"/>
      </left>
      <right style="double">
        <color indexed="9"/>
      </right>
      <top/>
      <bottom style="double">
        <color indexed="9"/>
      </bottom>
      <diagonal/>
    </border>
    <border>
      <left/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/>
      <bottom style="double">
        <color indexed="9"/>
      </bottom>
      <diagonal/>
    </border>
    <border>
      <left/>
      <right style="double">
        <color indexed="9"/>
      </right>
      <top/>
      <bottom style="double">
        <color indexed="9"/>
      </bottom>
      <diagonal/>
    </border>
    <border>
      <left/>
      <right style="double">
        <color indexed="9"/>
      </right>
      <top style="double">
        <color indexed="9"/>
      </top>
      <bottom style="double">
        <color indexed="9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1" fillId="0" borderId="0" xfId="1"/>
    <xf numFmtId="0" fontId="2" fillId="0" borderId="0" xfId="1" applyFont="1"/>
    <xf numFmtId="0" fontId="1" fillId="0" borderId="1" xfId="1" applyBorder="1" applyAlignment="1">
      <alignment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/>
    </xf>
    <xf numFmtId="14" fontId="1" fillId="0" borderId="0" xfId="1" applyNumberFormat="1" applyAlignment="1">
      <alignment horizontal="center"/>
    </xf>
    <xf numFmtId="9" fontId="0" fillId="0" borderId="0" xfId="2" applyFont="1" applyAlignment="1">
      <alignment horizontal="center"/>
    </xf>
    <xf numFmtId="164" fontId="1" fillId="0" borderId="0" xfId="1" applyNumberFormat="1" applyAlignment="1">
      <alignment horizontal="center"/>
    </xf>
    <xf numFmtId="1" fontId="1" fillId="0" borderId="0" xfId="1" applyNumberFormat="1" applyAlignment="1">
      <alignment horizontal="center"/>
    </xf>
    <xf numFmtId="14" fontId="3" fillId="2" borderId="2" xfId="1" applyNumberFormat="1" applyFont="1" applyFill="1" applyBorder="1" applyAlignment="1">
      <alignment horizontal="center" vertical="center" wrapText="1"/>
    </xf>
    <xf numFmtId="9" fontId="3" fillId="2" borderId="2" xfId="2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 wrapText="1"/>
    </xf>
    <xf numFmtId="14" fontId="5" fillId="0" borderId="0" xfId="1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164" fontId="5" fillId="0" borderId="0" xfId="1" applyNumberFormat="1" applyFont="1" applyAlignment="1">
      <alignment horizontal="center"/>
    </xf>
    <xf numFmtId="1" fontId="5" fillId="0" borderId="0" xfId="1" applyNumberFormat="1" applyFont="1" applyAlignment="1">
      <alignment horizontal="center"/>
    </xf>
    <xf numFmtId="164" fontId="3" fillId="3" borderId="5" xfId="1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6" fillId="0" borderId="0" xfId="1" applyNumberFormat="1" applyFont="1" applyAlignment="1">
      <alignment horizontal="center"/>
    </xf>
    <xf numFmtId="10" fontId="0" fillId="0" borderId="0" xfId="2" applyNumberFormat="1" applyFont="1" applyAlignment="1">
      <alignment horizontal="center"/>
    </xf>
    <xf numFmtId="10" fontId="1" fillId="0" borderId="0" xfId="1" applyNumberFormat="1" applyAlignment="1">
      <alignment horizontal="center"/>
    </xf>
    <xf numFmtId="164" fontId="1" fillId="0" borderId="0" xfId="1" applyNumberFormat="1"/>
    <xf numFmtId="164" fontId="7" fillId="0" borderId="0" xfId="1" applyNumberFormat="1" applyFont="1"/>
    <xf numFmtId="164" fontId="8" fillId="0" borderId="0" xfId="1" applyNumberFormat="1" applyFont="1"/>
    <xf numFmtId="164" fontId="3" fillId="3" borderId="3" xfId="0" applyNumberFormat="1" applyFont="1" applyFill="1" applyBorder="1" applyAlignment="1">
      <alignment horizontal="center" vertical="center" wrapText="1"/>
    </xf>
    <xf numFmtId="165" fontId="3" fillId="3" borderId="3" xfId="0" applyNumberFormat="1" applyFont="1" applyFill="1" applyBorder="1" applyAlignment="1">
      <alignment horizontal="center" vertical="center" wrapText="1"/>
    </xf>
    <xf numFmtId="164" fontId="9" fillId="0" borderId="0" xfId="1" applyNumberFormat="1" applyFont="1"/>
    <xf numFmtId="0" fontId="4" fillId="0" borderId="0" xfId="1" applyFont="1"/>
    <xf numFmtId="0" fontId="10" fillId="0" borderId="0" xfId="1" applyFont="1" applyAlignment="1">
      <alignment horizontal="left" vertical="center"/>
    </xf>
    <xf numFmtId="14" fontId="3" fillId="2" borderId="4" xfId="1" applyNumberFormat="1" applyFont="1" applyFill="1" applyBorder="1" applyAlignment="1">
      <alignment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 wrapText="1"/>
    </xf>
    <xf numFmtId="164" fontId="3" fillId="3" borderId="7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164" fontId="3" fillId="3" borderId="3" xfId="1" applyNumberFormat="1" applyFont="1" applyFill="1" applyBorder="1" applyAlignment="1">
      <alignment horizontal="center" vertical="center" wrapText="1"/>
    </xf>
    <xf numFmtId="164" fontId="3" fillId="3" borderId="6" xfId="1" applyNumberFormat="1" applyFont="1" applyFill="1" applyBorder="1" applyAlignment="1">
      <alignment horizontal="center" vertical="center" wrapText="1"/>
    </xf>
    <xf numFmtId="164" fontId="3" fillId="3" borderId="9" xfId="1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5777CE91-9B5C-AD4F-B1FB-47F4B57F6892}"/>
    <cellStyle name="Porcentaje 2" xfId="2" xr:uid="{7B24C14E-EE44-314E-8590-6F0AEF4F900D}"/>
  </cellStyles>
  <dxfs count="24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18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" formatCode="0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border outline="0">
        <bottom style="double">
          <color indexed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indexed="9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9"/>
        </left>
        <right style="double">
          <color indexed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8E9E09-B2CB-F649-A137-7A03C1727CDF}" name="Tabla2" displayName="Tabla2" ref="A4:X22" totalsRowShown="0" headerRowDxfId="23" headerRowBorderDxfId="22" headerRowCellStyle="Normal 2" dataCellStyle="Normal 2">
  <autoFilter ref="A4:X22" xr:uid="{578E9E09-B2CB-F649-A137-7A03C1727CDF}"/>
  <tableColumns count="24">
    <tableColumn id="1" xr3:uid="{452BBEC3-C02A-954A-AF30-AAC8D4135219}" name="Dir. de Venta" dataCellStyle="Normal 2"/>
    <tableColumn id="2" xr3:uid="{96963370-19D6-F44C-A2DA-2A40ED43DD5C}" name="Oficina" dataCellStyle="Normal 2"/>
    <tableColumn id="3" xr3:uid="{40E557E6-8828-8843-97B8-D77DC06C0FB6}" name="Gerencia / S.P." dataCellStyle="Normal 2"/>
    <tableColumn id="4" xr3:uid="{E64AD030-9FFA-1B49-B7F8-31458F00EB96}" name="Mat" dataCellStyle="Normal 2"/>
    <tableColumn id="5" xr3:uid="{407858BC-0878-5E44-A050-843285231653}" name="Suc" dataCellStyle="Normal 2"/>
    <tableColumn id="6" xr3:uid="{6FEB1162-A9E3-244F-886A-8D5C735D8BE4}" name="Asesor" dataCellStyle="Normal 2"/>
    <tableColumn id="7" xr3:uid="{A6C47CB4-51A8-AC4A-8E8A-91F8EBC90FAF}" name="Conexión" dataDxfId="21" dataCellStyle="Normal 2"/>
    <tableColumn id="8" xr3:uid="{13AEAA9B-5D80-7445-B715-1B9DEE371D57}" name="Concurso" dataDxfId="20" dataCellStyle="Normal 2"/>
    <tableColumn id="9" xr3:uid="{8D48CCB9-6544-AE45-B2C5-C2D673C725C5}" name="LIMRA" dataDxfId="19" dataCellStyle="Porcentaje 2"/>
    <tableColumn id="10" xr3:uid="{B2FAE362-4A75-AE49-9576-61E713815186}" name="% Pol. En Vigor" dataDxfId="18" dataCellStyle="Normal 2"/>
    <tableColumn id="11" xr3:uid="{BBCB44D8-F891-B44B-8387-861CF6E9DF19}" name="Mes" dataDxfId="17" dataCellStyle="Normal 2"/>
    <tableColumn id="12" xr3:uid="{8ABB3BE3-3E57-B847-8D1C-9662D0105D10}" name="Pólizas Vida" dataDxfId="16" dataCellStyle="Normal 2"/>
    <tableColumn id="13" xr3:uid="{67EBA4D1-7301-6949-990F-F690B48E34D0}" name="Pólizas GMM" dataDxfId="15" dataCellStyle="Normal 2"/>
    <tableColumn id="14" xr3:uid="{3A1087EB-0F1F-E843-AFBA-9715B422272F}" name="Total" dataDxfId="14" dataCellStyle="Normal 2"/>
    <tableColumn id="15" xr3:uid="{70AAFF82-E0DC-7E47-A3DA-69D547B18ECC}" name="Pólizas Canceladas" dataDxfId="13" dataCellStyle="Normal 2"/>
    <tableColumn id="16" xr3:uid="{38391235-6C97-994B-8807-7D97AE60C293}" name="Kubor" dataDxfId="12" dataCellStyle="Normal 2"/>
    <tableColumn id="17" xr3:uid="{A2FAA114-FE57-CE48-9674-BC10B5A0E337}" name="Mont Blanc" dataDxfId="11" dataCellStyle="Normal 2"/>
    <tableColumn id="18" xr3:uid="{A4A65314-C415-DE4B-A724-6E1157AFF898}" name="Elbrús" dataDxfId="10" dataCellStyle="Normal 2"/>
    <tableColumn id="19" xr3:uid="{1040FE48-FA96-3A4E-8A51-7F55DE596689}" name="Mickinley" dataDxfId="9" dataCellStyle="Normal 2"/>
    <tableColumn id="20" xr3:uid="{8DDE3CDF-2E9D-7B46-BB69-F7108DC8C68A}" name="Kilimanjaro" dataDxfId="8" dataCellStyle="Normal 2"/>
    <tableColumn id="21" xr3:uid="{D2643CF2-E0B8-F94D-BCA1-4B858C9D01EB}" name="Everest" dataDxfId="7" dataCellStyle="Normal 2"/>
    <tableColumn id="22" xr3:uid="{FB6CEF72-668C-CB49-ACCA-75A997C036A1}" name="Mes 1" dataCellStyle="Normal 2"/>
    <tableColumn id="23" xr3:uid="{58B1F16B-3FBB-3D4C-8C16-DD05D985324B}" name="Mes 2" dataCellStyle="Normal 2"/>
    <tableColumn id="24" xr3:uid="{B5A4E59E-794B-AB4B-BB2B-840B78865464}" name="Mes 3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4B63-646E-974E-8074-72018385EA77}">
  <dimension ref="A1:X22"/>
  <sheetViews>
    <sheetView tabSelected="1" zoomScale="84" workbookViewId="0"/>
  </sheetViews>
  <sheetFormatPr baseColWidth="10" defaultRowHeight="16" x14ac:dyDescent="0.2"/>
  <cols>
    <col min="1" max="1" width="11.6640625" customWidth="1"/>
    <col min="3" max="3" width="13" customWidth="1"/>
    <col min="10" max="10" width="13.6640625" customWidth="1"/>
    <col min="12" max="12" width="11.33203125" customWidth="1"/>
    <col min="13" max="13" width="11.6640625" customWidth="1"/>
    <col min="20" max="20" width="11" customWidth="1"/>
  </cols>
  <sheetData>
    <row r="1" spans="1:24" x14ac:dyDescent="0.2">
      <c r="A1" s="29" t="s">
        <v>41</v>
      </c>
    </row>
    <row r="2" spans="1:24" ht="17" thickBot="1" x14ac:dyDescent="0.25"/>
    <row r="3" spans="1:24" ht="18" customHeight="1" thickTop="1" thickBot="1" x14ac:dyDescent="0.25">
      <c r="A3" s="1"/>
      <c r="B3" s="2"/>
      <c r="C3" s="1"/>
      <c r="D3" s="1"/>
      <c r="E3" s="1"/>
      <c r="F3" s="3"/>
      <c r="G3" s="6"/>
      <c r="H3" s="6"/>
      <c r="I3" s="7"/>
      <c r="J3" s="8"/>
      <c r="K3" s="9"/>
      <c r="L3" s="36" t="s">
        <v>19</v>
      </c>
      <c r="M3" s="37"/>
      <c r="N3" s="38"/>
      <c r="P3" s="33" t="s">
        <v>21</v>
      </c>
      <c r="Q3" s="34"/>
      <c r="R3" s="34"/>
      <c r="S3" s="34"/>
      <c r="T3" s="34"/>
      <c r="U3" s="35"/>
      <c r="V3" s="31" t="s">
        <v>40</v>
      </c>
      <c r="W3" s="32"/>
      <c r="X3" s="32"/>
    </row>
    <row r="4" spans="1:24" ht="26" thickTop="1" thickBot="1" x14ac:dyDescent="0.25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10" t="s">
        <v>12</v>
      </c>
      <c r="H4" s="10" t="s">
        <v>13</v>
      </c>
      <c r="I4" s="11" t="s">
        <v>14</v>
      </c>
      <c r="J4" s="10" t="s">
        <v>15</v>
      </c>
      <c r="K4" s="12" t="s">
        <v>16</v>
      </c>
      <c r="L4" s="17" t="s">
        <v>22</v>
      </c>
      <c r="M4" s="17" t="s">
        <v>23</v>
      </c>
      <c r="N4" s="17" t="s">
        <v>24</v>
      </c>
      <c r="O4" s="30" t="s">
        <v>20</v>
      </c>
      <c r="P4" s="18" t="s">
        <v>25</v>
      </c>
      <c r="Q4" s="18" t="s">
        <v>26</v>
      </c>
      <c r="R4" s="18" t="s">
        <v>33</v>
      </c>
      <c r="S4" s="18" t="s">
        <v>34</v>
      </c>
      <c r="T4" s="25" t="s">
        <v>35</v>
      </c>
      <c r="U4" s="26" t="s">
        <v>36</v>
      </c>
      <c r="V4" s="4" t="s">
        <v>37</v>
      </c>
      <c r="W4" s="4" t="s">
        <v>38</v>
      </c>
      <c r="X4" s="4" t="s">
        <v>39</v>
      </c>
    </row>
    <row r="5" spans="1:24" ht="17" thickTop="1" x14ac:dyDescent="0.2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13" t="s">
        <v>17</v>
      </c>
      <c r="H5" s="13"/>
      <c r="I5" s="14" t="s">
        <v>18</v>
      </c>
      <c r="J5" s="15"/>
      <c r="K5" s="16"/>
      <c r="L5" s="15" t="s">
        <v>27</v>
      </c>
      <c r="M5" s="15" t="s">
        <v>28</v>
      </c>
      <c r="N5" s="15" t="s">
        <v>29</v>
      </c>
      <c r="O5" s="15"/>
      <c r="P5" s="19">
        <f t="shared" ref="P5:U5" si="0">COUNTIF(P6:P65513,"p")</f>
        <v>0</v>
      </c>
      <c r="Q5" s="19">
        <f t="shared" si="0"/>
        <v>0</v>
      </c>
      <c r="R5" s="19">
        <f t="shared" si="0"/>
        <v>0</v>
      </c>
      <c r="S5" s="19">
        <f t="shared" si="0"/>
        <v>0</v>
      </c>
      <c r="T5" s="19">
        <f t="shared" si="0"/>
        <v>0</v>
      </c>
      <c r="U5" s="19">
        <f t="shared" si="0"/>
        <v>0</v>
      </c>
      <c r="V5" s="28"/>
      <c r="W5" s="28"/>
      <c r="X5" s="28"/>
    </row>
    <row r="6" spans="1:24" x14ac:dyDescent="0.2">
      <c r="A6" s="1" t="s">
        <v>30</v>
      </c>
      <c r="B6" s="1" t="s">
        <v>31</v>
      </c>
      <c r="C6" s="1" t="s">
        <v>32</v>
      </c>
      <c r="D6" s="1">
        <v>2043</v>
      </c>
      <c r="E6" s="1">
        <v>2856</v>
      </c>
      <c r="F6" s="1">
        <v>110453</v>
      </c>
      <c r="G6" s="6">
        <v>45600</v>
      </c>
      <c r="H6" s="6">
        <v>45600</v>
      </c>
      <c r="I6" s="20">
        <v>0.99450000000000005</v>
      </c>
      <c r="J6" s="21">
        <v>1</v>
      </c>
      <c r="K6" s="9">
        <v>17</v>
      </c>
      <c r="L6" s="22">
        <v>46</v>
      </c>
      <c r="M6" s="22">
        <v>4</v>
      </c>
      <c r="N6" s="22">
        <v>50</v>
      </c>
      <c r="O6" s="22">
        <v>0</v>
      </c>
      <c r="P6" s="23"/>
      <c r="Q6" s="24"/>
      <c r="R6" s="23"/>
      <c r="S6" s="27"/>
      <c r="T6" s="27"/>
      <c r="U6" s="27"/>
      <c r="V6" s="1">
        <v>5.5</v>
      </c>
      <c r="W6" s="1">
        <v>1</v>
      </c>
      <c r="X6" s="1">
        <v>5.5</v>
      </c>
    </row>
    <row r="7" spans="1:24" x14ac:dyDescent="0.2">
      <c r="A7" s="1" t="s">
        <v>30</v>
      </c>
      <c r="B7" s="1" t="s">
        <v>31</v>
      </c>
      <c r="C7" s="1" t="s">
        <v>32</v>
      </c>
      <c r="D7" s="1">
        <v>2043</v>
      </c>
      <c r="E7" s="1">
        <v>2692</v>
      </c>
      <c r="F7" s="1">
        <v>111056</v>
      </c>
      <c r="G7" s="6">
        <v>45639</v>
      </c>
      <c r="H7" s="6">
        <v>45639</v>
      </c>
      <c r="I7" s="20">
        <v>0.95179999999999998</v>
      </c>
      <c r="J7" s="21">
        <v>0.32640000000000002</v>
      </c>
      <c r="K7" s="9">
        <v>16</v>
      </c>
      <c r="L7" s="22">
        <v>17</v>
      </c>
      <c r="M7" s="22">
        <v>7.5</v>
      </c>
      <c r="N7" s="22">
        <v>24.5</v>
      </c>
      <c r="O7" s="22">
        <v>1</v>
      </c>
      <c r="P7" s="23"/>
      <c r="Q7" s="24"/>
      <c r="R7" s="23"/>
      <c r="S7" s="27"/>
      <c r="T7" s="27"/>
      <c r="U7" s="27"/>
      <c r="V7" s="1">
        <v>8</v>
      </c>
      <c r="W7" s="1">
        <v>0.5</v>
      </c>
      <c r="X7" s="1">
        <v>3.5</v>
      </c>
    </row>
    <row r="8" spans="1:24" x14ac:dyDescent="0.2">
      <c r="A8" s="1" t="s">
        <v>30</v>
      </c>
      <c r="B8" s="1" t="s">
        <v>31</v>
      </c>
      <c r="C8" s="1" t="s">
        <v>32</v>
      </c>
      <c r="D8" s="1">
        <v>2043</v>
      </c>
      <c r="E8" s="1">
        <v>2692</v>
      </c>
      <c r="F8" s="1">
        <v>110575</v>
      </c>
      <c r="G8" s="6">
        <v>45583</v>
      </c>
      <c r="H8" s="6">
        <v>45583</v>
      </c>
      <c r="I8" s="20">
        <v>0.88300000000000001</v>
      </c>
      <c r="J8" s="21">
        <v>0.26390000000000002</v>
      </c>
      <c r="K8" s="9">
        <v>18</v>
      </c>
      <c r="L8" s="22">
        <v>20</v>
      </c>
      <c r="M8" s="22">
        <v>1.5</v>
      </c>
      <c r="N8" s="22">
        <v>21.5</v>
      </c>
      <c r="O8" s="22">
        <v>2.5</v>
      </c>
      <c r="P8" s="23"/>
      <c r="Q8" s="24"/>
      <c r="R8" s="23"/>
      <c r="S8" s="27"/>
      <c r="T8" s="27"/>
      <c r="U8" s="27"/>
      <c r="V8" s="1">
        <v>7</v>
      </c>
      <c r="W8" s="1">
        <v>0.5</v>
      </c>
      <c r="X8" s="1">
        <v>0</v>
      </c>
    </row>
    <row r="9" spans="1:24" x14ac:dyDescent="0.2">
      <c r="A9" s="1" t="s">
        <v>30</v>
      </c>
      <c r="B9" s="1" t="s">
        <v>31</v>
      </c>
      <c r="C9" s="1" t="s">
        <v>32</v>
      </c>
      <c r="D9" s="1">
        <v>2043</v>
      </c>
      <c r="E9" s="1">
        <v>2043</v>
      </c>
      <c r="F9" s="1">
        <v>109998</v>
      </c>
      <c r="G9" s="6">
        <v>45596</v>
      </c>
      <c r="H9" s="6">
        <v>45596</v>
      </c>
      <c r="I9" s="20">
        <v>1</v>
      </c>
      <c r="J9" s="21">
        <v>1</v>
      </c>
      <c r="K9" s="9">
        <v>18</v>
      </c>
      <c r="L9" s="22">
        <v>19</v>
      </c>
      <c r="M9" s="22">
        <v>0.5</v>
      </c>
      <c r="N9" s="22">
        <v>19.5</v>
      </c>
      <c r="O9" s="22">
        <v>0</v>
      </c>
      <c r="P9" s="23"/>
      <c r="Q9" s="24"/>
      <c r="R9" s="23"/>
      <c r="S9" s="27"/>
      <c r="T9" s="27"/>
      <c r="U9" s="27"/>
      <c r="V9" s="1">
        <v>5</v>
      </c>
      <c r="W9" s="1">
        <v>2</v>
      </c>
      <c r="X9" s="1">
        <v>2</v>
      </c>
    </row>
    <row r="10" spans="1:24" x14ac:dyDescent="0.2">
      <c r="A10" s="1" t="s">
        <v>30</v>
      </c>
      <c r="B10" s="1" t="s">
        <v>31</v>
      </c>
      <c r="C10" s="1" t="s">
        <v>32</v>
      </c>
      <c r="D10" s="1">
        <v>2043</v>
      </c>
      <c r="E10" s="1">
        <v>2856</v>
      </c>
      <c r="F10" s="1">
        <v>115047</v>
      </c>
      <c r="G10" s="6">
        <v>45944</v>
      </c>
      <c r="H10" s="6">
        <v>45944</v>
      </c>
      <c r="I10" s="20">
        <v>0.755</v>
      </c>
      <c r="J10" s="21">
        <v>1</v>
      </c>
      <c r="K10" s="9">
        <v>6</v>
      </c>
      <c r="L10" s="22">
        <v>12</v>
      </c>
      <c r="M10" s="22">
        <v>1.5</v>
      </c>
      <c r="N10" s="22">
        <v>13.5</v>
      </c>
      <c r="O10" s="22">
        <v>0</v>
      </c>
      <c r="P10" s="23"/>
      <c r="Q10" s="24"/>
      <c r="R10" s="23"/>
      <c r="S10" s="27"/>
      <c r="T10" s="27"/>
      <c r="U10" s="27"/>
      <c r="V10" s="1">
        <v>8.5</v>
      </c>
      <c r="W10" s="1">
        <v>2</v>
      </c>
      <c r="X10" s="1">
        <v>1.5</v>
      </c>
    </row>
    <row r="11" spans="1:24" x14ac:dyDescent="0.2">
      <c r="A11" s="1" t="s">
        <v>30</v>
      </c>
      <c r="B11" s="1" t="s">
        <v>31</v>
      </c>
      <c r="C11" s="1" t="s">
        <v>32</v>
      </c>
      <c r="D11" s="1">
        <v>2043</v>
      </c>
      <c r="E11" s="1">
        <v>2856</v>
      </c>
      <c r="F11" s="1">
        <v>114100</v>
      </c>
      <c r="G11" s="6">
        <v>45863</v>
      </c>
      <c r="H11" s="6">
        <v>45863</v>
      </c>
      <c r="I11" s="20">
        <v>0.755</v>
      </c>
      <c r="J11" s="21">
        <v>0.34720000000000001</v>
      </c>
      <c r="K11" s="9">
        <v>9</v>
      </c>
      <c r="L11" s="22">
        <v>13</v>
      </c>
      <c r="M11" s="22">
        <v>0.5</v>
      </c>
      <c r="N11" s="22">
        <v>13.5</v>
      </c>
      <c r="O11" s="22">
        <v>1</v>
      </c>
      <c r="P11" s="23"/>
      <c r="Q11" s="24"/>
      <c r="R11" s="23"/>
      <c r="S11" s="27"/>
      <c r="T11" s="27"/>
      <c r="U11" s="27"/>
      <c r="V11" s="1">
        <v>5.5</v>
      </c>
      <c r="W11" s="1">
        <v>1</v>
      </c>
      <c r="X11" s="1">
        <v>2</v>
      </c>
    </row>
    <row r="12" spans="1:24" x14ac:dyDescent="0.2">
      <c r="A12" s="1" t="s">
        <v>30</v>
      </c>
      <c r="B12" s="1" t="s">
        <v>31</v>
      </c>
      <c r="C12" s="1" t="s">
        <v>32</v>
      </c>
      <c r="D12" s="1">
        <v>2043</v>
      </c>
      <c r="E12" s="1">
        <v>2043</v>
      </c>
      <c r="F12" s="1">
        <v>115404</v>
      </c>
      <c r="G12" s="6">
        <v>45986</v>
      </c>
      <c r="H12" s="6">
        <v>45986</v>
      </c>
      <c r="I12" s="20">
        <v>0.755</v>
      </c>
      <c r="J12" s="21">
        <v>1</v>
      </c>
      <c r="K12" s="9">
        <v>5</v>
      </c>
      <c r="L12" s="22">
        <v>9</v>
      </c>
      <c r="M12" s="22">
        <v>2.5</v>
      </c>
      <c r="N12" s="22">
        <v>11.5</v>
      </c>
      <c r="O12" s="22">
        <v>0</v>
      </c>
      <c r="P12" s="23"/>
      <c r="Q12" s="24"/>
      <c r="R12" s="23"/>
      <c r="S12" s="27"/>
      <c r="T12" s="27"/>
      <c r="U12" s="27"/>
      <c r="V12" s="1">
        <v>8</v>
      </c>
      <c r="W12" s="1">
        <v>1</v>
      </c>
      <c r="X12" s="1">
        <v>0</v>
      </c>
    </row>
    <row r="13" spans="1:24" x14ac:dyDescent="0.2">
      <c r="A13" s="1" t="s">
        <v>30</v>
      </c>
      <c r="B13" s="1" t="s">
        <v>31</v>
      </c>
      <c r="C13" s="1" t="s">
        <v>32</v>
      </c>
      <c r="D13" s="1">
        <v>2043</v>
      </c>
      <c r="E13" s="1">
        <v>2692</v>
      </c>
      <c r="F13" s="1">
        <v>113450</v>
      </c>
      <c r="G13" s="6">
        <v>45852</v>
      </c>
      <c r="H13" s="6">
        <v>45852</v>
      </c>
      <c r="I13" s="20">
        <v>0.755</v>
      </c>
      <c r="J13" s="21">
        <v>0.29170000000000001</v>
      </c>
      <c r="K13" s="9">
        <v>9</v>
      </c>
      <c r="L13" s="22">
        <v>9</v>
      </c>
      <c r="M13" s="22">
        <v>2.5</v>
      </c>
      <c r="N13" s="22">
        <v>11.5</v>
      </c>
      <c r="O13" s="22">
        <v>1</v>
      </c>
      <c r="P13" s="23"/>
      <c r="Q13" s="24"/>
      <c r="R13" s="23"/>
      <c r="S13" s="27"/>
      <c r="T13" s="27"/>
      <c r="U13" s="27"/>
      <c r="V13" s="1">
        <v>7</v>
      </c>
      <c r="W13" s="1">
        <v>2</v>
      </c>
      <c r="X13" s="1">
        <v>1</v>
      </c>
    </row>
    <row r="14" spans="1:24" x14ac:dyDescent="0.2">
      <c r="A14" s="1" t="s">
        <v>30</v>
      </c>
      <c r="B14" s="1" t="s">
        <v>31</v>
      </c>
      <c r="C14" s="1" t="s">
        <v>32</v>
      </c>
      <c r="D14" s="1">
        <v>2043</v>
      </c>
      <c r="E14" s="1">
        <v>2856</v>
      </c>
      <c r="F14" s="1">
        <v>111960</v>
      </c>
      <c r="G14" s="6">
        <v>45707</v>
      </c>
      <c r="H14" s="6">
        <v>45707</v>
      </c>
      <c r="I14" s="20">
        <v>0.78500000000000003</v>
      </c>
      <c r="J14" s="21">
        <v>0.1583</v>
      </c>
      <c r="K14" s="9">
        <v>14</v>
      </c>
      <c r="L14" s="22">
        <v>11</v>
      </c>
      <c r="M14" s="22">
        <v>0.5</v>
      </c>
      <c r="N14" s="22">
        <v>11.5</v>
      </c>
      <c r="O14" s="22">
        <v>2</v>
      </c>
      <c r="P14" s="23"/>
      <c r="Q14" s="24"/>
      <c r="R14" s="23"/>
      <c r="S14" s="27"/>
      <c r="T14" s="27"/>
      <c r="U14" s="27"/>
      <c r="V14" s="1">
        <v>6</v>
      </c>
      <c r="W14" s="1">
        <v>3</v>
      </c>
      <c r="X14" s="1">
        <v>0</v>
      </c>
    </row>
    <row r="15" spans="1:24" x14ac:dyDescent="0.2">
      <c r="A15" s="1" t="s">
        <v>30</v>
      </c>
      <c r="B15" s="1" t="s">
        <v>31</v>
      </c>
      <c r="C15" s="1" t="s">
        <v>32</v>
      </c>
      <c r="D15" s="1">
        <v>2043</v>
      </c>
      <c r="E15" s="1">
        <v>2043</v>
      </c>
      <c r="F15" s="1">
        <v>113076</v>
      </c>
      <c r="G15" s="6">
        <v>45806</v>
      </c>
      <c r="H15" s="6">
        <v>45806</v>
      </c>
      <c r="I15" s="20">
        <v>0.755</v>
      </c>
      <c r="J15" s="21">
        <v>1</v>
      </c>
      <c r="K15" s="9">
        <v>11</v>
      </c>
      <c r="L15" s="22">
        <v>7</v>
      </c>
      <c r="M15" s="22">
        <v>3.5</v>
      </c>
      <c r="N15" s="22">
        <v>10.5</v>
      </c>
      <c r="O15" s="22">
        <v>0</v>
      </c>
      <c r="P15" s="23"/>
      <c r="Q15" s="24"/>
      <c r="R15" s="23"/>
      <c r="S15" s="27"/>
      <c r="T15" s="27"/>
      <c r="U15" s="27"/>
      <c r="V15" s="1">
        <v>5.5</v>
      </c>
      <c r="W15" s="1">
        <v>2</v>
      </c>
      <c r="X15" s="1">
        <v>1.5</v>
      </c>
    </row>
    <row r="16" spans="1:24" x14ac:dyDescent="0.2">
      <c r="A16" s="1" t="s">
        <v>30</v>
      </c>
      <c r="B16" s="1" t="s">
        <v>31</v>
      </c>
      <c r="C16" s="1" t="s">
        <v>32</v>
      </c>
      <c r="D16" s="1">
        <v>2043</v>
      </c>
      <c r="E16" s="1">
        <v>2856</v>
      </c>
      <c r="F16" s="1">
        <v>116060</v>
      </c>
      <c r="G16" s="6">
        <v>46010</v>
      </c>
      <c r="H16" s="6">
        <v>46010</v>
      </c>
      <c r="I16" s="20">
        <v>0.755</v>
      </c>
      <c r="J16" s="21">
        <v>1</v>
      </c>
      <c r="K16" s="9">
        <v>4</v>
      </c>
      <c r="L16" s="22">
        <v>8</v>
      </c>
      <c r="M16" s="22">
        <v>0.5</v>
      </c>
      <c r="N16" s="22">
        <v>8.5</v>
      </c>
      <c r="O16" s="22">
        <v>0</v>
      </c>
      <c r="P16" s="23"/>
      <c r="Q16" s="24"/>
      <c r="R16" s="23"/>
      <c r="S16" s="27"/>
      <c r="T16" s="27"/>
      <c r="U16" s="27"/>
      <c r="V16" s="1">
        <v>6</v>
      </c>
      <c r="W16" s="1">
        <v>1</v>
      </c>
      <c r="X16" s="1">
        <v>1.5</v>
      </c>
    </row>
    <row r="17" spans="1:24" x14ac:dyDescent="0.2">
      <c r="A17" s="1" t="s">
        <v>30</v>
      </c>
      <c r="B17" s="1" t="s">
        <v>31</v>
      </c>
      <c r="C17" s="1" t="s">
        <v>32</v>
      </c>
      <c r="D17" s="1">
        <v>2043</v>
      </c>
      <c r="E17" s="1">
        <v>2692</v>
      </c>
      <c r="F17" s="1">
        <v>114157</v>
      </c>
      <c r="G17" s="6">
        <v>45904</v>
      </c>
      <c r="H17" s="6">
        <v>45904</v>
      </c>
      <c r="I17" s="20">
        <v>0.755</v>
      </c>
      <c r="J17" s="21">
        <v>0.19439999999999999</v>
      </c>
      <c r="K17" s="9">
        <v>7</v>
      </c>
      <c r="L17" s="22">
        <v>7</v>
      </c>
      <c r="M17" s="22">
        <v>1</v>
      </c>
      <c r="N17" s="22">
        <v>8</v>
      </c>
      <c r="O17" s="22">
        <v>1</v>
      </c>
      <c r="P17" s="23"/>
      <c r="Q17" s="24"/>
      <c r="R17" s="23"/>
      <c r="S17" s="27"/>
      <c r="T17" s="27"/>
      <c r="U17" s="27"/>
      <c r="V17" s="1">
        <v>6</v>
      </c>
      <c r="W17" s="1">
        <v>0</v>
      </c>
      <c r="X17" s="1">
        <v>1</v>
      </c>
    </row>
    <row r="18" spans="1:24" x14ac:dyDescent="0.2">
      <c r="A18" s="1" t="s">
        <v>30</v>
      </c>
      <c r="B18" s="1" t="s">
        <v>31</v>
      </c>
      <c r="C18" s="1" t="s">
        <v>32</v>
      </c>
      <c r="D18" s="1">
        <v>2043</v>
      </c>
      <c r="E18" s="1">
        <v>2692</v>
      </c>
      <c r="F18" s="1">
        <v>114431</v>
      </c>
      <c r="G18" s="6">
        <v>45930</v>
      </c>
      <c r="H18" s="6">
        <v>45930</v>
      </c>
      <c r="I18" s="20">
        <v>0.755</v>
      </c>
      <c r="J18" s="21">
        <v>1</v>
      </c>
      <c r="K18" s="9">
        <v>7</v>
      </c>
      <c r="L18" s="22">
        <v>6</v>
      </c>
      <c r="M18" s="22">
        <v>0.5</v>
      </c>
      <c r="N18" s="22">
        <v>6.5</v>
      </c>
      <c r="O18" s="22">
        <v>0</v>
      </c>
      <c r="P18" s="23"/>
      <c r="Q18" s="24"/>
      <c r="R18" s="23"/>
      <c r="S18" s="27"/>
      <c r="T18" s="27"/>
      <c r="U18" s="27"/>
      <c r="V18" s="1">
        <v>4.5</v>
      </c>
      <c r="W18" s="1">
        <v>2</v>
      </c>
      <c r="X18" s="1">
        <v>0</v>
      </c>
    </row>
    <row r="19" spans="1:24" x14ac:dyDescent="0.2">
      <c r="A19" s="1" t="s">
        <v>30</v>
      </c>
      <c r="B19" s="1" t="s">
        <v>31</v>
      </c>
      <c r="C19" s="1" t="s">
        <v>32</v>
      </c>
      <c r="D19" s="1">
        <v>2043</v>
      </c>
      <c r="E19" s="1">
        <v>2856</v>
      </c>
      <c r="F19" s="1">
        <v>112522</v>
      </c>
      <c r="G19" s="6">
        <v>45776</v>
      </c>
      <c r="H19" s="6">
        <v>45776</v>
      </c>
      <c r="I19" s="20">
        <v>0.755</v>
      </c>
      <c r="J19" s="21">
        <v>1</v>
      </c>
      <c r="K19" s="9">
        <v>12</v>
      </c>
      <c r="L19" s="22">
        <v>6</v>
      </c>
      <c r="M19" s="22">
        <v>0</v>
      </c>
      <c r="N19" s="22">
        <v>6</v>
      </c>
      <c r="O19" s="22">
        <v>0</v>
      </c>
      <c r="P19" s="23"/>
      <c r="Q19" s="24"/>
      <c r="R19" s="23"/>
      <c r="S19" s="27"/>
      <c r="T19" s="27"/>
      <c r="U19" s="27"/>
      <c r="V19" s="1">
        <v>4</v>
      </c>
      <c r="W19" s="1">
        <v>0</v>
      </c>
      <c r="X19" s="1">
        <v>2</v>
      </c>
    </row>
    <row r="20" spans="1:24" x14ac:dyDescent="0.2">
      <c r="A20" s="1"/>
      <c r="B20" s="1"/>
      <c r="C20" s="1"/>
      <c r="D20" s="1"/>
      <c r="E20" s="1"/>
      <c r="F20" s="1"/>
      <c r="G20" s="6"/>
      <c r="H20" s="6"/>
      <c r="I20" s="20"/>
      <c r="J20" s="21"/>
      <c r="K20" s="9"/>
      <c r="L20" s="22"/>
      <c r="M20" s="22"/>
      <c r="N20" s="22"/>
      <c r="O20" s="22"/>
      <c r="P20" s="23"/>
      <c r="Q20" s="24"/>
      <c r="R20" s="23"/>
      <c r="S20" s="27"/>
      <c r="T20" s="27"/>
      <c r="U20" s="27"/>
      <c r="V20" s="1"/>
      <c r="W20" s="1"/>
      <c r="X20" s="1"/>
    </row>
    <row r="21" spans="1:24" x14ac:dyDescent="0.2">
      <c r="A21" s="1"/>
      <c r="B21" s="1"/>
      <c r="C21" s="1"/>
      <c r="D21" s="1"/>
      <c r="E21" s="1"/>
      <c r="F21" s="1"/>
      <c r="G21" s="6"/>
      <c r="H21" s="6"/>
      <c r="I21" s="20"/>
      <c r="J21" s="21"/>
      <c r="K21" s="9"/>
      <c r="L21" s="22"/>
      <c r="M21" s="22"/>
      <c r="N21" s="22"/>
      <c r="O21" s="22"/>
      <c r="P21" s="23"/>
      <c r="Q21" s="24"/>
      <c r="R21" s="23"/>
      <c r="S21" s="27"/>
      <c r="T21" s="27"/>
      <c r="U21" s="27"/>
      <c r="V21" s="1"/>
      <c r="W21" s="1"/>
      <c r="X21" s="1"/>
    </row>
    <row r="22" spans="1:24" x14ac:dyDescent="0.2">
      <c r="A22" s="1"/>
      <c r="B22" s="1"/>
      <c r="C22" s="1"/>
      <c r="D22" s="1"/>
      <c r="E22" s="1"/>
      <c r="F22" s="1"/>
      <c r="G22" s="6"/>
      <c r="H22" s="6"/>
      <c r="I22" s="20"/>
      <c r="J22" s="21"/>
      <c r="K22" s="9"/>
      <c r="L22" s="22"/>
      <c r="M22" s="22"/>
      <c r="N22" s="22"/>
      <c r="O22" s="22"/>
      <c r="P22" s="23"/>
      <c r="Q22" s="24"/>
      <c r="R22" s="23"/>
      <c r="S22" s="27"/>
      <c r="T22" s="27"/>
      <c r="U22" s="27"/>
      <c r="V22" s="1"/>
      <c r="W22" s="1"/>
      <c r="X22" s="1"/>
    </row>
  </sheetData>
  <mergeCells count="3">
    <mergeCell ref="V3:X3"/>
    <mergeCell ref="P3:U3"/>
    <mergeCell ref="L3:N3"/>
  </mergeCells>
  <conditionalFormatting sqref="A6:K22 U6:U22">
    <cfRule type="expression" dxfId="6" priority="8" stopIfTrue="1">
      <formula>$B6&lt;&gt;""</formula>
    </cfRule>
  </conditionalFormatting>
  <conditionalFormatting sqref="I6:I22">
    <cfRule type="expression" dxfId="5" priority="7" stopIfTrue="1">
      <formula>AND($B6&lt;&gt;"",$L6&lt;0.85)</formula>
    </cfRule>
  </conditionalFormatting>
  <conditionalFormatting sqref="J6:J22">
    <cfRule type="expression" dxfId="4" priority="6" stopIfTrue="1">
      <formula>AND($B6&lt;&gt;"",$M$29&lt;0.85)</formula>
    </cfRule>
  </conditionalFormatting>
  <conditionalFormatting sqref="L6:T22">
    <cfRule type="expression" dxfId="3" priority="2" stopIfTrue="1">
      <formula>$B6&lt;&gt;""</formula>
    </cfRule>
  </conditionalFormatting>
  <conditionalFormatting sqref="V6:V22">
    <cfRule type="expression" dxfId="2" priority="5" stopIfTrue="1">
      <formula>AND($B6&lt;&gt;"",$Z6&lt;1)</formula>
    </cfRule>
  </conditionalFormatting>
  <conditionalFormatting sqref="V6:X22">
    <cfRule type="expression" dxfId="1" priority="1" stopIfTrue="1">
      <formula>$B6&lt;&gt;""</formula>
    </cfRule>
  </conditionalFormatting>
  <conditionalFormatting sqref="W6:W22">
    <cfRule type="expression" dxfId="0" priority="4" stopIfTrue="1">
      <formula>AND($B6&lt;&gt;"",$AA6&lt;1)</formula>
    </cfRule>
  </conditionalFormatting>
  <conditionalFormatting sqref="X6:X22">
    <cfRule type="expression" priority="3" stopIfTrue="1">
      <formula>AND($B6&lt;&gt;"",$AB6&lt;1)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2026-03-04T01:27:53Z</dcterms:created>
  <dcterms:modified xsi:type="dcterms:W3CDTF">2026-03-23T16:56:52Z</dcterms:modified>
</cp:coreProperties>
</file>